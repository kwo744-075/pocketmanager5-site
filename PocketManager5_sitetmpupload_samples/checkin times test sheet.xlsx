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3695" windowHeight="5355" activeTab="3"/>
  </bookViews>
  <sheets>
    <sheet name="12pm" sheetId="1" r:id="rId1"/>
    <sheet name="230pm " sheetId="2" r:id="rId2"/>
    <sheet name="5pm" sheetId="3" r:id="rId3"/>
    <sheet name="8pm" sheetId="5" r:id="rId4"/>
  </sheets>
  <calcPr calcId="124519"/>
</workbook>
</file>

<file path=xl/calcChain.xml><?xml version="1.0" encoding="utf-8"?>
<calcChain xmlns="http://schemas.openxmlformats.org/spreadsheetml/2006/main">
  <c r="Z54" i="5"/>
  <c r="R54"/>
  <c r="Q54"/>
  <c r="Z53"/>
  <c r="R53"/>
  <c r="Q53"/>
  <c r="Z52"/>
  <c r="R52"/>
  <c r="Q52"/>
  <c r="Z51"/>
  <c r="R51"/>
  <c r="Q51"/>
  <c r="Z50"/>
  <c r="R50"/>
  <c r="Q50"/>
  <c r="Z49"/>
  <c r="R49"/>
  <c r="Q49"/>
  <c r="Z48"/>
  <c r="R48"/>
  <c r="Q48"/>
  <c r="Z47"/>
  <c r="R47"/>
  <c r="Q47"/>
  <c r="Z46"/>
  <c r="R46"/>
  <c r="Q46"/>
  <c r="Z45"/>
  <c r="R45"/>
  <c r="Q45"/>
  <c r="Z44"/>
  <c r="R44"/>
  <c r="Q44"/>
  <c r="Z43"/>
  <c r="R43"/>
  <c r="Q43"/>
  <c r="Z42"/>
  <c r="R42"/>
  <c r="Q42"/>
  <c r="Z41"/>
  <c r="R41"/>
  <c r="Q41"/>
  <c r="Z40"/>
  <c r="R40"/>
  <c r="Q40"/>
  <c r="Z39"/>
  <c r="R39"/>
  <c r="Q39"/>
  <c r="Z38"/>
  <c r="R38"/>
  <c r="Q38"/>
  <c r="Z37"/>
  <c r="R37"/>
  <c r="Q37"/>
  <c r="Z36"/>
  <c r="R36"/>
  <c r="Q36"/>
  <c r="Z35"/>
  <c r="R35"/>
  <c r="Q35"/>
  <c r="Z34"/>
  <c r="R34"/>
  <c r="Q34"/>
  <c r="Z33"/>
  <c r="R33"/>
  <c r="Q33"/>
  <c r="Z32"/>
  <c r="R32"/>
  <c r="Q32"/>
  <c r="Z31"/>
  <c r="R31"/>
  <c r="Q31"/>
  <c r="Z30"/>
  <c r="R30"/>
  <c r="Q30"/>
  <c r="Z29"/>
  <c r="R29"/>
  <c r="Q29"/>
  <c r="Z28"/>
  <c r="R28"/>
  <c r="Q28"/>
  <c r="Z27"/>
  <c r="R27"/>
  <c r="Q27"/>
  <c r="Z26"/>
  <c r="R26"/>
  <c r="Q26"/>
  <c r="Z25"/>
  <c r="R25"/>
  <c r="Q25"/>
  <c r="Z24"/>
  <c r="R24"/>
  <c r="Q24"/>
  <c r="Z23"/>
  <c r="R23"/>
  <c r="Q23"/>
  <c r="Z22"/>
  <c r="R22"/>
  <c r="Q22"/>
  <c r="Z21"/>
  <c r="R21"/>
  <c r="Q21"/>
  <c r="Z20"/>
  <c r="R20"/>
  <c r="Q20"/>
  <c r="Z19"/>
  <c r="R19"/>
  <c r="Q19"/>
  <c r="Z18"/>
  <c r="R18"/>
  <c r="Q18"/>
  <c r="Z17"/>
  <c r="R17"/>
  <c r="Q17"/>
  <c r="Z16"/>
  <c r="R16"/>
  <c r="Q16"/>
  <c r="Z15"/>
  <c r="R15"/>
  <c r="Q15"/>
  <c r="Z14"/>
  <c r="R14"/>
  <c r="Q14"/>
  <c r="Z13"/>
  <c r="R13"/>
  <c r="Q13"/>
  <c r="Z12"/>
  <c r="R12"/>
  <c r="Q12"/>
  <c r="Z11"/>
  <c r="R11"/>
  <c r="Q11"/>
  <c r="Z10"/>
  <c r="R10"/>
  <c r="Q10"/>
  <c r="Z9"/>
  <c r="R9"/>
  <c r="Q9"/>
  <c r="Z8"/>
  <c r="R8"/>
  <c r="Q8"/>
  <c r="Z7"/>
  <c r="R7"/>
  <c r="Q7"/>
  <c r="Z6"/>
  <c r="R6"/>
  <c r="Q6"/>
  <c r="Z5"/>
  <c r="R5"/>
  <c r="Q5"/>
  <c r="Z4"/>
  <c r="R4"/>
  <c r="Q4"/>
  <c r="Z3"/>
  <c r="R3"/>
  <c r="Q3"/>
  <c r="AA2"/>
  <c r="Z2"/>
  <c r="X2"/>
  <c r="V2"/>
  <c r="T2"/>
  <c r="R2" l="1"/>
  <c r="S2" s="1"/>
  <c r="Q2"/>
  <c r="N55" i="1"/>
  <c r="K55"/>
  <c r="I55"/>
  <c r="G55"/>
  <c r="E55"/>
  <c r="N13"/>
  <c r="K13"/>
  <c r="I13"/>
  <c r="G13"/>
  <c r="E13"/>
</calcChain>
</file>

<file path=xl/sharedStrings.xml><?xml version="1.0" encoding="utf-8"?>
<sst xmlns="http://schemas.openxmlformats.org/spreadsheetml/2006/main" count="340" uniqueCount="22">
  <si>
    <t>District</t>
  </si>
  <si>
    <t>Store</t>
  </si>
  <si>
    <t>Current Cars</t>
  </si>
  <si>
    <t>Current Sales</t>
  </si>
  <si>
    <t>ARO</t>
  </si>
  <si>
    <t>Big 4 Items</t>
  </si>
  <si>
    <t>Big 4</t>
  </si>
  <si>
    <t>Coolants</t>
  </si>
  <si>
    <t>Coolant %</t>
  </si>
  <si>
    <t>Diffs</t>
  </si>
  <si>
    <t>Diff %</t>
  </si>
  <si>
    <t>Donations</t>
  </si>
  <si>
    <t>Mobil 1</t>
  </si>
  <si>
    <t>Mobil 1 %</t>
  </si>
  <si>
    <t>Baton Rouge North</t>
  </si>
  <si>
    <t>Baton Rouge South</t>
  </si>
  <si>
    <t>Gulf Coast North</t>
  </si>
  <si>
    <t>Gulf Coast West</t>
  </si>
  <si>
    <t>Lafayette</t>
  </si>
  <si>
    <t>NOLA North</t>
  </si>
  <si>
    <t>NOLA South</t>
  </si>
  <si>
    <t xml:space="preserve">$-   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</si>
</sst>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24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000000"/>
      </patternFill>
    </fill>
    <fill>
      <patternFill patternType="solid">
        <fgColor rgb="FF63BE7B"/>
        <bgColor rgb="FFD9D9D9"/>
      </patternFill>
    </fill>
    <fill>
      <patternFill patternType="solid">
        <fgColor rgb="FFDCE182"/>
        <bgColor rgb="FFD9D9D9"/>
      </patternFill>
    </fill>
    <fill>
      <patternFill patternType="solid">
        <fgColor rgb="FFC8DB81"/>
        <bgColor rgb="FFD9D9D9"/>
      </patternFill>
    </fill>
    <fill>
      <patternFill patternType="solid">
        <fgColor rgb="FFF8696B"/>
        <bgColor rgb="FFD9D9D9"/>
      </patternFill>
    </fill>
    <fill>
      <patternFill patternType="solid">
        <fgColor rgb="FF9BCE7F"/>
        <bgColor rgb="FFD9D9D9"/>
      </patternFill>
    </fill>
    <fill>
      <patternFill patternType="solid">
        <fgColor rgb="FFFEE482"/>
        <bgColor rgb="FF000000"/>
      </patternFill>
    </fill>
    <fill>
      <patternFill patternType="solid">
        <fgColor rgb="FFF5E984"/>
        <bgColor rgb="FF000000"/>
      </patternFill>
    </fill>
    <fill>
      <patternFill patternType="solid">
        <fgColor rgb="FFDDE283"/>
        <bgColor rgb="FF000000"/>
      </patternFill>
    </fill>
    <fill>
      <patternFill patternType="solid">
        <fgColor rgb="FFE8E583"/>
        <bgColor rgb="FF000000"/>
      </patternFill>
    </fill>
    <fill>
      <patternFill patternType="solid">
        <fgColor rgb="FFC4DA81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FEDE81"/>
        <bgColor rgb="FFD9D9D9"/>
      </patternFill>
    </fill>
    <fill>
      <patternFill patternType="solid">
        <fgColor rgb="FFFBAF78"/>
        <bgColor rgb="FFD9D9D9"/>
      </patternFill>
    </fill>
    <fill>
      <patternFill patternType="solid">
        <fgColor rgb="FFD9E082"/>
        <bgColor rgb="FFD9D9D9"/>
      </patternFill>
    </fill>
    <fill>
      <patternFill patternType="solid">
        <fgColor rgb="FFCDDD82"/>
        <bgColor rgb="FFD9D9D9"/>
      </patternFill>
    </fill>
    <fill>
      <patternFill patternType="solid">
        <fgColor rgb="FFFBAE78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DD780"/>
        <bgColor rgb="FF000000"/>
      </patternFill>
    </fill>
    <fill>
      <patternFill patternType="solid">
        <fgColor rgb="FFF4E884"/>
        <bgColor rgb="FF000000"/>
      </patternFill>
    </fill>
    <fill>
      <patternFill patternType="solid">
        <fgColor rgb="FFDAE182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E6E483"/>
        <bgColor rgb="FF000000"/>
      </patternFill>
    </fill>
    <fill>
      <patternFill patternType="solid">
        <fgColor rgb="FFCBDC81"/>
        <bgColor rgb="FFD9D9D9"/>
      </patternFill>
    </fill>
    <fill>
      <patternFill patternType="solid">
        <fgColor rgb="FFF5E884"/>
        <bgColor rgb="FFD9D9D9"/>
      </patternFill>
    </fill>
    <fill>
      <patternFill patternType="solid">
        <fgColor rgb="FFF8E984"/>
        <bgColor rgb="FFD9D9D9"/>
      </patternFill>
    </fill>
    <fill>
      <patternFill patternType="solid">
        <fgColor rgb="FFFDCF7E"/>
        <bgColor rgb="FFD9D9D9"/>
      </patternFill>
    </fill>
    <fill>
      <patternFill patternType="solid">
        <fgColor rgb="FFFDC87D"/>
        <bgColor rgb="FFD9D9D9"/>
      </patternFill>
    </fill>
    <fill>
      <patternFill patternType="solid">
        <fgColor rgb="FFF3E884"/>
        <bgColor rgb="FF000000"/>
      </patternFill>
    </fill>
    <fill>
      <patternFill patternType="solid">
        <fgColor rgb="FFF0E784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A4D17F"/>
        <bgColor rgb="FF000000"/>
      </patternFill>
    </fill>
    <fill>
      <patternFill patternType="solid">
        <fgColor rgb="FFD5DF82"/>
        <bgColor rgb="FF000000"/>
      </patternFill>
    </fill>
    <fill>
      <patternFill patternType="solid">
        <fgColor rgb="FFFCBF7B"/>
        <bgColor rgb="FFD9D9D9"/>
      </patternFill>
    </fill>
    <fill>
      <patternFill patternType="solid">
        <fgColor rgb="FFF8E984"/>
        <bgColor rgb="FF000000"/>
      </patternFill>
    </fill>
    <fill>
      <patternFill patternType="solid">
        <fgColor rgb="FFF98570"/>
        <bgColor rgb="FF000000"/>
      </patternFill>
    </fill>
    <fill>
      <patternFill patternType="solid">
        <fgColor rgb="FFFFEB84"/>
        <bgColor rgb="FFD9D9D9"/>
      </patternFill>
    </fill>
    <fill>
      <patternFill patternType="solid">
        <fgColor rgb="FFFEE382"/>
        <bgColor rgb="FFD9D9D9"/>
      </patternFill>
    </fill>
    <fill>
      <patternFill patternType="solid">
        <fgColor rgb="FFF9E984"/>
        <bgColor rgb="FFD9D9D9"/>
      </patternFill>
    </fill>
    <fill>
      <patternFill patternType="solid">
        <fgColor rgb="FFF3E884"/>
        <bgColor rgb="FFD9D9D9"/>
      </patternFill>
    </fill>
    <fill>
      <patternFill patternType="solid">
        <fgColor rgb="FFFAEA84"/>
        <bgColor rgb="FFD9D9D9"/>
      </patternFill>
    </fill>
    <fill>
      <patternFill patternType="solid">
        <fgColor rgb="FFDAE182"/>
        <bgColor rgb="FFD9D9D9"/>
      </patternFill>
    </fill>
    <fill>
      <patternFill patternType="solid">
        <fgColor rgb="FFE2E383"/>
        <bgColor rgb="FFD9D9D9"/>
      </patternFill>
    </fill>
    <fill>
      <patternFill patternType="solid">
        <fgColor rgb="FFCFDD82"/>
        <bgColor rgb="FFD9D9D9"/>
      </patternFill>
    </fill>
    <fill>
      <patternFill patternType="solid">
        <fgColor rgb="FFD4DF82"/>
        <bgColor rgb="FFD9D9D9"/>
      </patternFill>
    </fill>
    <fill>
      <patternFill patternType="solid">
        <fgColor rgb="FFCFDE82"/>
        <bgColor rgb="FFD9D9D9"/>
      </patternFill>
    </fill>
    <fill>
      <patternFill patternType="solid">
        <fgColor rgb="FFC5DB81"/>
        <bgColor rgb="FF000000"/>
      </patternFill>
    </fill>
    <fill>
      <patternFill patternType="solid">
        <fgColor rgb="FFD4DF82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92CC7E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F9EA84"/>
        <bgColor rgb="FFD9D9D9"/>
      </patternFill>
    </fill>
    <fill>
      <patternFill patternType="solid">
        <fgColor rgb="FFF7E984"/>
        <bgColor rgb="FFD9D9D9"/>
      </patternFill>
    </fill>
    <fill>
      <patternFill patternType="solid">
        <fgColor rgb="FFE5E483"/>
        <bgColor rgb="FFD9D9D9"/>
      </patternFill>
    </fill>
    <fill>
      <patternFill patternType="solid">
        <fgColor rgb="FFBFD981"/>
        <bgColor rgb="FFD9D9D9"/>
      </patternFill>
    </fill>
    <fill>
      <patternFill patternType="solid">
        <fgColor rgb="FFFAA075"/>
        <bgColor rgb="FFD9D9D9"/>
      </patternFill>
    </fill>
    <fill>
      <patternFill patternType="solid">
        <fgColor rgb="FFFEE382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7AC57D"/>
        <bgColor rgb="FF000000"/>
      </patternFill>
    </fill>
    <fill>
      <patternFill patternType="solid">
        <fgColor rgb="FF90CB7E"/>
        <bgColor rgb="FF000000"/>
      </patternFill>
    </fill>
    <fill>
      <patternFill patternType="solid">
        <fgColor rgb="FF93CC7E"/>
        <bgColor rgb="FF000000"/>
      </patternFill>
    </fill>
    <fill>
      <patternFill patternType="solid">
        <fgColor rgb="FFD2DE82"/>
        <bgColor rgb="FF000000"/>
      </patternFill>
    </fill>
    <fill>
      <patternFill patternType="solid">
        <fgColor rgb="FFD8E082"/>
        <bgColor rgb="FFD9D9D9"/>
      </patternFill>
    </fill>
    <fill>
      <patternFill patternType="solid">
        <fgColor rgb="FFFEEB84"/>
        <bgColor rgb="FFD9D9D9"/>
      </patternFill>
    </fill>
    <fill>
      <patternFill patternType="solid">
        <fgColor rgb="FFFBAA77"/>
        <bgColor rgb="FFD9D9D9"/>
      </patternFill>
    </fill>
    <fill>
      <patternFill patternType="solid">
        <fgColor rgb="FFFDD780"/>
        <bgColor rgb="FFD9D9D9"/>
      </patternFill>
    </fill>
    <fill>
      <patternFill patternType="solid">
        <fgColor rgb="FFF97B6E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E5E483"/>
        <bgColor rgb="FF000000"/>
      </patternFill>
    </fill>
    <fill>
      <patternFill patternType="solid">
        <fgColor rgb="FFFA9874"/>
        <bgColor rgb="FF000000"/>
      </patternFill>
    </fill>
    <fill>
      <patternFill patternType="solid">
        <fgColor rgb="FFE3E383"/>
        <bgColor rgb="FFD9D9D9"/>
      </patternFill>
    </fill>
    <fill>
      <patternFill patternType="solid">
        <fgColor rgb="FFFEE482"/>
        <bgColor rgb="FFD9D9D9"/>
      </patternFill>
    </fill>
    <fill>
      <patternFill patternType="solid">
        <fgColor rgb="FFFDEB84"/>
        <bgColor rgb="FFD9D9D9"/>
      </patternFill>
    </fill>
    <fill>
      <patternFill patternType="solid">
        <fgColor rgb="FFF2E884"/>
        <bgColor rgb="FFD9D9D9"/>
      </patternFill>
    </fill>
    <fill>
      <patternFill patternType="solid">
        <fgColor rgb="FFFA9673"/>
        <bgColor rgb="FFD9D9D9"/>
      </patternFill>
    </fill>
    <fill>
      <patternFill patternType="solid">
        <fgColor rgb="FFE3E383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FCB379"/>
        <bgColor rgb="FF000000"/>
      </patternFill>
    </fill>
    <fill>
      <patternFill patternType="solid">
        <fgColor rgb="FFFDCE7E"/>
        <bgColor rgb="FFD9D9D9"/>
      </patternFill>
    </fill>
    <fill>
      <patternFill patternType="solid">
        <fgColor rgb="FFE0E383"/>
        <bgColor rgb="FFD9D9D9"/>
      </patternFill>
    </fill>
    <fill>
      <patternFill patternType="solid">
        <fgColor rgb="FFE7E483"/>
        <bgColor rgb="FFD9D9D9"/>
      </patternFill>
    </fill>
    <fill>
      <patternFill patternType="solid">
        <fgColor rgb="FFBBD881"/>
        <bgColor rgb="FFD9D9D9"/>
      </patternFill>
    </fill>
    <fill>
      <patternFill patternType="solid">
        <fgColor rgb="FFE9E583"/>
        <bgColor rgb="FFD9D9D9"/>
      </patternFill>
    </fill>
    <fill>
      <patternFill patternType="solid">
        <fgColor rgb="FFF1E784"/>
        <bgColor rgb="FFD9D9D9"/>
      </patternFill>
    </fill>
    <fill>
      <patternFill patternType="solid">
        <fgColor rgb="FFFA9C74"/>
        <bgColor rgb="FFD9D9D9"/>
      </patternFill>
    </fill>
    <fill>
      <patternFill patternType="solid">
        <fgColor rgb="FFFEDA80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A9D380"/>
        <bgColor rgb="FF000000"/>
      </patternFill>
    </fill>
    <fill>
      <patternFill patternType="solid">
        <fgColor rgb="FFF4E884"/>
        <bgColor rgb="FFD9D9D9"/>
      </patternFill>
    </fill>
    <fill>
      <patternFill patternType="solid">
        <fgColor rgb="FF9ECF7F"/>
        <bgColor rgb="FFD9D9D9"/>
      </patternFill>
    </fill>
    <fill>
      <patternFill patternType="solid">
        <fgColor rgb="FFACD380"/>
        <bgColor rgb="FFD9D9D9"/>
      </patternFill>
    </fill>
    <fill>
      <patternFill patternType="solid">
        <fgColor rgb="FFE8E583"/>
        <bgColor rgb="FFD9D9D9"/>
      </patternFill>
    </fill>
    <fill>
      <patternFill patternType="solid">
        <fgColor rgb="FFE4E483"/>
        <bgColor rgb="FFD9D9D9"/>
      </patternFill>
    </fill>
    <fill>
      <patternFill patternType="solid">
        <fgColor rgb="FFFCBC7B"/>
        <bgColor rgb="FFD9D9D9"/>
      </patternFill>
    </fill>
    <fill>
      <patternFill patternType="solid">
        <fgColor rgb="FFC1D981"/>
        <bgColor rgb="FF000000"/>
      </patternFill>
    </fill>
    <fill>
      <patternFill patternType="solid">
        <fgColor rgb="FFFBA276"/>
        <bgColor rgb="FF000000"/>
      </patternFill>
    </fill>
    <fill>
      <patternFill patternType="solid">
        <fgColor rgb="FFFBB279"/>
        <bgColor rgb="FF000000"/>
      </patternFill>
    </fill>
    <fill>
      <patternFill patternType="solid">
        <fgColor rgb="FFFBA476"/>
        <bgColor rgb="FF000000"/>
      </patternFill>
    </fill>
    <fill>
      <patternFill patternType="solid">
        <fgColor rgb="FFFDD17F"/>
        <bgColor rgb="FF000000"/>
      </patternFill>
    </fill>
    <fill>
      <patternFill patternType="solid">
        <fgColor rgb="FFFDCC7E"/>
        <bgColor rgb="FFD9D9D9"/>
      </patternFill>
    </fill>
    <fill>
      <patternFill patternType="solid">
        <fgColor rgb="FFF98570"/>
        <bgColor rgb="FFD9D9D9"/>
      </patternFill>
    </fill>
    <fill>
      <patternFill patternType="solid">
        <fgColor rgb="FFFCBF7B"/>
        <bgColor rgb="FF000000"/>
      </patternFill>
    </fill>
    <fill>
      <patternFill patternType="solid">
        <fgColor rgb="FFFCC57C"/>
        <bgColor rgb="FFD9D9D9"/>
      </patternFill>
    </fill>
    <fill>
      <patternFill patternType="solid">
        <fgColor rgb="FFFDCA7D"/>
        <bgColor rgb="FFD9D9D9"/>
      </patternFill>
    </fill>
    <fill>
      <patternFill patternType="solid">
        <fgColor rgb="FFFBA776"/>
        <bgColor rgb="FF000000"/>
      </patternFill>
    </fill>
    <fill>
      <patternFill patternType="solid">
        <fgColor rgb="FFFEEB84"/>
        <bgColor rgb="FF000000"/>
      </patternFill>
    </fill>
    <fill>
      <patternFill patternType="solid">
        <fgColor rgb="FFC4DA81"/>
        <bgColor rgb="FFD9D9D9"/>
      </patternFill>
    </fill>
    <fill>
      <patternFill patternType="solid">
        <fgColor rgb="FFF98370"/>
        <bgColor rgb="FF000000"/>
      </patternFill>
    </fill>
    <fill>
      <patternFill patternType="solid">
        <fgColor rgb="FFD7E082"/>
        <bgColor rgb="FFD9D9D9"/>
      </patternFill>
    </fill>
    <fill>
      <patternFill patternType="solid">
        <fgColor rgb="FFFA9573"/>
        <bgColor rgb="FF000000"/>
      </patternFill>
    </fill>
    <fill>
      <patternFill patternType="solid">
        <fgColor rgb="FFF0E784"/>
        <bgColor rgb="FFD9D9D9"/>
      </patternFill>
    </fill>
    <fill>
      <patternFill patternType="solid">
        <fgColor rgb="FFFEE983"/>
        <bgColor rgb="FFD9D9D9"/>
      </patternFill>
    </fill>
    <fill>
      <patternFill patternType="solid">
        <fgColor rgb="FFD2DE82"/>
        <bgColor rgb="FFD9D9D9"/>
      </patternFill>
    </fill>
    <fill>
      <patternFill patternType="solid">
        <fgColor rgb="FFCCDD82"/>
        <bgColor rgb="FFD9D9D9"/>
      </patternFill>
    </fill>
    <fill>
      <patternFill patternType="solid">
        <fgColor rgb="FFB7D680"/>
        <bgColor rgb="FFD9D9D9"/>
      </patternFill>
    </fill>
    <fill>
      <patternFill patternType="solid">
        <fgColor rgb="FFFA9573"/>
        <bgColor rgb="FFD9D9D9"/>
      </patternFill>
    </fill>
    <fill>
      <patternFill patternType="solid">
        <fgColor rgb="FFBFD981"/>
        <bgColor rgb="FF000000"/>
      </patternFill>
    </fill>
    <fill>
      <patternFill patternType="solid">
        <fgColor rgb="FFD7E082"/>
        <bgColor rgb="FF000000"/>
      </patternFill>
    </fill>
    <fill>
      <patternFill patternType="solid">
        <fgColor rgb="FFBAD780"/>
        <bgColor rgb="FF000000"/>
      </patternFill>
    </fill>
    <fill>
      <patternFill patternType="solid">
        <fgColor rgb="FFEEE683"/>
        <bgColor rgb="FF000000"/>
      </patternFill>
    </fill>
    <fill>
      <patternFill patternType="solid">
        <fgColor rgb="FFFCEB84"/>
        <bgColor rgb="FFD9D9D9"/>
      </patternFill>
    </fill>
    <fill>
      <patternFill patternType="solid">
        <fgColor rgb="FFDEE283"/>
        <bgColor rgb="FFD9D9D9"/>
      </patternFill>
    </fill>
    <fill>
      <patternFill patternType="solid">
        <fgColor rgb="FFFCB77A"/>
        <bgColor rgb="FFD9D9D9"/>
      </patternFill>
    </fill>
    <fill>
      <patternFill patternType="solid">
        <fgColor rgb="FFD6E082"/>
        <bgColor rgb="FF000000"/>
      </patternFill>
    </fill>
    <fill>
      <patternFill patternType="solid">
        <fgColor rgb="FFF2E884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F98770"/>
        <bgColor rgb="FF000000"/>
      </patternFill>
    </fill>
    <fill>
      <patternFill patternType="solid">
        <fgColor rgb="FFC9DC81"/>
        <bgColor rgb="FFD9D9D9"/>
      </patternFill>
    </fill>
    <fill>
      <patternFill patternType="solid">
        <fgColor rgb="FFFDD57F"/>
        <bgColor rgb="FFD9D9D9"/>
      </patternFill>
    </fill>
    <fill>
      <patternFill patternType="solid">
        <fgColor rgb="FFDFE283"/>
        <bgColor rgb="FFD9D9D9"/>
      </patternFill>
    </fill>
    <fill>
      <patternFill patternType="solid">
        <fgColor rgb="FFF98470"/>
        <bgColor rgb="FFD9D9D9"/>
      </patternFill>
    </fill>
    <fill>
      <patternFill patternType="solid">
        <fgColor rgb="FFB7D780"/>
        <bgColor rgb="FF000000"/>
      </patternFill>
    </fill>
    <fill>
      <patternFill patternType="solid">
        <fgColor rgb="FFFBA075"/>
        <bgColor rgb="FFD9D9D9"/>
      </patternFill>
    </fill>
    <fill>
      <patternFill patternType="solid">
        <fgColor rgb="FFF5E984"/>
        <bgColor rgb="FFD9D9D9"/>
      </patternFill>
    </fill>
    <fill>
      <patternFill patternType="solid">
        <fgColor rgb="FFFBEA84"/>
        <bgColor rgb="FFD9D9D9"/>
      </patternFill>
    </fill>
    <fill>
      <patternFill patternType="solid">
        <fgColor rgb="FFFBA877"/>
        <bgColor rgb="FF000000"/>
      </patternFill>
    </fill>
    <fill>
      <patternFill patternType="solid">
        <fgColor rgb="FFEEE683"/>
        <bgColor rgb="FFD9D9D9"/>
      </patternFill>
    </fill>
    <fill>
      <patternFill patternType="solid">
        <fgColor rgb="FFF6E984"/>
        <bgColor rgb="FF000000"/>
      </patternFill>
    </fill>
    <fill>
      <patternFill patternType="solid">
        <fgColor rgb="FFFBA676"/>
        <bgColor rgb="FF000000"/>
      </patternFill>
    </fill>
    <fill>
      <patternFill patternType="solid">
        <fgColor rgb="FFE1E383"/>
        <bgColor rgb="FF000000"/>
      </patternFill>
    </fill>
    <fill>
      <patternFill patternType="solid">
        <fgColor rgb="FFEDE683"/>
        <bgColor rgb="FFD9D9D9"/>
      </patternFill>
    </fill>
    <fill>
      <patternFill patternType="solid">
        <fgColor rgb="FFFEE783"/>
        <bgColor rgb="FFD9D9D9"/>
      </patternFill>
    </fill>
    <fill>
      <patternFill patternType="solid">
        <fgColor rgb="FFBDD881"/>
        <bgColor rgb="FFD9D9D9"/>
      </patternFill>
    </fill>
    <fill>
      <patternFill patternType="solid">
        <fgColor rgb="FFF98971"/>
        <bgColor rgb="FFD9D9D9"/>
      </patternFill>
    </fill>
    <fill>
      <patternFill patternType="solid">
        <fgColor rgb="FFFCBE7B"/>
        <bgColor rgb="FFD9D9D9"/>
      </patternFill>
    </fill>
    <fill>
      <patternFill patternType="solid">
        <fgColor rgb="FFEFE784"/>
        <bgColor rgb="FFD9D9D9"/>
      </patternFill>
    </fill>
    <fill>
      <patternFill patternType="solid">
        <fgColor rgb="FFEBE683"/>
        <bgColor rgb="FFD9D9D9"/>
      </patternFill>
    </fill>
    <fill>
      <patternFill patternType="solid">
        <fgColor rgb="FFA3D17F"/>
        <bgColor rgb="FF000000"/>
      </patternFill>
    </fill>
    <fill>
      <patternFill patternType="solid">
        <fgColor rgb="FFFCC37C"/>
        <bgColor rgb="FFD9D9D9"/>
      </patternFill>
    </fill>
    <fill>
      <patternFill patternType="solid">
        <fgColor rgb="FFFBA877"/>
        <bgColor rgb="FFD9D9D9"/>
      </patternFill>
    </fill>
    <fill>
      <patternFill patternType="solid">
        <fgColor rgb="FFFEDE81"/>
        <bgColor rgb="FF000000"/>
      </patternFill>
    </fill>
    <fill>
      <patternFill patternType="solid">
        <fgColor rgb="FFF7E984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C0D981"/>
        <bgColor rgb="FF000000"/>
      </patternFill>
    </fill>
    <fill>
      <patternFill patternType="solid">
        <fgColor rgb="FFFDC97D"/>
        <bgColor rgb="FF000000"/>
      </patternFill>
    </fill>
    <fill>
      <patternFill patternType="solid">
        <fgColor rgb="FFF8786D"/>
        <bgColor rgb="FF000000"/>
      </patternFill>
    </fill>
    <fill>
      <patternFill patternType="solid">
        <fgColor rgb="FFFCBA7A"/>
        <bgColor rgb="FFD9D9D9"/>
      </patternFill>
    </fill>
    <fill>
      <patternFill patternType="solid">
        <fgColor rgb="FFB9D780"/>
        <bgColor rgb="FF000000"/>
      </patternFill>
    </fill>
    <fill>
      <patternFill patternType="solid">
        <fgColor rgb="FFFCC07B"/>
        <bgColor rgb="FFD9D9D9"/>
      </patternFill>
    </fill>
    <fill>
      <patternFill patternType="solid">
        <fgColor rgb="FFCEDD82"/>
        <bgColor rgb="FFD9D9D9"/>
      </patternFill>
    </fill>
    <fill>
      <patternFill patternType="solid">
        <fgColor rgb="FFD1DE82"/>
        <bgColor rgb="FF000000"/>
      </patternFill>
    </fill>
    <fill>
      <patternFill patternType="solid">
        <fgColor rgb="FFFAEA84"/>
        <bgColor rgb="FF000000"/>
      </patternFill>
    </fill>
    <fill>
      <patternFill patternType="solid">
        <fgColor rgb="FFE6E483"/>
        <bgColor rgb="FFD9D9D9"/>
      </patternFill>
    </fill>
    <fill>
      <patternFill patternType="solid">
        <fgColor rgb="FFFEE683"/>
        <bgColor rgb="FF000000"/>
      </patternFill>
    </fill>
    <fill>
      <patternFill patternType="solid">
        <fgColor rgb="FF77C47D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FEDA80"/>
        <bgColor rgb="FFD9D9D9"/>
      </patternFill>
    </fill>
    <fill>
      <patternFill patternType="solid">
        <fgColor rgb="FFFDD47F"/>
        <bgColor rgb="FFD9D9D9"/>
      </patternFill>
    </fill>
    <fill>
      <patternFill patternType="solid">
        <fgColor rgb="FFE0E383"/>
        <bgColor rgb="FF000000"/>
      </patternFill>
    </fill>
    <fill>
      <patternFill patternType="solid">
        <fgColor rgb="FFFCB77A"/>
        <bgColor rgb="FF000000"/>
      </patternFill>
    </fill>
    <fill>
      <patternFill patternType="solid">
        <fgColor rgb="FFFA9E75"/>
        <bgColor rgb="FF000000"/>
      </patternFill>
    </fill>
    <fill>
      <patternFill patternType="solid">
        <fgColor rgb="FFFA9874"/>
        <bgColor rgb="FFD9D9D9"/>
      </patternFill>
    </fill>
    <fill>
      <patternFill patternType="solid">
        <fgColor rgb="FFE7E483"/>
        <bgColor rgb="FF000000"/>
      </patternFill>
    </fill>
    <fill>
      <patternFill patternType="solid">
        <fgColor rgb="FFABD380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AED480"/>
        <bgColor rgb="FF000000"/>
      </patternFill>
    </fill>
    <fill>
      <patternFill patternType="solid">
        <fgColor rgb="FFB9D780"/>
        <bgColor rgb="FFD9D9D9"/>
      </patternFill>
    </fill>
    <fill>
      <patternFill patternType="solid">
        <fgColor rgb="FFBCD881"/>
        <bgColor rgb="FFD9D9D9"/>
      </patternFill>
    </fill>
    <fill>
      <patternFill patternType="solid">
        <fgColor rgb="FFFA9773"/>
        <bgColor rgb="FFD9D9D9"/>
      </patternFill>
    </fill>
    <fill>
      <patternFill patternType="solid">
        <fgColor rgb="FFFEDB81"/>
        <bgColor rgb="FF000000"/>
      </patternFill>
    </fill>
    <fill>
      <patternFill patternType="solid">
        <fgColor rgb="FFFCB87A"/>
        <bgColor rgb="FFD9D9D9"/>
      </patternFill>
    </fill>
    <fill>
      <patternFill patternType="solid">
        <fgColor rgb="FFC9DC81"/>
        <bgColor rgb="FF000000"/>
      </patternFill>
    </fill>
    <fill>
      <patternFill patternType="solid">
        <fgColor rgb="FF8FCB7E"/>
        <bgColor rgb="FF000000"/>
      </patternFill>
    </fill>
    <fill>
      <patternFill patternType="solid">
        <fgColor rgb="FFCEDD82"/>
        <bgColor rgb="FF000000"/>
      </patternFill>
    </fill>
    <fill>
      <patternFill patternType="solid">
        <fgColor rgb="FFFBB179"/>
        <bgColor rgb="FFD9D9D9"/>
      </patternFill>
    </fill>
    <fill>
      <patternFill patternType="solid">
        <fgColor rgb="FFC7DB81"/>
        <bgColor rgb="FF000000"/>
      </patternFill>
    </fill>
    <fill>
      <patternFill patternType="solid">
        <fgColor rgb="FFFDC77D"/>
        <bgColor rgb="FF000000"/>
      </patternFill>
    </fill>
    <fill>
      <patternFill patternType="solid">
        <fgColor rgb="FFD3DF82"/>
        <bgColor rgb="FFD9D9D9"/>
      </patternFill>
    </fill>
    <fill>
      <patternFill patternType="solid">
        <fgColor rgb="FFF98A71"/>
        <bgColor rgb="FF000000"/>
      </patternFill>
    </fill>
    <fill>
      <patternFill patternType="solid">
        <fgColor rgb="FFFDC97D"/>
        <bgColor rgb="FFD9D9D9"/>
      </patternFill>
    </fill>
    <fill>
      <patternFill patternType="solid">
        <fgColor rgb="FFFCB379"/>
        <bgColor rgb="FFD9D9D9"/>
      </patternFill>
    </fill>
    <fill>
      <patternFill patternType="solid">
        <fgColor rgb="FFFA8E72"/>
        <bgColor rgb="FF000000"/>
      </patternFill>
    </fill>
    <fill>
      <patternFill patternType="solid">
        <fgColor rgb="FFD6DF82"/>
        <bgColor rgb="FF000000"/>
      </patternFill>
    </fill>
    <fill>
      <patternFill patternType="solid">
        <fgColor rgb="FFFDD27F"/>
        <bgColor rgb="FFD9D9D9"/>
      </patternFill>
    </fill>
    <fill>
      <patternFill patternType="solid">
        <fgColor rgb="FFFEE182"/>
        <bgColor rgb="FF000000"/>
      </patternFill>
    </fill>
    <fill>
      <patternFill patternType="solid">
        <fgColor rgb="FFF97E6F"/>
        <bgColor rgb="FFD9D9D9"/>
      </patternFill>
    </fill>
    <fill>
      <patternFill patternType="solid">
        <fgColor rgb="FFEAE583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FBB178"/>
        <bgColor rgb="FFD9D9D9"/>
      </patternFill>
    </fill>
    <fill>
      <patternFill patternType="solid">
        <fgColor rgb="FF88C97E"/>
        <bgColor rgb="FFD9D9D9"/>
      </patternFill>
    </fill>
    <fill>
      <patternFill patternType="solid">
        <fgColor rgb="FFFCC27C"/>
        <bgColor rgb="FF000000"/>
      </patternFill>
    </fill>
    <fill>
      <patternFill patternType="solid">
        <fgColor rgb="FFB4D680"/>
        <bgColor rgb="FF000000"/>
      </patternFill>
    </fill>
    <fill>
      <patternFill patternType="solid">
        <fgColor rgb="FFB3D580"/>
        <bgColor rgb="FF000000"/>
      </patternFill>
    </fill>
    <fill>
      <patternFill patternType="solid">
        <fgColor rgb="FFFA9F75"/>
        <bgColor rgb="FF000000"/>
      </patternFill>
    </fill>
    <fill>
      <patternFill patternType="solid">
        <fgColor rgb="FFFDCF7E"/>
        <bgColor rgb="FF000000"/>
      </patternFill>
    </fill>
    <fill>
      <patternFill patternType="solid">
        <fgColor rgb="FFB5D680"/>
        <bgColor rgb="FF000000"/>
      </patternFill>
    </fill>
    <fill>
      <patternFill patternType="solid">
        <fgColor rgb="FFFBA476"/>
        <bgColor rgb="FFD9D9D9"/>
      </patternFill>
    </fill>
    <fill>
      <patternFill patternType="solid">
        <fgColor rgb="FFFEE282"/>
        <bgColor rgb="FF000000"/>
      </patternFill>
    </fill>
    <fill>
      <patternFill patternType="solid">
        <fgColor rgb="FFEFE784"/>
        <bgColor rgb="FF000000"/>
      </patternFill>
    </fill>
    <fill>
      <patternFill patternType="solid">
        <fgColor rgb="FF7EC67D"/>
        <bgColor rgb="FF000000"/>
      </patternFill>
    </fill>
    <fill>
      <patternFill patternType="solid">
        <fgColor rgb="FFFDCD7E"/>
        <bgColor rgb="FF000000"/>
      </patternFill>
    </fill>
    <fill>
      <patternFill patternType="solid">
        <fgColor rgb="FFFA8F72"/>
        <bgColor rgb="FF000000"/>
      </patternFill>
    </fill>
    <fill>
      <patternFill patternType="solid">
        <fgColor rgb="FFFDD07E"/>
        <bgColor rgb="FFD9D9D9"/>
      </patternFill>
    </fill>
    <fill>
      <patternFill patternType="solid">
        <fgColor rgb="FFEEE784"/>
        <bgColor rgb="FFD9D9D9"/>
      </patternFill>
    </fill>
    <fill>
      <patternFill patternType="solid">
        <fgColor rgb="FFFA9A74"/>
        <bgColor rgb="FFD9D9D9"/>
      </patternFill>
    </fill>
    <fill>
      <patternFill patternType="solid">
        <fgColor rgb="FFFCB679"/>
        <bgColor rgb="FF000000"/>
      </patternFill>
    </fill>
    <fill>
      <patternFill patternType="solid">
        <fgColor rgb="FF9BCE7F"/>
        <bgColor rgb="FF000000"/>
      </patternFill>
    </fill>
    <fill>
      <patternFill patternType="solid">
        <fgColor rgb="FFFA9273"/>
        <bgColor rgb="FF000000"/>
      </patternFill>
    </fill>
    <fill>
      <patternFill patternType="solid">
        <fgColor rgb="FFFBAC77"/>
        <bgColor rgb="FFD9D9D9"/>
      </patternFill>
    </fill>
    <fill>
      <patternFill patternType="solid">
        <fgColor rgb="FFFCC27C"/>
        <bgColor rgb="FFD9D9D9"/>
      </patternFill>
    </fill>
    <fill>
      <patternFill patternType="solid">
        <fgColor rgb="FF72C37C"/>
        <bgColor rgb="FFD9D9D9"/>
      </patternFill>
    </fill>
    <fill>
      <patternFill patternType="solid">
        <fgColor rgb="FFBAD780"/>
        <bgColor rgb="FFD9D9D9"/>
      </patternFill>
    </fill>
    <fill>
      <patternFill patternType="solid">
        <fgColor rgb="FFC6DB81"/>
        <bgColor rgb="FF000000"/>
      </patternFill>
    </fill>
    <fill>
      <patternFill patternType="solid">
        <fgColor rgb="FF70C27C"/>
        <bgColor rgb="FFD9D9D9"/>
      </patternFill>
    </fill>
    <fill>
      <patternFill patternType="solid">
        <fgColor rgb="FFFEEA83"/>
        <bgColor rgb="FF000000"/>
      </patternFill>
    </fill>
    <fill>
      <patternFill patternType="solid">
        <fgColor rgb="FFFA9172"/>
        <bgColor rgb="FFD9D9D9"/>
      </patternFill>
    </fill>
    <fill>
      <patternFill patternType="solid">
        <fgColor rgb="FFEAE583"/>
        <bgColor rgb="FFD9D9D9"/>
      </patternFill>
    </fill>
    <fill>
      <patternFill patternType="solid">
        <fgColor rgb="FFA1D07F"/>
        <bgColor rgb="FF000000"/>
      </patternFill>
    </fill>
    <fill>
      <patternFill patternType="solid">
        <fgColor rgb="FF8CCA7E"/>
        <bgColor rgb="FF000000"/>
      </patternFill>
    </fill>
    <fill>
      <patternFill patternType="solid">
        <fgColor rgb="FF98CE7F"/>
        <bgColor rgb="FF000000"/>
      </patternFill>
    </fill>
    <fill>
      <patternFill patternType="solid">
        <fgColor rgb="FFFA9974"/>
        <bgColor rgb="FFD9D9D9"/>
      </patternFill>
    </fill>
    <fill>
      <patternFill patternType="solid">
        <fgColor rgb="FFB3D580"/>
        <bgColor rgb="FFD9D9D9"/>
      </patternFill>
    </fill>
    <fill>
      <patternFill patternType="solid">
        <fgColor rgb="FFACD380"/>
        <bgColor rgb="FF000000"/>
      </patternFill>
    </fill>
    <fill>
      <patternFill patternType="solid">
        <fgColor rgb="FFFCB579"/>
        <bgColor rgb="FF000000"/>
      </patternFill>
    </fill>
    <fill>
      <patternFill patternType="solid">
        <fgColor rgb="FFE4E383"/>
        <bgColor rgb="FF000000"/>
      </patternFill>
    </fill>
    <fill>
      <patternFill patternType="solid">
        <fgColor rgb="FFE0E283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FBAF78"/>
        <bgColor rgb="FF000000"/>
      </patternFill>
    </fill>
    <fill>
      <patternFill patternType="solid">
        <fgColor rgb="FFFDD880"/>
        <bgColor rgb="FFD9D9D9"/>
      </patternFill>
    </fill>
    <fill>
      <patternFill patternType="solid">
        <fgColor rgb="FFFBA175"/>
        <bgColor rgb="FF000000"/>
      </patternFill>
    </fill>
    <fill>
      <patternFill patternType="solid">
        <fgColor rgb="FFBAD881"/>
        <bgColor rgb="FFD9D9D9"/>
      </patternFill>
    </fill>
    <fill>
      <patternFill patternType="solid">
        <fgColor rgb="FFF9EA84"/>
        <bgColor rgb="FF000000"/>
      </patternFill>
    </fill>
    <fill>
      <patternFill patternType="solid">
        <fgColor rgb="FFF87A6E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8" fontId="2" fillId="4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10" fontId="2" fillId="5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6" borderId="1" xfId="0" applyNumberFormat="1" applyFont="1" applyFill="1" applyBorder="1" applyAlignment="1">
      <alignment horizontal="center"/>
    </xf>
    <xf numFmtId="10" fontId="2" fillId="7" borderId="1" xfId="0" applyNumberFormat="1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10" fontId="2" fillId="9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2" fillId="10" borderId="0" xfId="0" applyNumberFormat="1" applyFont="1" applyFill="1" applyAlignment="1">
      <alignment horizontal="center"/>
    </xf>
    <xf numFmtId="8" fontId="2" fillId="0" borderId="0" xfId="0" applyNumberFormat="1" applyFont="1" applyAlignment="1">
      <alignment horizontal="center"/>
    </xf>
    <xf numFmtId="10" fontId="2" fillId="11" borderId="0" xfId="0" applyNumberFormat="1" applyFont="1" applyFill="1" applyAlignment="1">
      <alignment horizontal="center"/>
    </xf>
    <xf numFmtId="10" fontId="2" fillId="12" borderId="0" xfId="0" applyNumberFormat="1" applyFont="1" applyFill="1" applyAlignment="1">
      <alignment horizontal="center"/>
    </xf>
    <xf numFmtId="10" fontId="2" fillId="13" borderId="0" xfId="0" applyNumberFormat="1" applyFont="1" applyFill="1" applyAlignment="1">
      <alignment horizontal="center"/>
    </xf>
    <xf numFmtId="10" fontId="2" fillId="14" borderId="0" xfId="0" applyNumberFormat="1" applyFont="1" applyFill="1" applyAlignment="1">
      <alignment horizontal="center"/>
    </xf>
    <xf numFmtId="10" fontId="2" fillId="15" borderId="0" xfId="0" applyNumberFormat="1" applyFont="1" applyFill="1" applyAlignment="1">
      <alignment horizontal="center"/>
    </xf>
    <xf numFmtId="10" fontId="2" fillId="17" borderId="1" xfId="0" applyNumberFormat="1" applyFont="1" applyFill="1" applyBorder="1" applyAlignment="1">
      <alignment horizontal="center"/>
    </xf>
    <xf numFmtId="10" fontId="2" fillId="18" borderId="0" xfId="0" applyNumberFormat="1" applyFont="1" applyFill="1" applyAlignment="1">
      <alignment horizontal="center"/>
    </xf>
    <xf numFmtId="10" fontId="2" fillId="19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/>
    </xf>
    <xf numFmtId="10" fontId="2" fillId="8" borderId="0" xfId="0" applyNumberFormat="1" applyFont="1" applyFill="1" applyAlignment="1">
      <alignment horizontal="center"/>
    </xf>
    <xf numFmtId="10" fontId="2" fillId="21" borderId="1" xfId="0" applyNumberFormat="1" applyFont="1" applyFill="1" applyBorder="1" applyAlignment="1">
      <alignment horizontal="center"/>
    </xf>
    <xf numFmtId="10" fontId="2" fillId="23" borderId="0" xfId="0" applyNumberFormat="1" applyFont="1" applyFill="1" applyAlignment="1">
      <alignment horizontal="center"/>
    </xf>
    <xf numFmtId="10" fontId="2" fillId="24" borderId="1" xfId="0" applyNumberFormat="1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10" fontId="2" fillId="25" borderId="0" xfId="0" applyNumberFormat="1" applyFont="1" applyFill="1" applyAlignment="1">
      <alignment horizontal="center"/>
    </xf>
    <xf numFmtId="10" fontId="2" fillId="26" borderId="0" xfId="0" applyNumberFormat="1" applyFont="1" applyFill="1" applyAlignment="1">
      <alignment horizontal="center"/>
    </xf>
    <xf numFmtId="10" fontId="2" fillId="27" borderId="0" xfId="0" applyNumberFormat="1" applyFont="1" applyFill="1" applyAlignment="1">
      <alignment horizontal="center"/>
    </xf>
    <xf numFmtId="10" fontId="2" fillId="15" borderId="1" xfId="0" applyNumberFormat="1" applyFont="1" applyFill="1" applyBorder="1" applyAlignment="1">
      <alignment horizontal="center"/>
    </xf>
    <xf numFmtId="10" fontId="2" fillId="30" borderId="0" xfId="0" applyNumberFormat="1" applyFont="1" applyFill="1" applyAlignment="1">
      <alignment horizontal="center"/>
    </xf>
    <xf numFmtId="10" fontId="2" fillId="31" borderId="0" xfId="0" applyNumberFormat="1" applyFont="1" applyFill="1" applyAlignment="1">
      <alignment horizontal="center"/>
    </xf>
    <xf numFmtId="10" fontId="2" fillId="32" borderId="0" xfId="0" applyNumberFormat="1" applyFont="1" applyFill="1" applyAlignment="1">
      <alignment horizontal="center"/>
    </xf>
    <xf numFmtId="10" fontId="2" fillId="33" borderId="1" xfId="0" applyNumberFormat="1" applyFont="1" applyFill="1" applyBorder="1" applyAlignment="1">
      <alignment horizontal="center"/>
    </xf>
    <xf numFmtId="10" fontId="2" fillId="34" borderId="0" xfId="0" applyNumberFormat="1" applyFont="1" applyFill="1" applyAlignment="1">
      <alignment horizontal="center"/>
    </xf>
    <xf numFmtId="10" fontId="2" fillId="35" borderId="0" xfId="0" applyNumberFormat="1" applyFont="1" applyFill="1" applyAlignment="1">
      <alignment horizontal="center"/>
    </xf>
    <xf numFmtId="10" fontId="2" fillId="36" borderId="0" xfId="0" applyNumberFormat="1" applyFont="1" applyFill="1" applyAlignment="1">
      <alignment horizontal="center"/>
    </xf>
    <xf numFmtId="10" fontId="2" fillId="37" borderId="0" xfId="0" applyNumberFormat="1" applyFont="1" applyFill="1" applyAlignment="1">
      <alignment horizontal="center"/>
    </xf>
    <xf numFmtId="10" fontId="2" fillId="38" borderId="1" xfId="0" applyNumberFormat="1" applyFont="1" applyFill="1" applyBorder="1" applyAlignment="1">
      <alignment horizontal="center"/>
    </xf>
    <xf numFmtId="10" fontId="2" fillId="39" borderId="0" xfId="0" applyNumberFormat="1" applyFont="1" applyFill="1" applyAlignment="1">
      <alignment horizontal="center"/>
    </xf>
    <xf numFmtId="10" fontId="2" fillId="41" borderId="0" xfId="0" applyNumberFormat="1" applyFont="1" applyFill="1" applyAlignment="1">
      <alignment horizontal="center"/>
    </xf>
    <xf numFmtId="10" fontId="2" fillId="42" borderId="0" xfId="0" applyNumberFormat="1" applyFont="1" applyFill="1" applyAlignment="1">
      <alignment horizontal="center"/>
    </xf>
    <xf numFmtId="10" fontId="2" fillId="43" borderId="0" xfId="0" applyNumberFormat="1" applyFont="1" applyFill="1" applyAlignment="1">
      <alignment horizontal="center"/>
    </xf>
    <xf numFmtId="10" fontId="2" fillId="44" borderId="0" xfId="0" applyNumberFormat="1" applyFont="1" applyFill="1" applyAlignment="1">
      <alignment horizontal="center"/>
    </xf>
    <xf numFmtId="10" fontId="2" fillId="46" borderId="1" xfId="0" applyNumberFormat="1" applyFont="1" applyFill="1" applyBorder="1" applyAlignment="1">
      <alignment horizontal="center"/>
    </xf>
    <xf numFmtId="10" fontId="2" fillId="47" borderId="0" xfId="0" applyNumberFormat="1" applyFont="1" applyFill="1" applyAlignment="1">
      <alignment horizontal="center"/>
    </xf>
    <xf numFmtId="10" fontId="2" fillId="48" borderId="0" xfId="0" applyNumberFormat="1" applyFont="1" applyFill="1" applyAlignment="1">
      <alignment horizontal="center"/>
    </xf>
    <xf numFmtId="10" fontId="2" fillId="49" borderId="0" xfId="0" applyNumberFormat="1" applyFont="1" applyFill="1" applyAlignment="1">
      <alignment horizontal="center"/>
    </xf>
    <xf numFmtId="10" fontId="2" fillId="50" borderId="0" xfId="0" applyNumberFormat="1" applyFont="1" applyFill="1" applyAlignment="1">
      <alignment horizontal="center"/>
    </xf>
    <xf numFmtId="10" fontId="2" fillId="51" borderId="1" xfId="0" applyNumberFormat="1" applyFont="1" applyFill="1" applyBorder="1" applyAlignment="1">
      <alignment horizontal="center"/>
    </xf>
    <xf numFmtId="10" fontId="2" fillId="52" borderId="0" xfId="0" applyNumberFormat="1" applyFont="1" applyFill="1" applyAlignment="1">
      <alignment horizontal="center"/>
    </xf>
    <xf numFmtId="10" fontId="2" fillId="53" borderId="0" xfId="0" applyNumberFormat="1" applyFont="1" applyFill="1" applyAlignment="1">
      <alignment horizontal="center"/>
    </xf>
    <xf numFmtId="10" fontId="2" fillId="54" borderId="0" xfId="0" applyNumberFormat="1" applyFont="1" applyFill="1" applyAlignment="1">
      <alignment horizontal="center"/>
    </xf>
    <xf numFmtId="10" fontId="2" fillId="55" borderId="0" xfId="0" applyNumberFormat="1" applyFont="1" applyFill="1" applyAlignment="1">
      <alignment horizontal="center"/>
    </xf>
    <xf numFmtId="10" fontId="2" fillId="56" borderId="1" xfId="0" applyNumberFormat="1" applyFont="1" applyFill="1" applyBorder="1" applyAlignment="1">
      <alignment horizontal="center"/>
    </xf>
    <xf numFmtId="10" fontId="2" fillId="57" borderId="0" xfId="0" applyNumberFormat="1" applyFont="1" applyFill="1" applyAlignment="1">
      <alignment horizontal="center"/>
    </xf>
    <xf numFmtId="10" fontId="2" fillId="58" borderId="0" xfId="0" applyNumberFormat="1" applyFont="1" applyFill="1" applyAlignment="1">
      <alignment horizontal="center"/>
    </xf>
    <xf numFmtId="10" fontId="2" fillId="59" borderId="0" xfId="0" applyNumberFormat="1" applyFont="1" applyFill="1" applyAlignment="1">
      <alignment horizontal="center"/>
    </xf>
    <xf numFmtId="10" fontId="2" fillId="60" borderId="0" xfId="0" applyNumberFormat="1" applyFont="1" applyFill="1" applyAlignment="1">
      <alignment horizontal="center"/>
    </xf>
    <xf numFmtId="10" fontId="2" fillId="61" borderId="1" xfId="0" applyNumberFormat="1" applyFont="1" applyFill="1" applyBorder="1" applyAlignment="1">
      <alignment horizontal="center"/>
    </xf>
    <xf numFmtId="10" fontId="2" fillId="63" borderId="0" xfId="0" applyNumberFormat="1" applyFont="1" applyFill="1" applyAlignment="1">
      <alignment horizontal="center"/>
    </xf>
    <xf numFmtId="10" fontId="2" fillId="64" borderId="0" xfId="0" applyNumberFormat="1" applyFont="1" applyFill="1" applyAlignment="1">
      <alignment horizontal="center"/>
    </xf>
    <xf numFmtId="10" fontId="2" fillId="65" borderId="0" xfId="0" applyNumberFormat="1" applyFont="1" applyFill="1" applyAlignment="1">
      <alignment horizontal="center"/>
    </xf>
    <xf numFmtId="10" fontId="2" fillId="67" borderId="1" xfId="0" applyNumberFormat="1" applyFont="1" applyFill="1" applyBorder="1" applyAlignment="1">
      <alignment horizontal="center"/>
    </xf>
    <xf numFmtId="10" fontId="2" fillId="68" borderId="0" xfId="0" applyNumberFormat="1" applyFont="1" applyFill="1" applyAlignment="1">
      <alignment horizontal="center"/>
    </xf>
    <xf numFmtId="10" fontId="2" fillId="69" borderId="0" xfId="0" applyNumberFormat="1" applyFont="1" applyFill="1" applyAlignment="1">
      <alignment horizontal="center"/>
    </xf>
    <xf numFmtId="10" fontId="2" fillId="70" borderId="0" xfId="0" applyNumberFormat="1" applyFont="1" applyFill="1" applyAlignment="1">
      <alignment horizontal="center"/>
    </xf>
    <xf numFmtId="10" fontId="2" fillId="71" borderId="1" xfId="0" applyNumberFormat="1" applyFont="1" applyFill="1" applyBorder="1" applyAlignment="1">
      <alignment horizontal="center"/>
    </xf>
    <xf numFmtId="10" fontId="2" fillId="56" borderId="0" xfId="0" applyNumberFormat="1" applyFont="1" applyFill="1" applyAlignment="1">
      <alignment horizontal="center"/>
    </xf>
    <xf numFmtId="10" fontId="2" fillId="72" borderId="0" xfId="0" applyNumberFormat="1" applyFont="1" applyFill="1" applyAlignment="1">
      <alignment horizontal="center"/>
    </xf>
    <xf numFmtId="10" fontId="2" fillId="73" borderId="0" xfId="0" applyNumberFormat="1" applyFont="1" applyFill="1" applyAlignment="1">
      <alignment horizontal="center"/>
    </xf>
    <xf numFmtId="10" fontId="2" fillId="75" borderId="1" xfId="0" applyNumberFormat="1" applyFont="1" applyFill="1" applyBorder="1" applyAlignment="1">
      <alignment horizontal="center"/>
    </xf>
    <xf numFmtId="10" fontId="2" fillId="77" borderId="0" xfId="0" applyNumberFormat="1" applyFont="1" applyFill="1" applyAlignment="1">
      <alignment horizontal="center"/>
    </xf>
    <xf numFmtId="10" fontId="2" fillId="78" borderId="0" xfId="0" applyNumberFormat="1" applyFont="1" applyFill="1" applyAlignment="1">
      <alignment horizontal="center"/>
    </xf>
    <xf numFmtId="10" fontId="2" fillId="79" borderId="0" xfId="0" applyNumberFormat="1" applyFont="1" applyFill="1" applyAlignment="1">
      <alignment horizontal="center"/>
    </xf>
    <xf numFmtId="10" fontId="2" fillId="80" borderId="1" xfId="0" applyNumberFormat="1" applyFont="1" applyFill="1" applyBorder="1" applyAlignment="1">
      <alignment horizontal="center"/>
    </xf>
    <xf numFmtId="10" fontId="2" fillId="82" borderId="0" xfId="0" applyNumberFormat="1" applyFont="1" applyFill="1" applyAlignment="1">
      <alignment horizontal="center"/>
    </xf>
    <xf numFmtId="10" fontId="2" fillId="83" borderId="0" xfId="0" applyNumberFormat="1" applyFont="1" applyFill="1" applyAlignment="1">
      <alignment horizontal="center"/>
    </xf>
    <xf numFmtId="10" fontId="2" fillId="85" borderId="0" xfId="0" applyNumberFormat="1" applyFont="1" applyFill="1" applyAlignment="1">
      <alignment horizontal="center"/>
    </xf>
    <xf numFmtId="10" fontId="2" fillId="86" borderId="0" xfId="0" applyNumberFormat="1" applyFont="1" applyFill="1" applyAlignment="1">
      <alignment horizontal="center"/>
    </xf>
    <xf numFmtId="10" fontId="2" fillId="87" borderId="0" xfId="0" applyNumberFormat="1" applyFont="1" applyFill="1" applyAlignment="1">
      <alignment horizontal="center"/>
    </xf>
    <xf numFmtId="10" fontId="2" fillId="88" borderId="1" xfId="0" applyNumberFormat="1" applyFont="1" applyFill="1" applyBorder="1" applyAlignment="1">
      <alignment horizontal="center"/>
    </xf>
    <xf numFmtId="10" fontId="2" fillId="89" borderId="0" xfId="0" applyNumberFormat="1" applyFont="1" applyFill="1" applyAlignment="1">
      <alignment horizontal="center"/>
    </xf>
    <xf numFmtId="10" fontId="2" fillId="90" borderId="1" xfId="0" applyNumberFormat="1" applyFont="1" applyFill="1" applyBorder="1" applyAlignment="1">
      <alignment horizontal="center"/>
    </xf>
    <xf numFmtId="10" fontId="2" fillId="91" borderId="0" xfId="0" applyNumberFormat="1" applyFont="1" applyFill="1" applyAlignment="1">
      <alignment horizontal="center"/>
    </xf>
    <xf numFmtId="10" fontId="2" fillId="92" borderId="0" xfId="0" applyNumberFormat="1" applyFont="1" applyFill="1" applyAlignment="1">
      <alignment horizontal="center"/>
    </xf>
    <xf numFmtId="10" fontId="2" fillId="93" borderId="0" xfId="0" applyNumberFormat="1" applyFont="1" applyFill="1" applyAlignment="1">
      <alignment horizontal="center"/>
    </xf>
    <xf numFmtId="10" fontId="2" fillId="37" borderId="1" xfId="0" applyNumberFormat="1" applyFont="1" applyFill="1" applyBorder="1" applyAlignment="1">
      <alignment horizontal="center"/>
    </xf>
    <xf numFmtId="10" fontId="2" fillId="51" borderId="0" xfId="0" applyNumberFormat="1" applyFont="1" applyFill="1" applyAlignment="1">
      <alignment horizontal="center"/>
    </xf>
    <xf numFmtId="10" fontId="2" fillId="94" borderId="0" xfId="0" applyNumberFormat="1" applyFont="1" applyFill="1" applyAlignment="1">
      <alignment horizontal="center"/>
    </xf>
    <xf numFmtId="10" fontId="2" fillId="95" borderId="0" xfId="0" applyNumberFormat="1" applyFont="1" applyFill="1" applyAlignment="1">
      <alignment horizontal="center"/>
    </xf>
    <xf numFmtId="10" fontId="2" fillId="96" borderId="1" xfId="0" applyNumberFormat="1" applyFont="1" applyFill="1" applyBorder="1" applyAlignment="1">
      <alignment horizontal="center"/>
    </xf>
    <xf numFmtId="10" fontId="2" fillId="97" borderId="0" xfId="0" applyNumberFormat="1" applyFont="1" applyFill="1" applyAlignment="1">
      <alignment horizontal="center"/>
    </xf>
    <xf numFmtId="10" fontId="2" fillId="99" borderId="1" xfId="0" applyNumberFormat="1" applyFont="1" applyFill="1" applyBorder="1" applyAlignment="1">
      <alignment horizontal="center"/>
    </xf>
    <xf numFmtId="10" fontId="2" fillId="100" borderId="0" xfId="0" applyNumberFormat="1" applyFont="1" applyFill="1" applyAlignment="1">
      <alignment horizontal="center"/>
    </xf>
    <xf numFmtId="10" fontId="2" fillId="101" borderId="0" xfId="0" applyNumberFormat="1" applyFont="1" applyFill="1" applyAlignment="1">
      <alignment horizontal="center"/>
    </xf>
    <xf numFmtId="10" fontId="2" fillId="102" borderId="1" xfId="0" applyNumberFormat="1" applyFont="1" applyFill="1" applyBorder="1" applyAlignment="1">
      <alignment horizontal="center"/>
    </xf>
    <xf numFmtId="10" fontId="2" fillId="104" borderId="0" xfId="0" applyNumberFormat="1" applyFont="1" applyFill="1" applyAlignment="1">
      <alignment horizontal="center"/>
    </xf>
    <xf numFmtId="10" fontId="2" fillId="23" borderId="1" xfId="0" applyNumberFormat="1" applyFont="1" applyFill="1" applyBorder="1" applyAlignment="1">
      <alignment horizontal="center"/>
    </xf>
    <xf numFmtId="10" fontId="2" fillId="106" borderId="0" xfId="0" applyNumberFormat="1" applyFont="1" applyFill="1" applyAlignment="1">
      <alignment horizontal="center"/>
    </xf>
    <xf numFmtId="10" fontId="2" fillId="107" borderId="0" xfId="0" applyNumberFormat="1" applyFont="1" applyFill="1" applyAlignment="1">
      <alignment horizontal="center"/>
    </xf>
    <xf numFmtId="10" fontId="2" fillId="74" borderId="1" xfId="0" applyNumberFormat="1" applyFont="1" applyFill="1" applyBorder="1" applyAlignment="1">
      <alignment horizontal="center"/>
    </xf>
    <xf numFmtId="10" fontId="2" fillId="109" borderId="0" xfId="0" applyNumberFormat="1" applyFont="1" applyFill="1" applyAlignment="1">
      <alignment horizontal="center"/>
    </xf>
    <xf numFmtId="10" fontId="2" fillId="30" borderId="1" xfId="0" applyNumberFormat="1" applyFont="1" applyFill="1" applyBorder="1" applyAlignment="1">
      <alignment horizontal="center"/>
    </xf>
    <xf numFmtId="10" fontId="2" fillId="102" borderId="0" xfId="0" applyNumberFormat="1" applyFont="1" applyFill="1" applyAlignment="1">
      <alignment horizontal="center"/>
    </xf>
    <xf numFmtId="10" fontId="2" fillId="110" borderId="0" xfId="0" applyNumberFormat="1" applyFont="1" applyFill="1" applyAlignment="1">
      <alignment horizontal="center"/>
    </xf>
    <xf numFmtId="10" fontId="2" fillId="54" borderId="1" xfId="0" applyNumberFormat="1" applyFont="1" applyFill="1" applyBorder="1" applyAlignment="1">
      <alignment horizontal="center"/>
    </xf>
    <xf numFmtId="10" fontId="2" fillId="112" borderId="1" xfId="0" applyNumberFormat="1" applyFont="1" applyFill="1" applyBorder="1" applyAlignment="1">
      <alignment horizontal="center"/>
    </xf>
    <xf numFmtId="10" fontId="2" fillId="14" borderId="1" xfId="0" applyNumberFormat="1" applyFont="1" applyFill="1" applyBorder="1" applyAlignment="1">
      <alignment horizontal="center"/>
    </xf>
    <xf numFmtId="10" fontId="2" fillId="116" borderId="0" xfId="0" applyNumberFormat="1" applyFont="1" applyFill="1" applyAlignment="1">
      <alignment horizontal="center"/>
    </xf>
    <xf numFmtId="10" fontId="2" fillId="117" borderId="0" xfId="0" applyNumberFormat="1" applyFont="1" applyFill="1" applyAlignment="1">
      <alignment horizontal="center"/>
    </xf>
    <xf numFmtId="10" fontId="2" fillId="118" borderId="0" xfId="0" applyNumberFormat="1" applyFont="1" applyFill="1" applyAlignment="1">
      <alignment horizontal="center"/>
    </xf>
    <xf numFmtId="10" fontId="2" fillId="119" borderId="0" xfId="0" applyNumberFormat="1" applyFont="1" applyFill="1" applyAlignment="1">
      <alignment horizontal="center"/>
    </xf>
    <xf numFmtId="10" fontId="2" fillId="120" borderId="0" xfId="0" applyNumberFormat="1" applyFont="1" applyFill="1" applyAlignment="1">
      <alignment horizontal="center"/>
    </xf>
    <xf numFmtId="10" fontId="2" fillId="121" borderId="1" xfId="0" applyNumberFormat="1" applyFont="1" applyFill="1" applyBorder="1" applyAlignment="1">
      <alignment horizontal="center"/>
    </xf>
    <xf numFmtId="10" fontId="2" fillId="122" borderId="0" xfId="0" applyNumberFormat="1" applyFont="1" applyFill="1" applyAlignment="1">
      <alignment horizontal="center"/>
    </xf>
    <xf numFmtId="10" fontId="2" fillId="123" borderId="0" xfId="0" applyNumberFormat="1" applyFont="1" applyFill="1" applyAlignment="1">
      <alignment horizontal="center"/>
    </xf>
    <xf numFmtId="10" fontId="2" fillId="124" borderId="0" xfId="0" applyNumberFormat="1" applyFont="1" applyFill="1" applyAlignment="1">
      <alignment horizontal="center"/>
    </xf>
    <xf numFmtId="10" fontId="2" fillId="125" borderId="1" xfId="0" applyNumberFormat="1" applyFont="1" applyFill="1" applyBorder="1" applyAlignment="1">
      <alignment horizontal="center"/>
    </xf>
    <xf numFmtId="10" fontId="2" fillId="126" borderId="0" xfId="0" applyNumberFormat="1" applyFont="1" applyFill="1" applyAlignment="1">
      <alignment horizontal="center"/>
    </xf>
    <xf numFmtId="10" fontId="2" fillId="127" borderId="0" xfId="0" applyNumberFormat="1" applyFont="1" applyFill="1" applyAlignment="1">
      <alignment horizontal="center"/>
    </xf>
    <xf numFmtId="10" fontId="2" fillId="88" borderId="0" xfId="0" applyNumberFormat="1" applyFont="1" applyFill="1" applyAlignment="1">
      <alignment horizontal="center"/>
    </xf>
    <xf numFmtId="10" fontId="2" fillId="128" borderId="1" xfId="0" applyNumberFormat="1" applyFont="1" applyFill="1" applyBorder="1" applyAlignment="1">
      <alignment horizontal="center"/>
    </xf>
    <xf numFmtId="10" fontId="2" fillId="129" borderId="0" xfId="0" applyNumberFormat="1" applyFont="1" applyFill="1" applyAlignment="1">
      <alignment horizontal="center"/>
    </xf>
    <xf numFmtId="10" fontId="2" fillId="131" borderId="0" xfId="0" applyNumberFormat="1" applyFont="1" applyFill="1" applyAlignment="1">
      <alignment horizontal="center"/>
    </xf>
    <xf numFmtId="10" fontId="2" fillId="125" borderId="0" xfId="0" applyNumberFormat="1" applyFont="1" applyFill="1" applyAlignment="1">
      <alignment horizontal="center"/>
    </xf>
    <xf numFmtId="10" fontId="2" fillId="132" borderId="1" xfId="0" applyNumberFormat="1" applyFont="1" applyFill="1" applyBorder="1" applyAlignment="1">
      <alignment horizontal="center"/>
    </xf>
    <xf numFmtId="10" fontId="2" fillId="133" borderId="0" xfId="0" applyNumberFormat="1" applyFont="1" applyFill="1" applyAlignment="1">
      <alignment horizontal="center"/>
    </xf>
    <xf numFmtId="10" fontId="2" fillId="134" borderId="0" xfId="0" applyNumberFormat="1" applyFont="1" applyFill="1" applyAlignment="1">
      <alignment horizontal="center"/>
    </xf>
    <xf numFmtId="10" fontId="2" fillId="135" borderId="0" xfId="0" applyNumberFormat="1" applyFont="1" applyFill="1" applyAlignment="1">
      <alignment horizontal="center"/>
    </xf>
    <xf numFmtId="10" fontId="2" fillId="136" borderId="1" xfId="0" applyNumberFormat="1" applyFont="1" applyFill="1" applyBorder="1" applyAlignment="1">
      <alignment horizontal="center"/>
    </xf>
    <xf numFmtId="10" fontId="2" fillId="137" borderId="0" xfId="0" applyNumberFormat="1" applyFont="1" applyFill="1" applyAlignment="1">
      <alignment horizontal="center"/>
    </xf>
    <xf numFmtId="10" fontId="2" fillId="28" borderId="0" xfId="0" applyNumberFormat="1" applyFont="1" applyFill="1" applyAlignment="1">
      <alignment horizontal="center"/>
    </xf>
    <xf numFmtId="10" fontId="2" fillId="138" borderId="0" xfId="0" applyNumberFormat="1" applyFon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10" fontId="2" fillId="130" borderId="1" xfId="0" applyNumberFormat="1" applyFont="1" applyFill="1" applyBorder="1" applyAlignment="1">
      <alignment horizontal="center"/>
    </xf>
    <xf numFmtId="10" fontId="2" fillId="140" borderId="0" xfId="0" applyNumberFormat="1" applyFont="1" applyFill="1" applyAlignment="1">
      <alignment horizontal="center"/>
    </xf>
    <xf numFmtId="10" fontId="2" fillId="119" borderId="1" xfId="0" applyNumberFormat="1" applyFont="1" applyFill="1" applyBorder="1" applyAlignment="1">
      <alignment horizontal="center"/>
    </xf>
    <xf numFmtId="10" fontId="2" fillId="141" borderId="0" xfId="0" applyNumberFormat="1" applyFont="1" applyFill="1" applyAlignment="1">
      <alignment horizontal="center"/>
    </xf>
    <xf numFmtId="10" fontId="2" fillId="142" borderId="0" xfId="0" applyNumberFormat="1" applyFont="1" applyFill="1" applyAlignment="1">
      <alignment horizontal="center"/>
    </xf>
    <xf numFmtId="10" fontId="2" fillId="143" borderId="0" xfId="0" applyNumberFormat="1" applyFont="1" applyFill="1" applyAlignment="1">
      <alignment horizontal="center"/>
    </xf>
    <xf numFmtId="10" fontId="2" fillId="144" borderId="0" xfId="0" applyNumberFormat="1" applyFont="1" applyFill="1" applyAlignment="1">
      <alignment horizontal="center"/>
    </xf>
    <xf numFmtId="10" fontId="2" fillId="145" borderId="1" xfId="0" applyNumberFormat="1" applyFont="1" applyFill="1" applyBorder="1" applyAlignment="1">
      <alignment horizontal="center"/>
    </xf>
    <xf numFmtId="10" fontId="2" fillId="146" borderId="0" xfId="0" applyNumberFormat="1" applyFont="1" applyFill="1" applyAlignment="1">
      <alignment horizontal="center"/>
    </xf>
    <xf numFmtId="10" fontId="2" fillId="147" borderId="1" xfId="0" applyNumberFormat="1" applyFont="1" applyFill="1" applyBorder="1" applyAlignment="1">
      <alignment horizontal="center"/>
    </xf>
    <xf numFmtId="10" fontId="2" fillId="92" borderId="2" xfId="0" applyNumberFormat="1" applyFont="1" applyFill="1" applyBorder="1" applyAlignment="1">
      <alignment horizontal="center"/>
    </xf>
    <xf numFmtId="10" fontId="2" fillId="15" borderId="2" xfId="0" applyNumberFormat="1" applyFont="1" applyFill="1" applyBorder="1" applyAlignment="1">
      <alignment horizontal="center"/>
    </xf>
    <xf numFmtId="10" fontId="2" fillId="45" borderId="0" xfId="0" applyNumberFormat="1" applyFont="1" applyFill="1" applyAlignment="1">
      <alignment horizontal="center"/>
    </xf>
    <xf numFmtId="10" fontId="2" fillId="149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150" borderId="0" xfId="0" applyNumberFormat="1" applyFont="1" applyFill="1" applyAlignment="1">
      <alignment horizontal="center"/>
    </xf>
    <xf numFmtId="10" fontId="2" fillId="151" borderId="1" xfId="0" applyNumberFormat="1" applyFont="1" applyFill="1" applyBorder="1" applyAlignment="1">
      <alignment horizontal="center"/>
    </xf>
    <xf numFmtId="10" fontId="2" fillId="152" borderId="1" xfId="0" applyNumberFormat="1" applyFont="1" applyFill="1" applyBorder="1" applyAlignment="1">
      <alignment horizontal="center"/>
    </xf>
    <xf numFmtId="10" fontId="2" fillId="50" borderId="1" xfId="0" applyNumberFormat="1" applyFont="1" applyFill="1" applyBorder="1" applyAlignment="1">
      <alignment horizontal="center"/>
    </xf>
    <xf numFmtId="10" fontId="2" fillId="153" borderId="0" xfId="0" applyNumberFormat="1" applyFont="1" applyFill="1" applyAlignment="1">
      <alignment horizontal="center"/>
    </xf>
    <xf numFmtId="10" fontId="2" fillId="155" borderId="0" xfId="0" applyNumberFormat="1" applyFont="1" applyFill="1" applyAlignment="1">
      <alignment horizontal="center"/>
    </xf>
    <xf numFmtId="10" fontId="2" fillId="97" borderId="1" xfId="0" applyNumberFormat="1" applyFont="1" applyFill="1" applyBorder="1" applyAlignment="1">
      <alignment horizontal="center"/>
    </xf>
    <xf numFmtId="10" fontId="2" fillId="156" borderId="0" xfId="0" applyNumberFormat="1" applyFont="1" applyFill="1" applyAlignment="1">
      <alignment horizontal="center"/>
    </xf>
    <xf numFmtId="10" fontId="2" fillId="157" borderId="1" xfId="0" applyNumberFormat="1" applyFont="1" applyFill="1" applyBorder="1" applyAlignment="1">
      <alignment horizontal="center"/>
    </xf>
    <xf numFmtId="10" fontId="2" fillId="105" borderId="1" xfId="0" applyNumberFormat="1" applyFont="1" applyFill="1" applyBorder="1" applyAlignment="1">
      <alignment horizontal="center"/>
    </xf>
    <xf numFmtId="10" fontId="2" fillId="158" borderId="0" xfId="0" applyNumberFormat="1" applyFont="1" applyFill="1" applyAlignment="1">
      <alignment horizontal="center"/>
    </xf>
    <xf numFmtId="10" fontId="2" fillId="159" borderId="0" xfId="0" applyNumberFormat="1" applyFont="1" applyFill="1" applyAlignment="1">
      <alignment horizontal="center"/>
    </xf>
    <xf numFmtId="10" fontId="2" fillId="160" borderId="0" xfId="0" applyNumberFormat="1" applyFont="1" applyFill="1" applyAlignment="1">
      <alignment horizontal="center"/>
    </xf>
    <xf numFmtId="10" fontId="2" fillId="161" borderId="0" xfId="0" applyNumberFormat="1" applyFont="1" applyFill="1" applyAlignment="1">
      <alignment horizontal="center"/>
    </xf>
    <xf numFmtId="10" fontId="2" fillId="62" borderId="1" xfId="0" applyNumberFormat="1" applyFont="1" applyFill="1" applyBorder="1" applyAlignment="1">
      <alignment horizontal="center"/>
    </xf>
    <xf numFmtId="10" fontId="2" fillId="162" borderId="1" xfId="0" applyNumberFormat="1" applyFont="1" applyFill="1" applyBorder="1" applyAlignment="1">
      <alignment horizontal="center"/>
    </xf>
    <xf numFmtId="10" fontId="2" fillId="163" borderId="0" xfId="0" applyNumberFormat="1" applyFont="1" applyFill="1" applyAlignment="1">
      <alignment horizontal="center"/>
    </xf>
    <xf numFmtId="10" fontId="2" fillId="164" borderId="0" xfId="0" applyNumberFormat="1" applyFont="1" applyFill="1" applyAlignment="1">
      <alignment horizontal="center"/>
    </xf>
    <xf numFmtId="10" fontId="2" fillId="165" borderId="1" xfId="0" applyNumberFormat="1" applyFont="1" applyFill="1" applyBorder="1" applyAlignment="1">
      <alignment horizontal="center"/>
    </xf>
    <xf numFmtId="10" fontId="2" fillId="16" borderId="0" xfId="0" applyNumberFormat="1" applyFont="1" applyFill="1" applyAlignment="1">
      <alignment horizontal="center"/>
    </xf>
    <xf numFmtId="10" fontId="2" fillId="166" borderId="0" xfId="0" applyNumberFormat="1" applyFont="1" applyFill="1" applyAlignment="1">
      <alignment horizontal="center"/>
    </xf>
    <xf numFmtId="10" fontId="2" fillId="167" borderId="1" xfId="0" applyNumberFormat="1" applyFont="1" applyFill="1" applyBorder="1" applyAlignment="1">
      <alignment horizontal="center"/>
    </xf>
    <xf numFmtId="10" fontId="2" fillId="168" borderId="0" xfId="0" applyNumberFormat="1" applyFont="1" applyFill="1" applyAlignment="1">
      <alignment horizontal="center"/>
    </xf>
    <xf numFmtId="10" fontId="2" fillId="169" borderId="0" xfId="0" applyNumberFormat="1" applyFont="1" applyFill="1" applyAlignment="1">
      <alignment horizontal="center"/>
    </xf>
    <xf numFmtId="10" fontId="2" fillId="170" borderId="0" xfId="0" applyNumberFormat="1" applyFont="1" applyFill="1" applyAlignment="1">
      <alignment horizontal="center"/>
    </xf>
    <xf numFmtId="10" fontId="2" fillId="171" borderId="0" xfId="0" applyNumberFormat="1" applyFont="1" applyFill="1" applyAlignment="1">
      <alignment horizontal="center"/>
    </xf>
    <xf numFmtId="10" fontId="2" fillId="13" borderId="1" xfId="0" applyNumberFormat="1" applyFont="1" applyFill="1" applyBorder="1" applyAlignment="1">
      <alignment horizontal="center"/>
    </xf>
    <xf numFmtId="10" fontId="2" fillId="172" borderId="0" xfId="0" applyNumberFormat="1" applyFont="1" applyFill="1" applyAlignment="1">
      <alignment horizontal="center"/>
    </xf>
    <xf numFmtId="10" fontId="2" fillId="173" borderId="0" xfId="0" applyNumberFormat="1" applyFont="1" applyFill="1" applyAlignment="1">
      <alignment horizontal="center"/>
    </xf>
    <xf numFmtId="10" fontId="2" fillId="108" borderId="1" xfId="0" applyNumberFormat="1" applyFont="1" applyFill="1" applyBorder="1" applyAlignment="1">
      <alignment horizontal="center"/>
    </xf>
    <xf numFmtId="10" fontId="2" fillId="174" borderId="0" xfId="0" applyNumberFormat="1" applyFont="1" applyFill="1" applyAlignment="1">
      <alignment horizontal="center"/>
    </xf>
    <xf numFmtId="10" fontId="2" fillId="175" borderId="0" xfId="0" applyNumberFormat="1" applyFont="1" applyFill="1" applyAlignment="1">
      <alignment horizontal="center"/>
    </xf>
    <xf numFmtId="10" fontId="2" fillId="176" borderId="1" xfId="0" applyNumberFormat="1" applyFont="1" applyFill="1" applyBorder="1" applyAlignment="1">
      <alignment horizontal="center"/>
    </xf>
    <xf numFmtId="10" fontId="2" fillId="46" borderId="0" xfId="0" applyNumberFormat="1" applyFont="1" applyFill="1" applyAlignment="1">
      <alignment horizontal="center"/>
    </xf>
    <xf numFmtId="10" fontId="2" fillId="99" borderId="0" xfId="0" applyNumberFormat="1" applyFont="1" applyFill="1" applyAlignment="1">
      <alignment horizontal="center"/>
    </xf>
    <xf numFmtId="10" fontId="2" fillId="177" borderId="1" xfId="0" applyNumberFormat="1" applyFont="1" applyFill="1" applyBorder="1" applyAlignment="1">
      <alignment horizontal="center"/>
    </xf>
    <xf numFmtId="10" fontId="2" fillId="178" borderId="0" xfId="0" applyNumberFormat="1" applyFont="1" applyFill="1" applyAlignment="1">
      <alignment horizontal="center"/>
    </xf>
    <xf numFmtId="10" fontId="2" fillId="157" borderId="0" xfId="0" applyNumberFormat="1" applyFont="1" applyFill="1" applyAlignment="1">
      <alignment horizontal="center"/>
    </xf>
    <xf numFmtId="10" fontId="2" fillId="74" borderId="0" xfId="0" applyNumberFormat="1" applyFont="1" applyFill="1" applyAlignment="1">
      <alignment horizontal="center"/>
    </xf>
    <xf numFmtId="10" fontId="2" fillId="179" borderId="0" xfId="0" applyNumberFormat="1" applyFont="1" applyFill="1" applyAlignment="1">
      <alignment horizontal="center"/>
    </xf>
    <xf numFmtId="10" fontId="2" fillId="101" borderId="1" xfId="0" applyNumberFormat="1" applyFont="1" applyFill="1" applyBorder="1" applyAlignment="1">
      <alignment horizontal="center"/>
    </xf>
    <xf numFmtId="10" fontId="2" fillId="114" borderId="0" xfId="0" applyNumberFormat="1" applyFont="1" applyFill="1" applyAlignment="1">
      <alignment horizontal="center"/>
    </xf>
    <xf numFmtId="10" fontId="2" fillId="168" borderId="1" xfId="0" applyNumberFormat="1" applyFont="1" applyFill="1" applyBorder="1" applyAlignment="1">
      <alignment horizontal="center"/>
    </xf>
    <xf numFmtId="10" fontId="2" fillId="180" borderId="0" xfId="0" applyNumberFormat="1" applyFont="1" applyFill="1" applyAlignment="1">
      <alignment horizontal="center"/>
    </xf>
    <xf numFmtId="10" fontId="2" fillId="154" borderId="1" xfId="0" applyNumberFormat="1" applyFont="1" applyFill="1" applyBorder="1" applyAlignment="1">
      <alignment horizontal="center"/>
    </xf>
    <xf numFmtId="10" fontId="2" fillId="181" borderId="1" xfId="0" applyNumberFormat="1" applyFont="1" applyFill="1" applyBorder="1" applyAlignment="1">
      <alignment horizontal="center"/>
    </xf>
    <xf numFmtId="10" fontId="2" fillId="182" borderId="0" xfId="0" applyNumberFormat="1" applyFont="1" applyFill="1" applyAlignment="1">
      <alignment horizontal="center"/>
    </xf>
    <xf numFmtId="10" fontId="2" fillId="183" borderId="0" xfId="0" applyNumberFormat="1" applyFont="1" applyFill="1" applyAlignment="1">
      <alignment horizontal="center"/>
    </xf>
    <xf numFmtId="10" fontId="2" fillId="148" borderId="1" xfId="0" applyNumberFormat="1" applyFont="1" applyFill="1" applyBorder="1" applyAlignment="1">
      <alignment horizontal="center"/>
    </xf>
    <xf numFmtId="10" fontId="2" fillId="81" borderId="1" xfId="0" applyNumberFormat="1" applyFont="1" applyFill="1" applyBorder="1" applyAlignment="1">
      <alignment horizontal="center"/>
    </xf>
    <xf numFmtId="10" fontId="2" fillId="152" borderId="0" xfId="0" applyNumberFormat="1" applyFont="1" applyFill="1" applyAlignment="1">
      <alignment horizontal="center"/>
    </xf>
    <xf numFmtId="10" fontId="2" fillId="21" borderId="0" xfId="0" applyNumberFormat="1" applyFont="1" applyFill="1" applyAlignment="1">
      <alignment horizontal="center"/>
    </xf>
    <xf numFmtId="10" fontId="2" fillId="42" borderId="1" xfId="0" applyNumberFormat="1" applyFont="1" applyFill="1" applyBorder="1" applyAlignment="1">
      <alignment horizontal="center"/>
    </xf>
    <xf numFmtId="10" fontId="2" fillId="107" borderId="1" xfId="0" applyNumberFormat="1" applyFont="1" applyFill="1" applyBorder="1" applyAlignment="1">
      <alignment horizontal="center"/>
    </xf>
    <xf numFmtId="10" fontId="2" fillId="184" borderId="0" xfId="0" applyNumberFormat="1" applyFont="1" applyFill="1" applyAlignment="1">
      <alignment horizontal="center"/>
    </xf>
    <xf numFmtId="10" fontId="2" fillId="185" borderId="0" xfId="0" applyNumberFormat="1" applyFont="1" applyFill="1" applyAlignment="1">
      <alignment horizontal="center"/>
    </xf>
    <xf numFmtId="10" fontId="2" fillId="22" borderId="1" xfId="0" applyNumberFormat="1" applyFont="1" applyFill="1" applyBorder="1" applyAlignment="1">
      <alignment horizontal="center"/>
    </xf>
    <xf numFmtId="10" fontId="2" fillId="186" borderId="0" xfId="0" applyNumberFormat="1" applyFont="1" applyFill="1" applyAlignment="1">
      <alignment horizontal="center"/>
    </xf>
    <xf numFmtId="10" fontId="2" fillId="80" borderId="0" xfId="0" applyNumberFormat="1" applyFont="1" applyFill="1" applyAlignment="1">
      <alignment horizontal="center"/>
    </xf>
    <xf numFmtId="10" fontId="2" fillId="187" borderId="0" xfId="0" applyNumberFormat="1" applyFont="1" applyFill="1" applyAlignment="1">
      <alignment horizontal="center"/>
    </xf>
    <xf numFmtId="10" fontId="2" fillId="188" borderId="0" xfId="0" applyNumberFormat="1" applyFont="1" applyFill="1" applyAlignment="1">
      <alignment horizontal="center"/>
    </xf>
    <xf numFmtId="10" fontId="2" fillId="189" borderId="1" xfId="0" applyNumberFormat="1" applyFont="1" applyFill="1" applyBorder="1" applyAlignment="1">
      <alignment horizontal="center"/>
    </xf>
    <xf numFmtId="10" fontId="2" fillId="190" borderId="0" xfId="0" applyNumberFormat="1" applyFont="1" applyFill="1" applyAlignment="1">
      <alignment horizontal="center"/>
    </xf>
    <xf numFmtId="10" fontId="2" fillId="191" borderId="0" xfId="0" applyNumberFormat="1" applyFont="1" applyFill="1" applyAlignment="1">
      <alignment horizontal="center"/>
    </xf>
    <xf numFmtId="10" fontId="2" fillId="98" borderId="0" xfId="0" applyNumberFormat="1" applyFont="1" applyFill="1" applyAlignment="1">
      <alignment horizontal="center"/>
    </xf>
    <xf numFmtId="10" fontId="2" fillId="192" borderId="0" xfId="0" applyNumberFormat="1" applyFont="1" applyFill="1" applyAlignment="1">
      <alignment horizontal="center"/>
    </xf>
    <xf numFmtId="10" fontId="2" fillId="92" borderId="1" xfId="0" applyNumberFormat="1" applyFont="1" applyFill="1" applyBorder="1" applyAlignment="1">
      <alignment horizontal="center"/>
    </xf>
    <xf numFmtId="10" fontId="2" fillId="193" borderId="0" xfId="0" applyNumberFormat="1" applyFont="1" applyFill="1" applyAlignment="1">
      <alignment horizontal="center"/>
    </xf>
    <xf numFmtId="10" fontId="2" fillId="32" borderId="1" xfId="0" applyNumberFormat="1" applyFont="1" applyFill="1" applyBorder="1" applyAlignment="1">
      <alignment horizontal="center"/>
    </xf>
    <xf numFmtId="10" fontId="2" fillId="28" borderId="1" xfId="0" applyNumberFormat="1" applyFont="1" applyFill="1" applyBorder="1" applyAlignment="1">
      <alignment horizontal="center"/>
    </xf>
    <xf numFmtId="10" fontId="2" fillId="58" borderId="1" xfId="0" applyNumberFormat="1" applyFont="1" applyFill="1" applyBorder="1" applyAlignment="1">
      <alignment horizontal="center"/>
    </xf>
    <xf numFmtId="10" fontId="2" fillId="167" borderId="0" xfId="0" applyNumberFormat="1" applyFont="1" applyFill="1" applyAlignment="1">
      <alignment horizontal="center"/>
    </xf>
    <xf numFmtId="10" fontId="2" fillId="194" borderId="1" xfId="0" applyNumberFormat="1" applyFont="1" applyFill="1" applyBorder="1" applyAlignment="1">
      <alignment horizontal="center"/>
    </xf>
    <xf numFmtId="10" fontId="2" fillId="20" borderId="0" xfId="0" applyNumberFormat="1" applyFont="1" applyFill="1" applyAlignment="1">
      <alignment horizontal="center"/>
    </xf>
    <xf numFmtId="10" fontId="2" fillId="195" borderId="0" xfId="0" applyNumberFormat="1" applyFont="1" applyFill="1" applyAlignment="1">
      <alignment horizontal="center"/>
    </xf>
    <xf numFmtId="10" fontId="2" fillId="196" borderId="1" xfId="0" applyNumberFormat="1" applyFont="1" applyFill="1" applyBorder="1" applyAlignment="1">
      <alignment horizontal="center"/>
    </xf>
    <xf numFmtId="10" fontId="2" fillId="24" borderId="0" xfId="0" applyNumberFormat="1" applyFont="1" applyFill="1" applyAlignment="1">
      <alignment horizontal="center"/>
    </xf>
    <xf numFmtId="10" fontId="2" fillId="197" borderId="1" xfId="0" applyNumberFormat="1" applyFont="1" applyFill="1" applyBorder="1" applyAlignment="1">
      <alignment horizontal="center"/>
    </xf>
    <xf numFmtId="10" fontId="2" fillId="40" borderId="1" xfId="0" applyNumberFormat="1" applyFont="1" applyFill="1" applyBorder="1" applyAlignment="1">
      <alignment horizontal="center"/>
    </xf>
    <xf numFmtId="10" fontId="2" fillId="165" borderId="0" xfId="0" applyNumberFormat="1" applyFont="1" applyFill="1" applyAlignment="1">
      <alignment horizontal="center"/>
    </xf>
    <xf numFmtId="10" fontId="2" fillId="75" borderId="0" xfId="0" applyNumberFormat="1" applyFont="1" applyFill="1" applyAlignment="1">
      <alignment horizontal="center"/>
    </xf>
    <xf numFmtId="10" fontId="2" fillId="198" borderId="1" xfId="0" applyNumberFormat="1" applyFont="1" applyFill="1" applyBorder="1" applyAlignment="1">
      <alignment horizontal="center"/>
    </xf>
    <xf numFmtId="10" fontId="2" fillId="199" borderId="1" xfId="0" applyNumberFormat="1" applyFont="1" applyFill="1" applyBorder="1" applyAlignment="1">
      <alignment horizontal="center"/>
    </xf>
    <xf numFmtId="10" fontId="2" fillId="200" borderId="2" xfId="0" applyNumberFormat="1" applyFont="1" applyFill="1" applyBorder="1" applyAlignment="1">
      <alignment horizontal="center"/>
    </xf>
    <xf numFmtId="10" fontId="2" fillId="201" borderId="0" xfId="0" applyNumberFormat="1" applyFont="1" applyFill="1" applyAlignment="1">
      <alignment horizontal="center"/>
    </xf>
    <xf numFmtId="10" fontId="2" fillId="94" borderId="1" xfId="0" applyNumberFormat="1" applyFont="1" applyFill="1" applyBorder="1" applyAlignment="1">
      <alignment horizontal="center"/>
    </xf>
    <xf numFmtId="10" fontId="2" fillId="76" borderId="1" xfId="0" applyNumberFormat="1" applyFont="1" applyFill="1" applyBorder="1" applyAlignment="1">
      <alignment horizontal="center"/>
    </xf>
    <xf numFmtId="10" fontId="2" fillId="202" borderId="0" xfId="0" applyNumberFormat="1" applyFont="1" applyFill="1" applyAlignment="1">
      <alignment horizontal="center"/>
    </xf>
    <xf numFmtId="10" fontId="2" fillId="203" borderId="1" xfId="0" applyNumberFormat="1" applyFont="1" applyFill="1" applyBorder="1" applyAlignment="1">
      <alignment horizontal="center"/>
    </xf>
    <xf numFmtId="10" fontId="2" fillId="204" borderId="0" xfId="0" applyNumberFormat="1" applyFont="1" applyFill="1" applyAlignment="1">
      <alignment horizontal="center"/>
    </xf>
    <xf numFmtId="10" fontId="2" fillId="205" borderId="0" xfId="0" applyNumberFormat="1" applyFont="1" applyFill="1" applyAlignment="1">
      <alignment horizontal="center"/>
    </xf>
    <xf numFmtId="10" fontId="2" fillId="49" borderId="1" xfId="0" applyNumberFormat="1" applyFont="1" applyFill="1" applyBorder="1" applyAlignment="1">
      <alignment horizontal="center"/>
    </xf>
    <xf numFmtId="10" fontId="2" fillId="207" borderId="0" xfId="0" applyNumberFormat="1" applyFont="1" applyFill="1" applyAlignment="1">
      <alignment horizontal="center"/>
    </xf>
    <xf numFmtId="10" fontId="2" fillId="209" borderId="1" xfId="0" applyNumberFormat="1" applyFont="1" applyFill="1" applyBorder="1" applyAlignment="1">
      <alignment horizontal="center"/>
    </xf>
    <xf numFmtId="10" fontId="2" fillId="134" borderId="1" xfId="0" applyNumberFormat="1" applyFont="1" applyFill="1" applyBorder="1" applyAlignment="1">
      <alignment horizontal="center"/>
    </xf>
    <xf numFmtId="10" fontId="2" fillId="210" borderId="0" xfId="0" applyNumberFormat="1" applyFont="1" applyFill="1" applyAlignment="1">
      <alignment horizontal="center"/>
    </xf>
    <xf numFmtId="10" fontId="2" fillId="211" borderId="0" xfId="0" applyNumberFormat="1" applyFont="1" applyFill="1" applyAlignment="1">
      <alignment horizontal="center"/>
    </xf>
    <xf numFmtId="10" fontId="2" fillId="66" borderId="1" xfId="0" applyNumberFormat="1" applyFont="1" applyFill="1" applyBorder="1" applyAlignment="1">
      <alignment horizontal="center"/>
    </xf>
    <xf numFmtId="10" fontId="2" fillId="212" borderId="0" xfId="0" applyNumberFormat="1" applyFont="1" applyFill="1" applyAlignment="1">
      <alignment horizontal="center"/>
    </xf>
    <xf numFmtId="10" fontId="2" fillId="213" borderId="0" xfId="0" applyNumberFormat="1" applyFont="1" applyFill="1" applyAlignment="1">
      <alignment horizontal="center"/>
    </xf>
    <xf numFmtId="10" fontId="2" fillId="68" borderId="1" xfId="0" applyNumberFormat="1" applyFont="1" applyFill="1" applyBorder="1" applyAlignment="1">
      <alignment horizontal="center"/>
    </xf>
    <xf numFmtId="10" fontId="2" fillId="214" borderId="1" xfId="0" applyNumberFormat="1" applyFont="1" applyFill="1" applyBorder="1" applyAlignment="1">
      <alignment horizontal="center"/>
    </xf>
    <xf numFmtId="10" fontId="2" fillId="215" borderId="0" xfId="0" applyNumberFormat="1" applyFont="1" applyFill="1" applyAlignment="1">
      <alignment horizontal="center"/>
    </xf>
    <xf numFmtId="10" fontId="2" fillId="70" borderId="1" xfId="0" applyNumberFormat="1" applyFont="1" applyFill="1" applyBorder="1" applyAlignment="1">
      <alignment horizontal="center"/>
    </xf>
    <xf numFmtId="10" fontId="2" fillId="216" borderId="0" xfId="0" applyNumberFormat="1" applyFont="1" applyFill="1" applyAlignment="1">
      <alignment horizontal="center"/>
    </xf>
    <xf numFmtId="10" fontId="2" fillId="217" borderId="1" xfId="0" applyNumberFormat="1" applyFont="1" applyFill="1" applyBorder="1" applyAlignment="1">
      <alignment horizontal="center"/>
    </xf>
    <xf numFmtId="10" fontId="2" fillId="218" borderId="0" xfId="0" applyNumberFormat="1" applyFont="1" applyFill="1" applyAlignment="1">
      <alignment horizontal="center"/>
    </xf>
    <xf numFmtId="10" fontId="2" fillId="219" borderId="0" xfId="0" applyNumberFormat="1" applyFont="1" applyFill="1" applyAlignment="1">
      <alignment horizontal="center"/>
    </xf>
    <xf numFmtId="10" fontId="2" fillId="220" borderId="1" xfId="0" applyNumberFormat="1" applyFont="1" applyFill="1" applyBorder="1" applyAlignment="1">
      <alignment horizontal="center"/>
    </xf>
    <xf numFmtId="10" fontId="2" fillId="221" borderId="0" xfId="0" applyNumberFormat="1" applyFont="1" applyFill="1" applyAlignment="1">
      <alignment horizontal="center"/>
    </xf>
    <xf numFmtId="10" fontId="2" fillId="222" borderId="0" xfId="0" applyNumberFormat="1" applyFont="1" applyFill="1" applyAlignment="1">
      <alignment horizontal="center"/>
    </xf>
    <xf numFmtId="10" fontId="2" fillId="223" borderId="1" xfId="0" applyNumberFormat="1" applyFont="1" applyFill="1" applyBorder="1" applyAlignment="1">
      <alignment horizontal="center"/>
    </xf>
    <xf numFmtId="10" fontId="2" fillId="224" borderId="0" xfId="0" applyNumberFormat="1" applyFont="1" applyFill="1" applyAlignment="1">
      <alignment horizontal="center"/>
    </xf>
    <xf numFmtId="10" fontId="2" fillId="143" borderId="1" xfId="0" applyNumberFormat="1" applyFont="1" applyFill="1" applyBorder="1" applyAlignment="1">
      <alignment horizontal="center"/>
    </xf>
    <xf numFmtId="10" fontId="2" fillId="225" borderId="1" xfId="0" applyNumberFormat="1" applyFont="1" applyFill="1" applyBorder="1" applyAlignment="1">
      <alignment horizontal="center"/>
    </xf>
    <xf numFmtId="10" fontId="2" fillId="64" borderId="1" xfId="0" applyNumberFormat="1" applyFont="1" applyFill="1" applyBorder="1" applyAlignment="1">
      <alignment horizontal="center"/>
    </xf>
    <xf numFmtId="10" fontId="2" fillId="226" borderId="0" xfId="0" applyNumberFormat="1" applyFont="1" applyFill="1" applyAlignment="1">
      <alignment horizontal="center"/>
    </xf>
    <xf numFmtId="10" fontId="2" fillId="227" borderId="1" xfId="0" applyNumberFormat="1" applyFont="1" applyFill="1" applyBorder="1" applyAlignment="1">
      <alignment horizontal="center"/>
    </xf>
    <xf numFmtId="10" fontId="2" fillId="25" borderId="1" xfId="0" applyNumberFormat="1" applyFont="1" applyFill="1" applyBorder="1" applyAlignment="1">
      <alignment horizontal="center"/>
    </xf>
    <xf numFmtId="10" fontId="2" fillId="229" borderId="0" xfId="0" applyNumberFormat="1" applyFont="1" applyFill="1" applyAlignment="1">
      <alignment horizontal="center"/>
    </xf>
    <xf numFmtId="10" fontId="2" fillId="84" borderId="1" xfId="0" applyNumberFormat="1" applyFont="1" applyFill="1" applyBorder="1" applyAlignment="1">
      <alignment horizontal="center"/>
    </xf>
    <xf numFmtId="10" fontId="2" fillId="103" borderId="1" xfId="0" applyNumberFormat="1" applyFont="1" applyFill="1" applyBorder="1" applyAlignment="1">
      <alignment horizontal="center"/>
    </xf>
    <xf numFmtId="10" fontId="2" fillId="230" borderId="0" xfId="0" applyNumberFormat="1" applyFont="1" applyFill="1" applyAlignment="1">
      <alignment horizontal="center"/>
    </xf>
    <xf numFmtId="10" fontId="2" fillId="203" borderId="0" xfId="0" applyNumberFormat="1" applyFont="1" applyFill="1" applyAlignment="1">
      <alignment horizontal="center"/>
    </xf>
    <xf numFmtId="10" fontId="2" fillId="115" borderId="1" xfId="0" applyNumberFormat="1" applyFont="1" applyFill="1" applyBorder="1" applyAlignment="1">
      <alignment horizontal="center"/>
    </xf>
    <xf numFmtId="10" fontId="2" fillId="231" borderId="0" xfId="0" applyNumberFormat="1" applyFont="1" applyFill="1" applyAlignment="1">
      <alignment horizontal="center"/>
    </xf>
    <xf numFmtId="10" fontId="2" fillId="233" borderId="0" xfId="0" applyNumberFormat="1" applyFont="1" applyFill="1" applyAlignment="1">
      <alignment horizontal="center"/>
    </xf>
    <xf numFmtId="10" fontId="2" fillId="234" borderId="0" xfId="0" applyNumberFormat="1" applyFont="1" applyFill="1" applyAlignment="1">
      <alignment horizontal="center"/>
    </xf>
    <xf numFmtId="10" fontId="2" fillId="235" borderId="0" xfId="0" applyNumberFormat="1" applyFont="1" applyFill="1" applyAlignment="1">
      <alignment horizontal="center"/>
    </xf>
    <xf numFmtId="10" fontId="2" fillId="131" borderId="1" xfId="0" applyNumberFormat="1" applyFont="1" applyFill="1" applyBorder="1" applyAlignment="1">
      <alignment horizontal="center"/>
    </xf>
    <xf numFmtId="10" fontId="2" fillId="236" borderId="0" xfId="0" applyNumberFormat="1" applyFont="1" applyFill="1" applyAlignment="1">
      <alignment horizontal="center"/>
    </xf>
    <xf numFmtId="10" fontId="2" fillId="212" borderId="1" xfId="0" applyNumberFormat="1" applyFont="1" applyFill="1" applyBorder="1" applyAlignment="1">
      <alignment horizontal="center"/>
    </xf>
    <xf numFmtId="10" fontId="2" fillId="208" borderId="0" xfId="0" applyNumberFormat="1" applyFont="1" applyFill="1" applyAlignment="1">
      <alignment horizontal="center"/>
    </xf>
    <xf numFmtId="10" fontId="2" fillId="237" borderId="1" xfId="0" applyNumberFormat="1" applyFont="1" applyFill="1" applyBorder="1" applyAlignment="1">
      <alignment horizontal="center"/>
    </xf>
    <xf numFmtId="10" fontId="2" fillId="238" borderId="0" xfId="0" applyNumberFormat="1" applyFont="1" applyFill="1" applyAlignment="1">
      <alignment horizontal="center"/>
    </xf>
    <xf numFmtId="10" fontId="2" fillId="239" borderId="1" xfId="0" applyNumberFormat="1" applyFont="1" applyFill="1" applyBorder="1" applyAlignment="1">
      <alignment horizontal="center"/>
    </xf>
    <xf numFmtId="10" fontId="2" fillId="240" borderId="1" xfId="0" applyNumberFormat="1" applyFont="1" applyFill="1" applyBorder="1" applyAlignment="1">
      <alignment horizontal="center"/>
    </xf>
    <xf numFmtId="10" fontId="2" fillId="139" borderId="1" xfId="0" applyNumberFormat="1" applyFont="1" applyFill="1" applyBorder="1" applyAlignment="1">
      <alignment horizontal="center"/>
    </xf>
    <xf numFmtId="10" fontId="2" fillId="113" borderId="1" xfId="0" applyNumberFormat="1" applyFont="1" applyFill="1" applyBorder="1" applyAlignment="1">
      <alignment horizontal="center"/>
    </xf>
    <xf numFmtId="10" fontId="2" fillId="164" borderId="1" xfId="0" applyNumberFormat="1" applyFont="1" applyFill="1" applyBorder="1" applyAlignment="1">
      <alignment horizontal="center"/>
    </xf>
    <xf numFmtId="10" fontId="2" fillId="200" borderId="0" xfId="0" applyNumberFormat="1" applyFont="1" applyFill="1" applyAlignment="1">
      <alignment horizontal="center"/>
    </xf>
    <xf numFmtId="10" fontId="2" fillId="241" borderId="0" xfId="0" applyNumberFormat="1" applyFont="1" applyFill="1" applyAlignment="1">
      <alignment horizontal="center"/>
    </xf>
    <xf numFmtId="10" fontId="2" fillId="111" borderId="1" xfId="0" applyNumberFormat="1" applyFont="1" applyFill="1" applyBorder="1" applyAlignment="1">
      <alignment horizontal="center"/>
    </xf>
    <xf numFmtId="10" fontId="2" fillId="232" borderId="0" xfId="0" applyNumberFormat="1" applyFont="1" applyFill="1" applyAlignment="1">
      <alignment horizontal="center"/>
    </xf>
    <xf numFmtId="10" fontId="2" fillId="242" borderId="1" xfId="0" applyNumberFormat="1" applyFont="1" applyFill="1" applyBorder="1" applyAlignment="1">
      <alignment horizontal="center"/>
    </xf>
    <xf numFmtId="10" fontId="2" fillId="96" borderId="0" xfId="0" applyNumberFormat="1" applyFont="1" applyFill="1" applyAlignment="1">
      <alignment horizontal="center"/>
    </xf>
    <xf numFmtId="10" fontId="2" fillId="29" borderId="1" xfId="0" applyNumberFormat="1" applyFont="1" applyFill="1" applyBorder="1" applyAlignment="1">
      <alignment horizontal="center"/>
    </xf>
    <xf numFmtId="10" fontId="2" fillId="243" borderId="0" xfId="0" applyNumberFormat="1" applyFont="1" applyFill="1" applyAlignment="1">
      <alignment horizontal="center"/>
    </xf>
    <xf numFmtId="10" fontId="2" fillId="244" borderId="0" xfId="0" applyNumberFormat="1" applyFont="1" applyFill="1" applyAlignment="1">
      <alignment horizontal="center"/>
    </xf>
    <xf numFmtId="10" fontId="2" fillId="245" borderId="0" xfId="0" applyNumberFormat="1" applyFont="1" applyFill="1" applyAlignment="1">
      <alignment horizontal="center"/>
    </xf>
    <xf numFmtId="10" fontId="2" fillId="228" borderId="1" xfId="0" applyNumberFormat="1" applyFont="1" applyFill="1" applyBorder="1" applyAlignment="1">
      <alignment horizontal="center"/>
    </xf>
    <xf numFmtId="10" fontId="2" fillId="246" borderId="0" xfId="0" applyNumberFormat="1" applyFont="1" applyFill="1" applyAlignment="1">
      <alignment horizontal="center"/>
    </xf>
    <xf numFmtId="10" fontId="2" fillId="247" borderId="2" xfId="0" applyNumberFormat="1" applyFont="1" applyFill="1" applyBorder="1" applyAlignment="1">
      <alignment horizontal="center"/>
    </xf>
    <xf numFmtId="10" fontId="2" fillId="156" borderId="2" xfId="0" applyNumberFormat="1" applyFont="1" applyFill="1" applyBorder="1" applyAlignment="1">
      <alignment horizontal="center"/>
    </xf>
    <xf numFmtId="10" fontId="2" fillId="206" borderId="1" xfId="0" applyNumberFormat="1" applyFont="1" applyFill="1" applyBorder="1" applyAlignment="1">
      <alignment horizontal="center"/>
    </xf>
    <xf numFmtId="10" fontId="2" fillId="248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selection activeCell="Q11" sqref="Q11"/>
    </sheetView>
  </sheetViews>
  <sheetFormatPr defaultRowHeight="15"/>
  <cols>
    <col min="1" max="1" width="17.42578125" bestFit="1" customWidth="1"/>
    <col min="2" max="2" width="5.85546875" bestFit="1" customWidth="1"/>
    <col min="3" max="3" width="12.28515625" bestFit="1" customWidth="1"/>
    <col min="4" max="4" width="13.42578125" bestFit="1" customWidth="1"/>
    <col min="5" max="5" width="8.140625" bestFit="1" customWidth="1"/>
    <col min="6" max="6" width="11" bestFit="1" customWidth="1"/>
    <col min="7" max="7" width="8.28515625" bestFit="1" customWidth="1"/>
    <col min="8" max="8" width="8.85546875" bestFit="1" customWidth="1"/>
    <col min="9" max="9" width="10" bestFit="1" customWidth="1"/>
    <col min="10" max="10" width="4.85546875" bestFit="1" customWidth="1"/>
    <col min="11" max="11" width="7.28515625" bestFit="1" customWidth="1"/>
    <col min="12" max="12" width="10" bestFit="1" customWidth="1"/>
    <col min="13" max="13" width="7.5703125" bestFit="1" customWidth="1"/>
    <col min="14" max="14" width="9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17</v>
      </c>
      <c r="C2" s="3">
        <v>7</v>
      </c>
      <c r="D2" s="4">
        <v>4077</v>
      </c>
      <c r="E2" s="5">
        <v>581.14</v>
      </c>
      <c r="F2" s="7">
        <v>5.5</v>
      </c>
      <c r="G2" s="8">
        <v>0.78600000000000003</v>
      </c>
      <c r="H2" s="7">
        <v>1</v>
      </c>
      <c r="I2" s="9">
        <v>0.14299999999999999</v>
      </c>
      <c r="J2" s="3">
        <v>0</v>
      </c>
      <c r="K2" s="10">
        <v>0</v>
      </c>
      <c r="L2" s="4">
        <v>9</v>
      </c>
      <c r="M2" s="7">
        <v>5</v>
      </c>
      <c r="N2" s="11">
        <v>0.71399999999999997</v>
      </c>
    </row>
    <row r="3" spans="1:14">
      <c r="A3" s="12" t="s">
        <v>14</v>
      </c>
      <c r="B3" s="12">
        <v>22</v>
      </c>
      <c r="C3" s="3">
        <v>13</v>
      </c>
      <c r="D3" s="4">
        <v>2259.56</v>
      </c>
      <c r="E3" s="14">
        <v>172.2</v>
      </c>
      <c r="F3" s="7">
        <v>9</v>
      </c>
      <c r="G3" s="17">
        <v>0.69199999999999995</v>
      </c>
      <c r="H3" s="3">
        <v>2</v>
      </c>
      <c r="I3" s="18">
        <v>0.154</v>
      </c>
      <c r="J3" s="3">
        <v>0</v>
      </c>
      <c r="K3" s="19">
        <v>0</v>
      </c>
      <c r="L3" s="4">
        <v>21.01</v>
      </c>
      <c r="M3" s="7">
        <v>7</v>
      </c>
      <c r="N3" s="20">
        <v>0.53800000000000003</v>
      </c>
    </row>
    <row r="4" spans="1:14">
      <c r="A4" s="2" t="s">
        <v>14</v>
      </c>
      <c r="B4" s="2">
        <v>641</v>
      </c>
      <c r="C4" s="3">
        <v>11</v>
      </c>
      <c r="D4" s="4">
        <v>1300.53</v>
      </c>
      <c r="E4" s="5">
        <v>116.81</v>
      </c>
      <c r="F4" s="7">
        <v>3</v>
      </c>
      <c r="G4" s="22">
        <v>0.27300000000000002</v>
      </c>
      <c r="H4" s="3">
        <v>1</v>
      </c>
      <c r="I4" s="23">
        <v>9.0999999999999998E-2</v>
      </c>
      <c r="J4" s="3">
        <v>0</v>
      </c>
      <c r="K4" s="24">
        <v>0</v>
      </c>
      <c r="L4" s="4">
        <v>15.64</v>
      </c>
      <c r="M4" s="7">
        <v>5</v>
      </c>
      <c r="N4" s="25">
        <v>0.45500000000000002</v>
      </c>
    </row>
    <row r="5" spans="1:14">
      <c r="A5" s="12" t="s">
        <v>14</v>
      </c>
      <c r="B5" s="12">
        <v>717</v>
      </c>
      <c r="C5" s="3">
        <v>6</v>
      </c>
      <c r="D5" s="4">
        <v>759.6</v>
      </c>
      <c r="E5" s="14">
        <v>126.6</v>
      </c>
      <c r="F5" s="7">
        <v>3</v>
      </c>
      <c r="G5" s="26">
        <v>0.5</v>
      </c>
      <c r="H5" s="3">
        <v>0</v>
      </c>
      <c r="I5" s="19">
        <v>0</v>
      </c>
      <c r="J5" s="3">
        <v>0</v>
      </c>
      <c r="K5" s="19">
        <v>0</v>
      </c>
      <c r="L5" s="4">
        <v>0</v>
      </c>
      <c r="M5" s="7">
        <v>1</v>
      </c>
      <c r="N5" s="27">
        <v>0.16700000000000001</v>
      </c>
    </row>
    <row r="6" spans="1:14">
      <c r="A6" s="2" t="s">
        <v>14</v>
      </c>
      <c r="B6" s="2">
        <v>843</v>
      </c>
      <c r="C6" s="3">
        <v>1</v>
      </c>
      <c r="D6" s="4">
        <v>136.76</v>
      </c>
      <c r="E6" s="5">
        <v>136.76</v>
      </c>
      <c r="F6" s="7">
        <v>0</v>
      </c>
      <c r="G6" s="24">
        <v>0</v>
      </c>
      <c r="H6" s="3">
        <v>0</v>
      </c>
      <c r="I6" s="24">
        <v>0</v>
      </c>
      <c r="J6" s="3">
        <v>0</v>
      </c>
      <c r="K6" s="24">
        <v>0</v>
      </c>
      <c r="L6" s="4">
        <v>0</v>
      </c>
      <c r="M6" s="7">
        <v>1</v>
      </c>
      <c r="N6" s="28">
        <v>1</v>
      </c>
    </row>
    <row r="7" spans="1:14">
      <c r="A7" s="12" t="s">
        <v>14</v>
      </c>
      <c r="B7" s="12">
        <v>881</v>
      </c>
      <c r="C7" s="3">
        <v>5</v>
      </c>
      <c r="D7" s="4">
        <v>937.79</v>
      </c>
      <c r="E7" s="14">
        <v>186.56</v>
      </c>
      <c r="F7" s="7">
        <v>4</v>
      </c>
      <c r="G7" s="30">
        <v>0.8</v>
      </c>
      <c r="H7" s="3">
        <v>2</v>
      </c>
      <c r="I7" s="31">
        <v>0.4</v>
      </c>
      <c r="J7" s="3">
        <v>0</v>
      </c>
      <c r="K7" s="19">
        <v>0</v>
      </c>
      <c r="L7" s="4">
        <v>5</v>
      </c>
      <c r="M7" s="7">
        <v>0</v>
      </c>
      <c r="N7" s="32">
        <v>0</v>
      </c>
    </row>
    <row r="8" spans="1:14">
      <c r="A8" s="2" t="s">
        <v>15</v>
      </c>
      <c r="B8" s="2">
        <v>18</v>
      </c>
      <c r="C8" s="3">
        <v>14</v>
      </c>
      <c r="D8" s="4">
        <v>1655.04</v>
      </c>
      <c r="E8" s="5">
        <v>118.22</v>
      </c>
      <c r="F8" s="7">
        <v>5.5</v>
      </c>
      <c r="G8" s="35">
        <v>0.39300000000000002</v>
      </c>
      <c r="H8" s="3">
        <v>0</v>
      </c>
      <c r="I8" s="24">
        <v>0</v>
      </c>
      <c r="J8" s="3">
        <v>0</v>
      </c>
      <c r="K8" s="24">
        <v>0</v>
      </c>
      <c r="L8" s="4">
        <v>0</v>
      </c>
      <c r="M8" s="7">
        <v>2</v>
      </c>
      <c r="N8" s="36">
        <v>0.14299999999999999</v>
      </c>
    </row>
    <row r="9" spans="1:14">
      <c r="A9" s="12" t="s">
        <v>15</v>
      </c>
      <c r="B9" s="12">
        <v>19</v>
      </c>
      <c r="C9" s="3">
        <v>12</v>
      </c>
      <c r="D9" s="4">
        <v>1628.62</v>
      </c>
      <c r="E9" s="14">
        <v>135.49</v>
      </c>
      <c r="F9" s="7">
        <v>7.5</v>
      </c>
      <c r="G9" s="38">
        <v>0.625</v>
      </c>
      <c r="H9" s="3">
        <v>1</v>
      </c>
      <c r="I9" s="39">
        <v>8.3000000000000004E-2</v>
      </c>
      <c r="J9" s="3">
        <v>1</v>
      </c>
      <c r="K9" s="40">
        <v>8.3000000000000004E-2</v>
      </c>
      <c r="L9" s="4">
        <v>2.79</v>
      </c>
      <c r="M9" s="7">
        <v>5</v>
      </c>
      <c r="N9" s="41">
        <v>0.41699999999999998</v>
      </c>
    </row>
    <row r="10" spans="1:14">
      <c r="A10" s="2" t="s">
        <v>15</v>
      </c>
      <c r="B10" s="2">
        <v>282</v>
      </c>
      <c r="C10" s="3">
        <v>3</v>
      </c>
      <c r="D10" s="4">
        <v>491.41</v>
      </c>
      <c r="E10" s="5">
        <v>163.80000000000001</v>
      </c>
      <c r="F10" s="7">
        <v>1</v>
      </c>
      <c r="G10" s="42">
        <v>0.33300000000000002</v>
      </c>
      <c r="H10" s="3">
        <v>0</v>
      </c>
      <c r="I10" s="24">
        <v>0</v>
      </c>
      <c r="J10" s="3">
        <v>0</v>
      </c>
      <c r="K10" s="24">
        <v>0</v>
      </c>
      <c r="L10" s="4">
        <v>0</v>
      </c>
      <c r="M10" s="7">
        <v>3</v>
      </c>
      <c r="N10" s="28">
        <v>1</v>
      </c>
    </row>
    <row r="11" spans="1:14">
      <c r="A11" s="12" t="s">
        <v>15</v>
      </c>
      <c r="B11" s="12">
        <v>447</v>
      </c>
      <c r="C11" s="3">
        <v>9</v>
      </c>
      <c r="D11" s="4">
        <v>895.49</v>
      </c>
      <c r="E11" s="14">
        <v>99.5</v>
      </c>
      <c r="F11" s="7">
        <v>1</v>
      </c>
      <c r="G11" s="43">
        <v>0.111</v>
      </c>
      <c r="H11" s="3">
        <v>0</v>
      </c>
      <c r="I11" s="19">
        <v>0</v>
      </c>
      <c r="J11" s="3">
        <v>0</v>
      </c>
      <c r="K11" s="19">
        <v>0</v>
      </c>
      <c r="L11" s="4">
        <v>0</v>
      </c>
      <c r="M11" s="7">
        <v>0</v>
      </c>
      <c r="N11" s="32">
        <v>0</v>
      </c>
    </row>
    <row r="12" spans="1:14">
      <c r="A12" s="2" t="s">
        <v>15</v>
      </c>
      <c r="B12" s="2">
        <v>448</v>
      </c>
      <c r="C12" s="3">
        <v>9</v>
      </c>
      <c r="D12" s="4">
        <v>1270.32</v>
      </c>
      <c r="E12" s="5">
        <v>140.59</v>
      </c>
      <c r="F12" s="7">
        <v>5</v>
      </c>
      <c r="G12" s="46">
        <v>0.55600000000000005</v>
      </c>
      <c r="H12" s="3">
        <v>0</v>
      </c>
      <c r="I12" s="24">
        <v>0</v>
      </c>
      <c r="J12" s="3">
        <v>0</v>
      </c>
      <c r="K12" s="24">
        <v>0</v>
      </c>
      <c r="L12" s="4">
        <v>5</v>
      </c>
      <c r="M12" s="7">
        <v>2</v>
      </c>
      <c r="N12" s="47">
        <v>0.222</v>
      </c>
    </row>
    <row r="13" spans="1:14">
      <c r="A13" s="12" t="s">
        <v>15</v>
      </c>
      <c r="B13" s="12">
        <v>531</v>
      </c>
      <c r="C13" s="3">
        <v>3</v>
      </c>
      <c r="D13" s="4">
        <v>358.42</v>
      </c>
      <c r="E13" s="14">
        <f>D13/C13</f>
        <v>119.47333333333334</v>
      </c>
      <c r="F13" s="7">
        <v>2</v>
      </c>
      <c r="G13" s="152">
        <f>F13/C13</f>
        <v>0.66666666666666663</v>
      </c>
      <c r="H13" s="3">
        <v>1</v>
      </c>
      <c r="I13" s="152">
        <f>H13/C13</f>
        <v>0.33333333333333331</v>
      </c>
      <c r="J13" s="3">
        <v>1</v>
      </c>
      <c r="K13" s="152">
        <f>J13/C13</f>
        <v>0.33333333333333331</v>
      </c>
      <c r="L13" s="4">
        <v>5</v>
      </c>
      <c r="M13" s="7">
        <v>1</v>
      </c>
      <c r="N13" s="153">
        <f>M13/C13</f>
        <v>0.33333333333333331</v>
      </c>
    </row>
    <row r="14" spans="1:14">
      <c r="A14" s="2" t="s">
        <v>15</v>
      </c>
      <c r="B14" s="2">
        <v>832</v>
      </c>
      <c r="C14" s="3">
        <v>9</v>
      </c>
      <c r="D14" s="4">
        <v>1631.37</v>
      </c>
      <c r="E14" s="5">
        <v>181.26</v>
      </c>
      <c r="F14" s="7">
        <v>8</v>
      </c>
      <c r="G14" s="50">
        <v>0.88900000000000001</v>
      </c>
      <c r="H14" s="3">
        <v>1</v>
      </c>
      <c r="I14" s="51">
        <v>0.111</v>
      </c>
      <c r="J14" s="3">
        <v>0</v>
      </c>
      <c r="K14" s="24">
        <v>0</v>
      </c>
      <c r="L14" s="4">
        <v>0</v>
      </c>
      <c r="M14" s="7">
        <v>4</v>
      </c>
      <c r="N14" s="52">
        <v>0.44400000000000001</v>
      </c>
    </row>
    <row r="15" spans="1:14">
      <c r="A15" s="12" t="s">
        <v>16</v>
      </c>
      <c r="B15" s="12">
        <v>3</v>
      </c>
      <c r="C15" s="3">
        <v>10</v>
      </c>
      <c r="D15" s="4">
        <v>1861.84</v>
      </c>
      <c r="E15" s="14">
        <v>186.18</v>
      </c>
      <c r="F15" s="7">
        <v>8.5</v>
      </c>
      <c r="G15" s="54">
        <v>0.85</v>
      </c>
      <c r="H15" s="3">
        <v>1</v>
      </c>
      <c r="I15" s="55">
        <v>0.1</v>
      </c>
      <c r="J15" s="3">
        <v>1</v>
      </c>
      <c r="K15" s="56">
        <v>0.1</v>
      </c>
      <c r="L15" s="3"/>
      <c r="M15" s="7">
        <v>3</v>
      </c>
      <c r="N15" s="57">
        <v>0.3</v>
      </c>
    </row>
    <row r="16" spans="1:14">
      <c r="A16" s="2" t="s">
        <v>16</v>
      </c>
      <c r="B16" s="2">
        <v>5</v>
      </c>
      <c r="C16" s="3">
        <v>12</v>
      </c>
      <c r="D16" s="4">
        <v>1823.68</v>
      </c>
      <c r="E16" s="5">
        <v>151.97</v>
      </c>
      <c r="F16" s="7">
        <v>8.5</v>
      </c>
      <c r="G16" s="60">
        <v>0.70799999999999996</v>
      </c>
      <c r="H16" s="3">
        <v>2</v>
      </c>
      <c r="I16" s="61">
        <v>0.16700000000000001</v>
      </c>
      <c r="J16" s="3"/>
      <c r="K16" s="24">
        <v>0</v>
      </c>
      <c r="L16" s="3"/>
      <c r="M16" s="7">
        <v>1</v>
      </c>
      <c r="N16" s="62">
        <v>8.3000000000000004E-2</v>
      </c>
    </row>
    <row r="17" spans="1:14">
      <c r="A17" s="12" t="s">
        <v>16</v>
      </c>
      <c r="B17" s="12">
        <v>11</v>
      </c>
      <c r="C17" s="3">
        <v>7</v>
      </c>
      <c r="D17" s="4">
        <v>1556.34</v>
      </c>
      <c r="E17" s="14">
        <v>218.62</v>
      </c>
      <c r="F17" s="7">
        <v>11</v>
      </c>
      <c r="G17" s="64">
        <v>1.571</v>
      </c>
      <c r="H17" s="3">
        <v>2</v>
      </c>
      <c r="I17" s="65">
        <v>0.28599999999999998</v>
      </c>
      <c r="J17" s="3">
        <v>1</v>
      </c>
      <c r="K17" s="31">
        <v>0.14299999999999999</v>
      </c>
      <c r="L17" s="4">
        <v>26</v>
      </c>
      <c r="M17" s="7">
        <v>3</v>
      </c>
      <c r="N17" s="66">
        <v>0.42899999999999999</v>
      </c>
    </row>
    <row r="18" spans="1:14">
      <c r="A18" s="2" t="s">
        <v>16</v>
      </c>
      <c r="B18" s="2">
        <v>14</v>
      </c>
      <c r="C18" s="3">
        <v>12</v>
      </c>
      <c r="D18" s="4">
        <v>1122.6600000000001</v>
      </c>
      <c r="E18" s="5">
        <v>93.56</v>
      </c>
      <c r="F18" s="7">
        <v>3</v>
      </c>
      <c r="G18" s="69">
        <v>0.25</v>
      </c>
      <c r="H18" s="3"/>
      <c r="I18" s="24">
        <v>0</v>
      </c>
      <c r="J18" s="3"/>
      <c r="K18" s="24">
        <v>0</v>
      </c>
      <c r="L18" s="3"/>
      <c r="M18" s="7">
        <v>2</v>
      </c>
      <c r="N18" s="70">
        <v>0.16700000000000001</v>
      </c>
    </row>
    <row r="19" spans="1:14">
      <c r="A19" s="12" t="s">
        <v>16</v>
      </c>
      <c r="B19" s="12">
        <v>20</v>
      </c>
      <c r="C19" s="3">
        <v>14</v>
      </c>
      <c r="D19" s="4">
        <v>1274.79</v>
      </c>
      <c r="E19" s="14">
        <v>90.02</v>
      </c>
      <c r="F19" s="7">
        <v>1</v>
      </c>
      <c r="G19" s="72">
        <v>7.0999999999999994E-2</v>
      </c>
      <c r="H19" s="3"/>
      <c r="I19" s="19">
        <v>0</v>
      </c>
      <c r="J19" s="3">
        <v>1</v>
      </c>
      <c r="K19" s="73">
        <v>7.0999999999999994E-2</v>
      </c>
      <c r="L19" s="4">
        <v>14.5</v>
      </c>
      <c r="M19" s="7">
        <v>1</v>
      </c>
      <c r="N19" s="74">
        <v>7.0999999999999994E-2</v>
      </c>
    </row>
    <row r="20" spans="1:14">
      <c r="A20" s="2" t="s">
        <v>16</v>
      </c>
      <c r="B20" s="2">
        <v>21</v>
      </c>
      <c r="C20" s="3">
        <v>29</v>
      </c>
      <c r="D20" s="4">
        <v>3790.95</v>
      </c>
      <c r="E20" s="5">
        <v>130.72</v>
      </c>
      <c r="F20" s="7">
        <v>15</v>
      </c>
      <c r="G20" s="76">
        <v>0.51700000000000002</v>
      </c>
      <c r="H20" s="3">
        <v>1</v>
      </c>
      <c r="I20" s="77">
        <v>3.4000000000000002E-2</v>
      </c>
      <c r="J20" s="3">
        <v>1</v>
      </c>
      <c r="K20" s="48">
        <v>3.4000000000000002E-2</v>
      </c>
      <c r="L20" s="3"/>
      <c r="M20" s="7">
        <v>2</v>
      </c>
      <c r="N20" s="78">
        <v>6.9000000000000006E-2</v>
      </c>
    </row>
    <row r="21" spans="1:14">
      <c r="A21" s="12" t="s">
        <v>16</v>
      </c>
      <c r="B21" s="12">
        <v>23</v>
      </c>
      <c r="C21" s="3">
        <v>14</v>
      </c>
      <c r="D21" s="4">
        <v>1585.3</v>
      </c>
      <c r="E21" s="14">
        <v>113.24</v>
      </c>
      <c r="F21" s="7">
        <v>4</v>
      </c>
      <c r="G21" s="80">
        <v>0.28599999999999998</v>
      </c>
      <c r="H21" s="3"/>
      <c r="I21" s="19">
        <v>0</v>
      </c>
      <c r="J21" s="3">
        <v>2</v>
      </c>
      <c r="K21" s="31">
        <v>0.14299999999999999</v>
      </c>
      <c r="L21" s="3"/>
      <c r="M21" s="7"/>
      <c r="N21" s="32">
        <v>0</v>
      </c>
    </row>
    <row r="22" spans="1:14">
      <c r="A22" s="2" t="s">
        <v>16</v>
      </c>
      <c r="B22" s="2">
        <v>24</v>
      </c>
      <c r="C22" s="3">
        <v>16</v>
      </c>
      <c r="D22" s="4">
        <v>2565.63</v>
      </c>
      <c r="E22" s="5">
        <v>159.16</v>
      </c>
      <c r="F22" s="7">
        <v>12</v>
      </c>
      <c r="G22" s="81">
        <v>0.75</v>
      </c>
      <c r="H22" s="3">
        <v>1</v>
      </c>
      <c r="I22" s="82">
        <v>6.3E-2</v>
      </c>
      <c r="J22" s="3">
        <v>1</v>
      </c>
      <c r="K22" s="83">
        <v>6.3E-2</v>
      </c>
      <c r="L22" s="4">
        <v>19</v>
      </c>
      <c r="M22" s="7">
        <v>5</v>
      </c>
      <c r="N22" s="84">
        <v>0.313</v>
      </c>
    </row>
    <row r="23" spans="1:14">
      <c r="A23" s="12" t="s">
        <v>16</v>
      </c>
      <c r="B23" s="12">
        <v>26</v>
      </c>
      <c r="C23" s="3">
        <v>10</v>
      </c>
      <c r="D23" s="4">
        <v>1394.73</v>
      </c>
      <c r="E23" s="14">
        <v>139.07</v>
      </c>
      <c r="F23" s="7">
        <v>5</v>
      </c>
      <c r="G23" s="26">
        <v>0.5</v>
      </c>
      <c r="H23" s="3">
        <v>0</v>
      </c>
      <c r="I23" s="19">
        <v>0</v>
      </c>
      <c r="J23" s="3">
        <v>0</v>
      </c>
      <c r="K23" s="19">
        <v>0</v>
      </c>
      <c r="L23" s="4">
        <v>4</v>
      </c>
      <c r="M23" s="7">
        <v>3</v>
      </c>
      <c r="N23" s="57">
        <v>0.3</v>
      </c>
    </row>
    <row r="24" spans="1:14">
      <c r="A24" s="2" t="s">
        <v>17</v>
      </c>
      <c r="B24" s="2">
        <v>46</v>
      </c>
      <c r="C24" s="3">
        <v>13</v>
      </c>
      <c r="D24" s="4">
        <v>1737.74</v>
      </c>
      <c r="E24" s="5">
        <v>133.66999999999999</v>
      </c>
      <c r="F24" s="7">
        <v>8</v>
      </c>
      <c r="G24" s="85">
        <v>0.61499999999999999</v>
      </c>
      <c r="H24" s="3">
        <v>0</v>
      </c>
      <c r="I24" s="24">
        <v>0</v>
      </c>
      <c r="J24" s="3">
        <v>0</v>
      </c>
      <c r="K24" s="24">
        <v>0</v>
      </c>
      <c r="L24" s="4">
        <v>0</v>
      </c>
      <c r="M24" s="7">
        <v>1</v>
      </c>
      <c r="N24" s="86">
        <v>7.6999999999999999E-2</v>
      </c>
    </row>
    <row r="25" spans="1:14">
      <c r="A25" s="12" t="s">
        <v>17</v>
      </c>
      <c r="B25" s="12">
        <v>283</v>
      </c>
      <c r="C25" s="3">
        <v>9</v>
      </c>
      <c r="D25" s="4">
        <v>1554.78</v>
      </c>
      <c r="E25" s="14">
        <v>172.75</v>
      </c>
      <c r="F25" s="7">
        <v>4</v>
      </c>
      <c r="G25" s="88">
        <v>0.44400000000000001</v>
      </c>
      <c r="H25" s="3">
        <v>2</v>
      </c>
      <c r="I25" s="89">
        <v>0.222</v>
      </c>
      <c r="J25" s="3">
        <v>0</v>
      </c>
      <c r="K25" s="19">
        <v>0</v>
      </c>
      <c r="L25" s="4">
        <v>0</v>
      </c>
      <c r="M25" s="7">
        <v>6</v>
      </c>
      <c r="N25" s="90">
        <v>0.66700000000000004</v>
      </c>
    </row>
    <row r="26" spans="1:14">
      <c r="A26" s="2" t="s">
        <v>17</v>
      </c>
      <c r="B26" s="2">
        <v>847</v>
      </c>
      <c r="C26" s="3">
        <v>8</v>
      </c>
      <c r="D26" s="4">
        <v>1371.08</v>
      </c>
      <c r="E26" s="5">
        <v>171.39</v>
      </c>
      <c r="F26" s="7">
        <v>14</v>
      </c>
      <c r="G26" s="6">
        <v>1.75</v>
      </c>
      <c r="H26" s="3">
        <v>2</v>
      </c>
      <c r="I26" s="93">
        <v>0.25</v>
      </c>
      <c r="J26" s="3">
        <v>0</v>
      </c>
      <c r="K26" s="24">
        <v>0</v>
      </c>
      <c r="L26" s="4">
        <v>0</v>
      </c>
      <c r="M26" s="7">
        <v>5</v>
      </c>
      <c r="N26" s="94">
        <v>0.625</v>
      </c>
    </row>
    <row r="27" spans="1:14">
      <c r="A27" s="12" t="s">
        <v>17</v>
      </c>
      <c r="B27" s="12">
        <v>865</v>
      </c>
      <c r="C27" s="3">
        <v>5</v>
      </c>
      <c r="D27" s="4">
        <v>507.44</v>
      </c>
      <c r="E27" s="14">
        <v>101.49</v>
      </c>
      <c r="F27" s="7">
        <v>0</v>
      </c>
      <c r="G27" s="19">
        <v>0</v>
      </c>
      <c r="H27" s="3">
        <v>0</v>
      </c>
      <c r="I27" s="19">
        <v>0</v>
      </c>
      <c r="J27" s="3">
        <v>0</v>
      </c>
      <c r="K27" s="19">
        <v>0</v>
      </c>
      <c r="L27" s="4">
        <v>0</v>
      </c>
      <c r="M27" s="7">
        <v>0</v>
      </c>
      <c r="N27" s="32">
        <v>0</v>
      </c>
    </row>
    <row r="28" spans="1:14">
      <c r="A28" s="2" t="s">
        <v>17</v>
      </c>
      <c r="B28" s="2">
        <v>919</v>
      </c>
      <c r="C28" s="3">
        <v>16</v>
      </c>
      <c r="D28" s="4">
        <v>2112.0700000000002</v>
      </c>
      <c r="E28" s="5">
        <v>130.94</v>
      </c>
      <c r="F28" s="7">
        <v>11</v>
      </c>
      <c r="G28" s="95">
        <v>0.68799999999999994</v>
      </c>
      <c r="H28" s="3">
        <v>2</v>
      </c>
      <c r="I28" s="50">
        <v>0.125</v>
      </c>
      <c r="J28" s="3">
        <v>1</v>
      </c>
      <c r="K28" s="83">
        <v>6.3E-2</v>
      </c>
      <c r="L28" s="4">
        <v>17</v>
      </c>
      <c r="M28" s="7">
        <v>2</v>
      </c>
      <c r="N28" s="96">
        <v>0.125</v>
      </c>
    </row>
    <row r="29" spans="1:14">
      <c r="A29" s="12" t="s">
        <v>17</v>
      </c>
      <c r="B29" s="12">
        <v>954</v>
      </c>
      <c r="C29" s="3">
        <v>9</v>
      </c>
      <c r="D29" s="4">
        <v>1376.43</v>
      </c>
      <c r="E29" s="14">
        <v>152.94</v>
      </c>
      <c r="F29" s="7">
        <v>2</v>
      </c>
      <c r="G29" s="98">
        <v>0.222</v>
      </c>
      <c r="H29" s="3">
        <v>1</v>
      </c>
      <c r="I29" s="54">
        <v>0.111</v>
      </c>
      <c r="J29" s="3">
        <v>0</v>
      </c>
      <c r="K29" s="19">
        <v>0</v>
      </c>
      <c r="L29" s="4">
        <v>0</v>
      </c>
      <c r="M29" s="7">
        <v>1</v>
      </c>
      <c r="N29" s="99">
        <v>0.111</v>
      </c>
    </row>
    <row r="30" spans="1:14">
      <c r="A30" s="2" t="s">
        <v>17</v>
      </c>
      <c r="B30" s="2">
        <v>3017</v>
      </c>
      <c r="C30" s="3">
        <v>8</v>
      </c>
      <c r="D30" s="4">
        <v>982.18</v>
      </c>
      <c r="E30" s="5">
        <v>122.77</v>
      </c>
      <c r="F30" s="7">
        <v>2</v>
      </c>
      <c r="G30" s="69">
        <v>0.25</v>
      </c>
      <c r="H30" s="3">
        <v>0</v>
      </c>
      <c r="I30" s="24">
        <v>0</v>
      </c>
      <c r="J30" s="3">
        <v>0</v>
      </c>
      <c r="K30" s="24">
        <v>0</v>
      </c>
      <c r="L30" s="4">
        <v>0</v>
      </c>
      <c r="M30" s="7">
        <v>0</v>
      </c>
      <c r="N30" s="10">
        <v>0</v>
      </c>
    </row>
    <row r="31" spans="1:14">
      <c r="A31" s="12" t="s">
        <v>18</v>
      </c>
      <c r="B31" s="12">
        <v>29</v>
      </c>
      <c r="C31" s="3">
        <v>10</v>
      </c>
      <c r="D31" s="4">
        <v>1088.0999999999999</v>
      </c>
      <c r="E31" s="14">
        <v>108.51</v>
      </c>
      <c r="F31" s="7">
        <v>4</v>
      </c>
      <c r="G31" s="100">
        <v>0.4</v>
      </c>
      <c r="H31" s="3">
        <v>0</v>
      </c>
      <c r="I31" s="19">
        <v>0</v>
      </c>
      <c r="J31" s="3">
        <v>0</v>
      </c>
      <c r="K31" s="19">
        <v>0</v>
      </c>
      <c r="L31" s="4">
        <v>3</v>
      </c>
      <c r="M31" s="7">
        <v>2</v>
      </c>
      <c r="N31" s="101">
        <v>0.2</v>
      </c>
    </row>
    <row r="32" spans="1:14">
      <c r="A32" s="2" t="s">
        <v>18</v>
      </c>
      <c r="B32" s="2">
        <v>40</v>
      </c>
      <c r="C32" s="3">
        <v>9</v>
      </c>
      <c r="D32" s="4">
        <v>812.23</v>
      </c>
      <c r="E32" s="5">
        <v>90.25</v>
      </c>
      <c r="F32" s="7">
        <v>1</v>
      </c>
      <c r="G32" s="102">
        <v>0.111</v>
      </c>
      <c r="H32" s="3">
        <v>0</v>
      </c>
      <c r="I32" s="24">
        <v>0</v>
      </c>
      <c r="J32" s="3">
        <v>0</v>
      </c>
      <c r="K32" s="24">
        <v>0</v>
      </c>
      <c r="L32" s="4">
        <v>0</v>
      </c>
      <c r="M32" s="7">
        <v>0</v>
      </c>
      <c r="N32" s="10">
        <v>0</v>
      </c>
    </row>
    <row r="33" spans="1:14">
      <c r="A33" s="12" t="s">
        <v>18</v>
      </c>
      <c r="B33" s="12">
        <v>280</v>
      </c>
      <c r="C33" s="3">
        <v>6</v>
      </c>
      <c r="D33" s="4">
        <v>620.08000000000004</v>
      </c>
      <c r="E33" s="14">
        <v>103.35</v>
      </c>
      <c r="F33" s="7">
        <v>2</v>
      </c>
      <c r="G33" s="103">
        <v>0.33300000000000002</v>
      </c>
      <c r="H33" s="3">
        <v>0</v>
      </c>
      <c r="I33" s="19">
        <v>0</v>
      </c>
      <c r="J33" s="3">
        <v>0</v>
      </c>
      <c r="K33" s="19">
        <v>0</v>
      </c>
      <c r="L33" s="4">
        <v>0</v>
      </c>
      <c r="M33" s="7">
        <v>2</v>
      </c>
      <c r="N33" s="104">
        <v>0.33300000000000002</v>
      </c>
    </row>
    <row r="34" spans="1:14">
      <c r="A34" s="2" t="s">
        <v>18</v>
      </c>
      <c r="B34" s="2">
        <v>599</v>
      </c>
      <c r="C34" s="3">
        <v>8</v>
      </c>
      <c r="D34" s="4">
        <v>902.08</v>
      </c>
      <c r="E34" s="5">
        <v>110.89</v>
      </c>
      <c r="F34" s="7">
        <v>3</v>
      </c>
      <c r="G34" s="105">
        <v>0.375</v>
      </c>
      <c r="H34" s="3">
        <v>0</v>
      </c>
      <c r="I34" s="24">
        <v>0</v>
      </c>
      <c r="J34" s="3">
        <v>0</v>
      </c>
      <c r="K34" s="24">
        <v>0</v>
      </c>
      <c r="L34" s="4">
        <v>15</v>
      </c>
      <c r="M34" s="7">
        <v>2</v>
      </c>
      <c r="N34" s="106">
        <v>0.25</v>
      </c>
    </row>
    <row r="35" spans="1:14">
      <c r="A35" s="12" t="s">
        <v>18</v>
      </c>
      <c r="B35" s="12">
        <v>720</v>
      </c>
      <c r="C35" s="3">
        <v>5</v>
      </c>
      <c r="D35" s="4">
        <v>639.92999999999995</v>
      </c>
      <c r="E35" s="14">
        <v>127.79</v>
      </c>
      <c r="F35" s="7">
        <v>3</v>
      </c>
      <c r="G35" s="37">
        <v>0.6</v>
      </c>
      <c r="H35" s="3">
        <v>0</v>
      </c>
      <c r="I35" s="19">
        <v>0</v>
      </c>
      <c r="J35" s="3">
        <v>0</v>
      </c>
      <c r="K35" s="19">
        <v>0</v>
      </c>
      <c r="L35" s="4">
        <v>1</v>
      </c>
      <c r="M35" s="7">
        <v>2</v>
      </c>
      <c r="N35" s="109">
        <v>0.4</v>
      </c>
    </row>
    <row r="36" spans="1:14">
      <c r="A36" s="2" t="s">
        <v>18</v>
      </c>
      <c r="B36" s="2">
        <v>728</v>
      </c>
      <c r="C36" s="3">
        <v>2</v>
      </c>
      <c r="D36" s="4">
        <v>359.9</v>
      </c>
      <c r="E36" s="5">
        <v>179.95</v>
      </c>
      <c r="F36" s="7">
        <v>0</v>
      </c>
      <c r="G36" s="24">
        <v>0</v>
      </c>
      <c r="H36" s="3">
        <v>0</v>
      </c>
      <c r="I36" s="24">
        <v>0</v>
      </c>
      <c r="J36" s="3">
        <v>0</v>
      </c>
      <c r="K36" s="24">
        <v>0</v>
      </c>
      <c r="L36" s="4">
        <v>0</v>
      </c>
      <c r="M36" s="7">
        <v>1</v>
      </c>
      <c r="N36" s="110">
        <v>0.5</v>
      </c>
    </row>
    <row r="37" spans="1:14">
      <c r="A37" s="12" t="s">
        <v>18</v>
      </c>
      <c r="B37" s="12">
        <v>830</v>
      </c>
      <c r="C37" s="3">
        <v>2</v>
      </c>
      <c r="D37" s="4">
        <v>181.69</v>
      </c>
      <c r="E37" s="14">
        <v>90.85</v>
      </c>
      <c r="F37" s="7">
        <v>1</v>
      </c>
      <c r="G37" s="26">
        <v>0.5</v>
      </c>
      <c r="H37" s="3">
        <v>0</v>
      </c>
      <c r="I37" s="19">
        <v>0</v>
      </c>
      <c r="J37" s="3">
        <v>0</v>
      </c>
      <c r="K37" s="19">
        <v>0</v>
      </c>
      <c r="L37" s="4">
        <v>0</v>
      </c>
      <c r="M37" s="7">
        <v>0</v>
      </c>
      <c r="N37" s="32">
        <v>0</v>
      </c>
    </row>
    <row r="38" spans="1:14">
      <c r="A38" s="2" t="s">
        <v>18</v>
      </c>
      <c r="B38" s="2">
        <v>975</v>
      </c>
      <c r="C38" s="3">
        <v>4</v>
      </c>
      <c r="D38" s="4">
        <v>468.38</v>
      </c>
      <c r="E38" s="5">
        <v>115.6</v>
      </c>
      <c r="F38" s="7">
        <v>2</v>
      </c>
      <c r="G38" s="44">
        <v>0.5</v>
      </c>
      <c r="H38" s="3">
        <v>0</v>
      </c>
      <c r="I38" s="24">
        <v>0</v>
      </c>
      <c r="J38" s="3">
        <v>0</v>
      </c>
      <c r="K38" s="24">
        <v>0</v>
      </c>
      <c r="L38" s="4">
        <v>6</v>
      </c>
      <c r="M38" s="7">
        <v>1</v>
      </c>
      <c r="N38" s="106">
        <v>0.25</v>
      </c>
    </row>
    <row r="39" spans="1:14">
      <c r="A39" s="12" t="s">
        <v>19</v>
      </c>
      <c r="B39" s="12">
        <v>1</v>
      </c>
      <c r="C39" s="3">
        <v>4</v>
      </c>
      <c r="D39" s="4">
        <v>470.89</v>
      </c>
      <c r="E39" s="14">
        <v>117.72</v>
      </c>
      <c r="F39" s="7">
        <v>2</v>
      </c>
      <c r="G39" s="26">
        <v>0.5</v>
      </c>
      <c r="H39" s="3">
        <v>0</v>
      </c>
      <c r="I39" s="19">
        <v>0</v>
      </c>
      <c r="J39" s="3">
        <v>0</v>
      </c>
      <c r="K39" s="19">
        <v>0</v>
      </c>
      <c r="L39" s="4">
        <v>0</v>
      </c>
      <c r="M39" s="7">
        <v>2</v>
      </c>
      <c r="N39" s="111">
        <v>0.5</v>
      </c>
    </row>
    <row r="40" spans="1:14">
      <c r="A40" s="2" t="s">
        <v>19</v>
      </c>
      <c r="B40" s="2">
        <v>2</v>
      </c>
      <c r="C40" s="3">
        <v>15</v>
      </c>
      <c r="D40" s="4">
        <v>2075.6799999999998</v>
      </c>
      <c r="E40" s="5">
        <v>138.18</v>
      </c>
      <c r="F40" s="7">
        <v>13</v>
      </c>
      <c r="G40" s="114">
        <v>0.86699999999999999</v>
      </c>
      <c r="H40" s="3">
        <v>2</v>
      </c>
      <c r="I40" s="115">
        <v>0.13300000000000001</v>
      </c>
      <c r="J40" s="3">
        <v>1</v>
      </c>
      <c r="K40" s="116">
        <v>6.7000000000000004E-2</v>
      </c>
      <c r="L40" s="4">
        <v>3</v>
      </c>
      <c r="M40" s="7">
        <v>1</v>
      </c>
      <c r="N40" s="117">
        <v>6.7000000000000004E-2</v>
      </c>
    </row>
    <row r="41" spans="1:14">
      <c r="A41" s="12" t="s">
        <v>19</v>
      </c>
      <c r="B41" s="12">
        <v>4</v>
      </c>
      <c r="C41" s="3">
        <v>28</v>
      </c>
      <c r="D41" s="4">
        <v>4173.3999999999996</v>
      </c>
      <c r="E41" s="14">
        <v>148.94</v>
      </c>
      <c r="F41" s="7">
        <v>23</v>
      </c>
      <c r="G41" s="119">
        <v>0.82099999999999995</v>
      </c>
      <c r="H41" s="3">
        <v>5</v>
      </c>
      <c r="I41" s="120">
        <v>0.17899999999999999</v>
      </c>
      <c r="J41" s="3">
        <v>0</v>
      </c>
      <c r="K41" s="19">
        <v>0</v>
      </c>
      <c r="L41" s="4">
        <v>3</v>
      </c>
      <c r="M41" s="7">
        <v>8</v>
      </c>
      <c r="N41" s="121">
        <v>0.28599999999999998</v>
      </c>
    </row>
    <row r="42" spans="1:14">
      <c r="A42" s="2" t="s">
        <v>19</v>
      </c>
      <c r="B42" s="2">
        <v>6</v>
      </c>
      <c r="C42" s="3">
        <v>17</v>
      </c>
      <c r="D42" s="4">
        <v>2242.0500000000002</v>
      </c>
      <c r="E42" s="5">
        <v>131.30000000000001</v>
      </c>
      <c r="F42" s="7">
        <v>13</v>
      </c>
      <c r="G42" s="123">
        <v>0.76500000000000001</v>
      </c>
      <c r="H42" s="3">
        <v>1</v>
      </c>
      <c r="I42" s="124">
        <v>5.8999999999999997E-2</v>
      </c>
      <c r="J42" s="3">
        <v>0</v>
      </c>
      <c r="K42" s="24">
        <v>0</v>
      </c>
      <c r="L42" s="4">
        <v>10</v>
      </c>
      <c r="M42" s="7">
        <v>2</v>
      </c>
      <c r="N42" s="125">
        <v>0.11799999999999999</v>
      </c>
    </row>
    <row r="43" spans="1:14">
      <c r="A43" s="12" t="s">
        <v>19</v>
      </c>
      <c r="B43" s="12">
        <v>15</v>
      </c>
      <c r="C43" s="3">
        <v>22</v>
      </c>
      <c r="D43" s="4">
        <v>2960.6</v>
      </c>
      <c r="E43" s="14">
        <v>134.57</v>
      </c>
      <c r="F43" s="7">
        <v>15</v>
      </c>
      <c r="G43" s="127">
        <v>0.68200000000000005</v>
      </c>
      <c r="H43" s="3">
        <v>1</v>
      </c>
      <c r="I43" s="128">
        <v>4.4999999999999998E-2</v>
      </c>
      <c r="J43" s="3">
        <v>0</v>
      </c>
      <c r="K43" s="19">
        <v>0</v>
      </c>
      <c r="L43" s="4">
        <v>0</v>
      </c>
      <c r="M43" s="7">
        <v>1</v>
      </c>
      <c r="N43" s="129">
        <v>4.4999999999999998E-2</v>
      </c>
    </row>
    <row r="44" spans="1:14">
      <c r="A44" s="2" t="s">
        <v>19</v>
      </c>
      <c r="B44" s="2">
        <v>28</v>
      </c>
      <c r="C44" s="3">
        <v>24</v>
      </c>
      <c r="D44" s="4">
        <v>2675.65</v>
      </c>
      <c r="E44" s="5">
        <v>111.49</v>
      </c>
      <c r="F44" s="7">
        <v>10</v>
      </c>
      <c r="G44" s="131">
        <v>0.41699999999999998</v>
      </c>
      <c r="H44" s="3">
        <v>2</v>
      </c>
      <c r="I44" s="132">
        <v>8.3000000000000004E-2</v>
      </c>
      <c r="J44" s="3">
        <v>0</v>
      </c>
      <c r="K44" s="24">
        <v>0</v>
      </c>
      <c r="L44" s="4">
        <v>0</v>
      </c>
      <c r="M44" s="7">
        <v>1</v>
      </c>
      <c r="N44" s="133">
        <v>4.2000000000000003E-2</v>
      </c>
    </row>
    <row r="45" spans="1:14">
      <c r="A45" s="12" t="s">
        <v>19</v>
      </c>
      <c r="B45" s="12">
        <v>32</v>
      </c>
      <c r="C45" s="3">
        <v>18</v>
      </c>
      <c r="D45" s="4">
        <v>2254.25</v>
      </c>
      <c r="E45" s="14">
        <v>119.96</v>
      </c>
      <c r="F45" s="7">
        <v>12</v>
      </c>
      <c r="G45" s="71">
        <v>0.66700000000000004</v>
      </c>
      <c r="H45" s="3">
        <v>0</v>
      </c>
      <c r="I45" s="19">
        <v>0</v>
      </c>
      <c r="J45" s="3">
        <v>0</v>
      </c>
      <c r="K45" s="19">
        <v>0</v>
      </c>
      <c r="L45" s="4">
        <v>95</v>
      </c>
      <c r="M45" s="7">
        <v>2</v>
      </c>
      <c r="N45" s="99">
        <v>0.111</v>
      </c>
    </row>
    <row r="46" spans="1:14">
      <c r="A46" s="2" t="s">
        <v>19</v>
      </c>
      <c r="B46" s="2">
        <v>606</v>
      </c>
      <c r="C46" s="3">
        <v>14</v>
      </c>
      <c r="D46" s="4">
        <v>1509.07</v>
      </c>
      <c r="E46" s="5">
        <v>107.22</v>
      </c>
      <c r="F46" s="7">
        <v>3</v>
      </c>
      <c r="G46" s="136">
        <v>0.214</v>
      </c>
      <c r="H46" s="3">
        <v>2</v>
      </c>
      <c r="I46" s="137">
        <v>0.14299999999999999</v>
      </c>
      <c r="J46" s="3">
        <v>0</v>
      </c>
      <c r="K46" s="24">
        <v>0</v>
      </c>
      <c r="L46" s="4">
        <v>8</v>
      </c>
      <c r="M46" s="7">
        <v>2</v>
      </c>
      <c r="N46" s="36">
        <v>0.14299999999999999</v>
      </c>
    </row>
    <row r="47" spans="1:14">
      <c r="A47" s="12" t="s">
        <v>20</v>
      </c>
      <c r="B47" s="12">
        <v>8</v>
      </c>
      <c r="C47" s="3">
        <v>19</v>
      </c>
      <c r="D47" s="4">
        <v>2554.2199999999998</v>
      </c>
      <c r="E47" s="14">
        <v>133.06</v>
      </c>
      <c r="F47" s="7">
        <v>13</v>
      </c>
      <c r="G47" s="127">
        <v>0.68400000000000005</v>
      </c>
      <c r="H47" s="3">
        <v>0</v>
      </c>
      <c r="I47" s="19">
        <v>0</v>
      </c>
      <c r="J47" s="3">
        <v>0</v>
      </c>
      <c r="K47" s="19">
        <v>0</v>
      </c>
      <c r="L47" s="4">
        <v>26</v>
      </c>
      <c r="M47" s="7">
        <v>5</v>
      </c>
      <c r="N47" s="138">
        <v>0.26300000000000001</v>
      </c>
    </row>
    <row r="48" spans="1:14">
      <c r="A48" s="2" t="s">
        <v>20</v>
      </c>
      <c r="B48" s="2">
        <v>10</v>
      </c>
      <c r="C48" s="3">
        <v>13</v>
      </c>
      <c r="D48" s="4">
        <v>1835.05</v>
      </c>
      <c r="E48" s="5">
        <v>140.85</v>
      </c>
      <c r="F48" s="7">
        <v>7</v>
      </c>
      <c r="G48" s="139">
        <v>0.53800000000000003</v>
      </c>
      <c r="H48" s="3">
        <v>1</v>
      </c>
      <c r="I48" s="49">
        <v>7.6999999999999999E-2</v>
      </c>
      <c r="J48" s="3">
        <v>0</v>
      </c>
      <c r="K48" s="24">
        <v>0</v>
      </c>
      <c r="L48" s="4">
        <v>4</v>
      </c>
      <c r="M48" s="7">
        <v>6</v>
      </c>
      <c r="N48" s="140">
        <v>0.46200000000000002</v>
      </c>
    </row>
    <row r="49" spans="1:14">
      <c r="A49" s="12" t="s">
        <v>20</v>
      </c>
      <c r="B49" s="12">
        <v>12</v>
      </c>
      <c r="C49" s="3">
        <v>6</v>
      </c>
      <c r="D49" s="4">
        <v>672.79</v>
      </c>
      <c r="E49" s="14">
        <v>107.97</v>
      </c>
      <c r="F49" s="7">
        <v>0</v>
      </c>
      <c r="G49" s="19">
        <v>0</v>
      </c>
      <c r="H49" s="3">
        <v>0</v>
      </c>
      <c r="I49" s="19">
        <v>0</v>
      </c>
      <c r="J49" s="3">
        <v>0</v>
      </c>
      <c r="K49" s="19">
        <v>0</v>
      </c>
      <c r="L49" s="4">
        <v>25</v>
      </c>
      <c r="M49" s="7">
        <v>0</v>
      </c>
      <c r="N49" s="32">
        <v>0</v>
      </c>
    </row>
    <row r="50" spans="1:14">
      <c r="A50" s="2" t="s">
        <v>20</v>
      </c>
      <c r="B50" s="2">
        <v>13</v>
      </c>
      <c r="C50" s="3">
        <v>14</v>
      </c>
      <c r="D50" s="4">
        <v>1588.11</v>
      </c>
      <c r="E50" s="5">
        <v>112.94</v>
      </c>
      <c r="F50" s="7">
        <v>9</v>
      </c>
      <c r="G50" s="142">
        <v>0.64300000000000002</v>
      </c>
      <c r="H50" s="3">
        <v>0</v>
      </c>
      <c r="I50" s="24">
        <v>0</v>
      </c>
      <c r="J50" s="3">
        <v>0</v>
      </c>
      <c r="K50" s="24">
        <v>0</v>
      </c>
      <c r="L50" s="4">
        <v>7</v>
      </c>
      <c r="M50" s="7">
        <v>2</v>
      </c>
      <c r="N50" s="36">
        <v>0.14299999999999999</v>
      </c>
    </row>
    <row r="51" spans="1:14">
      <c r="A51" s="12" t="s">
        <v>20</v>
      </c>
      <c r="B51" s="12">
        <v>31</v>
      </c>
      <c r="C51" s="3">
        <v>17</v>
      </c>
      <c r="D51" s="4">
        <v>2210.11</v>
      </c>
      <c r="E51" s="14">
        <v>129.41999999999999</v>
      </c>
      <c r="F51" s="7">
        <v>4</v>
      </c>
      <c r="G51" s="144">
        <v>0.23499999999999999</v>
      </c>
      <c r="H51" s="3">
        <v>1</v>
      </c>
      <c r="I51" s="127">
        <v>5.8999999999999997E-2</v>
      </c>
      <c r="J51" s="3">
        <v>0</v>
      </c>
      <c r="K51" s="19">
        <v>0</v>
      </c>
      <c r="L51" s="4">
        <v>10</v>
      </c>
      <c r="M51" s="7">
        <v>6</v>
      </c>
      <c r="N51" s="145">
        <v>0.35299999999999998</v>
      </c>
    </row>
    <row r="52" spans="1:14">
      <c r="A52" s="2" t="s">
        <v>20</v>
      </c>
      <c r="B52" s="2">
        <v>92</v>
      </c>
      <c r="C52" s="3">
        <v>21</v>
      </c>
      <c r="D52" s="4">
        <v>2577.0100000000002</v>
      </c>
      <c r="E52" s="5">
        <v>121.81</v>
      </c>
      <c r="F52" s="7">
        <v>9.5</v>
      </c>
      <c r="G52" s="21">
        <v>0.45200000000000001</v>
      </c>
      <c r="H52" s="3">
        <v>1</v>
      </c>
      <c r="I52" s="146">
        <v>4.8000000000000001E-2</v>
      </c>
      <c r="J52" s="3">
        <v>0</v>
      </c>
      <c r="K52" s="24">
        <v>0</v>
      </c>
      <c r="L52" s="4">
        <v>19</v>
      </c>
      <c r="M52" s="7">
        <v>4</v>
      </c>
      <c r="N52" s="147">
        <v>0.19</v>
      </c>
    </row>
    <row r="53" spans="1:14">
      <c r="A53" s="12" t="s">
        <v>20</v>
      </c>
      <c r="B53" s="12">
        <v>116</v>
      </c>
      <c r="C53" s="3">
        <v>9</v>
      </c>
      <c r="D53" s="4">
        <v>975.51</v>
      </c>
      <c r="E53" s="14">
        <v>107.61</v>
      </c>
      <c r="F53" s="7">
        <v>4</v>
      </c>
      <c r="G53" s="148">
        <v>0.44400000000000001</v>
      </c>
      <c r="H53" s="3">
        <v>0</v>
      </c>
      <c r="I53" s="149">
        <v>0</v>
      </c>
      <c r="J53" s="3">
        <v>0</v>
      </c>
      <c r="K53" s="149">
        <v>0</v>
      </c>
      <c r="L53" s="4">
        <v>7.02</v>
      </c>
      <c r="M53" s="7">
        <v>0</v>
      </c>
      <c r="N53" s="32">
        <v>0</v>
      </c>
    </row>
    <row r="54" spans="1:14">
      <c r="A54" s="2" t="s">
        <v>20</v>
      </c>
      <c r="B54" s="2">
        <v>870</v>
      </c>
      <c r="C54" s="3">
        <v>8</v>
      </c>
      <c r="D54" s="4">
        <v>841.39</v>
      </c>
      <c r="E54" s="5">
        <v>105.17</v>
      </c>
      <c r="F54" s="7">
        <v>1</v>
      </c>
      <c r="G54" s="151">
        <v>0.125</v>
      </c>
      <c r="H54" s="3">
        <v>0</v>
      </c>
      <c r="I54" s="24">
        <v>0</v>
      </c>
      <c r="J54" s="3">
        <v>0</v>
      </c>
      <c r="K54" s="24">
        <v>0</v>
      </c>
      <c r="L54" s="4">
        <v>0</v>
      </c>
      <c r="M54" s="7">
        <v>2</v>
      </c>
      <c r="N54" s="106">
        <v>0.25</v>
      </c>
    </row>
    <row r="55" spans="1:14">
      <c r="A55" s="12" t="s">
        <v>20</v>
      </c>
      <c r="B55" s="12">
        <v>3004</v>
      </c>
      <c r="C55" s="3">
        <v>3</v>
      </c>
      <c r="D55" s="4">
        <v>358.42</v>
      </c>
      <c r="E55" s="14">
        <f>D55/C55</f>
        <v>119.47333333333334</v>
      </c>
      <c r="F55" s="7">
        <v>2</v>
      </c>
      <c r="G55" s="152">
        <f>F55/C55</f>
        <v>0.66666666666666663</v>
      </c>
      <c r="H55" s="3">
        <v>1</v>
      </c>
      <c r="I55" s="152">
        <f>H55/C55</f>
        <v>0.33333333333333331</v>
      </c>
      <c r="J55" s="3">
        <v>1</v>
      </c>
      <c r="K55" s="152">
        <f>J55/C55</f>
        <v>0.33333333333333331</v>
      </c>
      <c r="L55" s="4">
        <v>5</v>
      </c>
      <c r="M55" s="7">
        <v>1</v>
      </c>
      <c r="N55" s="153">
        <f>M55/C55</f>
        <v>0.33333333333333331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selection sqref="A1:XFD1"/>
    </sheetView>
  </sheetViews>
  <sheetFormatPr defaultRowHeight="15"/>
  <cols>
    <col min="3" max="3" width="10.7109375" customWidth="1"/>
    <col min="4" max="4" width="13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17</v>
      </c>
      <c r="C2" s="3">
        <v>12</v>
      </c>
      <c r="D2" s="4">
        <v>1649</v>
      </c>
      <c r="E2" s="5">
        <v>136.29</v>
      </c>
      <c r="F2" s="7">
        <v>7.5</v>
      </c>
      <c r="G2" s="155">
        <v>0.625</v>
      </c>
      <c r="H2" s="7">
        <v>1</v>
      </c>
      <c r="I2" s="156">
        <v>8.3000000000000004E-2</v>
      </c>
      <c r="J2" s="3">
        <v>0</v>
      </c>
      <c r="K2" s="10">
        <v>0</v>
      </c>
      <c r="L2" s="4">
        <v>13.5</v>
      </c>
      <c r="M2" s="7">
        <v>5</v>
      </c>
      <c r="N2" s="157">
        <v>0.41699999999999998</v>
      </c>
    </row>
    <row r="3" spans="1:14">
      <c r="A3" s="12" t="s">
        <v>14</v>
      </c>
      <c r="B3" s="12">
        <v>22</v>
      </c>
      <c r="C3" s="3">
        <v>22</v>
      </c>
      <c r="D3" s="4">
        <v>3654.63</v>
      </c>
      <c r="E3" s="14">
        <v>164.68</v>
      </c>
      <c r="F3" s="7">
        <v>13</v>
      </c>
      <c r="G3" s="29">
        <v>0.59099999999999997</v>
      </c>
      <c r="H3" s="3">
        <v>2</v>
      </c>
      <c r="I3" s="17">
        <v>9.0999999999999998E-2</v>
      </c>
      <c r="J3" s="3">
        <v>2</v>
      </c>
      <c r="K3" s="158">
        <v>9.0999999999999998E-2</v>
      </c>
      <c r="L3" s="4">
        <v>31.63</v>
      </c>
      <c r="M3" s="7">
        <v>9</v>
      </c>
      <c r="N3" s="41">
        <v>0.40899999999999997</v>
      </c>
    </row>
    <row r="4" spans="1:14">
      <c r="A4" s="2" t="s">
        <v>14</v>
      </c>
      <c r="B4" s="2">
        <v>641</v>
      </c>
      <c r="C4" s="3">
        <v>16</v>
      </c>
      <c r="D4" s="4">
        <v>1705.22</v>
      </c>
      <c r="E4" s="5">
        <v>105.54</v>
      </c>
      <c r="F4" s="7">
        <v>4</v>
      </c>
      <c r="G4" s="159">
        <v>0.25</v>
      </c>
      <c r="H4" s="3">
        <v>1</v>
      </c>
      <c r="I4" s="92">
        <v>6.3E-2</v>
      </c>
      <c r="J4" s="3">
        <v>0</v>
      </c>
      <c r="K4" s="24">
        <v>0</v>
      </c>
      <c r="L4" s="4">
        <v>16.64</v>
      </c>
      <c r="M4" s="7">
        <v>5</v>
      </c>
      <c r="N4" s="160">
        <v>0.313</v>
      </c>
    </row>
    <row r="5" spans="1:14">
      <c r="A5" s="12" t="s">
        <v>14</v>
      </c>
      <c r="B5" s="12">
        <v>717</v>
      </c>
      <c r="C5" s="3">
        <v>13</v>
      </c>
      <c r="D5" s="4">
        <v>1457.97</v>
      </c>
      <c r="E5" s="14">
        <v>112.15</v>
      </c>
      <c r="F5" s="7">
        <v>6</v>
      </c>
      <c r="G5" s="161">
        <v>0.46200000000000002</v>
      </c>
      <c r="H5" s="3">
        <v>1</v>
      </c>
      <c r="I5" s="128">
        <v>7.6999999999999999E-2</v>
      </c>
      <c r="J5" s="3">
        <v>0</v>
      </c>
      <c r="K5" s="19">
        <v>0</v>
      </c>
      <c r="L5" s="4">
        <v>0</v>
      </c>
      <c r="M5" s="7">
        <v>3</v>
      </c>
      <c r="N5" s="162">
        <v>0.23100000000000001</v>
      </c>
    </row>
    <row r="6" spans="1:14">
      <c r="A6" s="2" t="s">
        <v>14</v>
      </c>
      <c r="B6" s="2">
        <v>843</v>
      </c>
      <c r="C6" s="3">
        <v>1</v>
      </c>
      <c r="D6" s="4">
        <v>136.76</v>
      </c>
      <c r="E6" s="5">
        <v>136.76</v>
      </c>
      <c r="F6" s="7">
        <v>0</v>
      </c>
      <c r="G6" s="24">
        <v>0</v>
      </c>
      <c r="H6" s="3">
        <v>0</v>
      </c>
      <c r="I6" s="24">
        <v>0</v>
      </c>
      <c r="J6" s="3">
        <v>0</v>
      </c>
      <c r="K6" s="24">
        <v>0</v>
      </c>
      <c r="L6" s="4">
        <v>0</v>
      </c>
      <c r="M6" s="7">
        <v>1</v>
      </c>
      <c r="N6" s="28">
        <v>1</v>
      </c>
    </row>
    <row r="7" spans="1:14">
      <c r="A7" s="12" t="s">
        <v>14</v>
      </c>
      <c r="B7" s="12">
        <v>881</v>
      </c>
      <c r="C7" s="3">
        <v>5</v>
      </c>
      <c r="D7" s="4">
        <v>937.79</v>
      </c>
      <c r="E7" s="14">
        <v>186.56</v>
      </c>
      <c r="F7" s="7">
        <v>4</v>
      </c>
      <c r="G7" s="126">
        <v>0.8</v>
      </c>
      <c r="H7" s="3">
        <v>2</v>
      </c>
      <c r="I7" s="31">
        <v>0.4</v>
      </c>
      <c r="J7" s="3">
        <v>0</v>
      </c>
      <c r="K7" s="19">
        <v>0</v>
      </c>
      <c r="L7" s="4">
        <v>5</v>
      </c>
      <c r="M7" s="7">
        <v>0</v>
      </c>
      <c r="N7" s="32">
        <v>0</v>
      </c>
    </row>
    <row r="8" spans="1:14">
      <c r="A8" s="2" t="s">
        <v>15</v>
      </c>
      <c r="B8" s="2">
        <v>18</v>
      </c>
      <c r="C8" s="3">
        <v>21</v>
      </c>
      <c r="D8" s="4">
        <v>2732.08</v>
      </c>
      <c r="E8" s="5">
        <v>130.1</v>
      </c>
      <c r="F8" s="7">
        <v>12</v>
      </c>
      <c r="G8" s="59">
        <v>0.57099999999999995</v>
      </c>
      <c r="H8" s="3">
        <v>0</v>
      </c>
      <c r="I8" s="24">
        <v>0</v>
      </c>
      <c r="J8" s="3">
        <v>0</v>
      </c>
      <c r="K8" s="24">
        <v>0</v>
      </c>
      <c r="L8" s="4">
        <v>0</v>
      </c>
      <c r="M8" s="7">
        <v>3</v>
      </c>
      <c r="N8" s="163">
        <v>0.14299999999999999</v>
      </c>
    </row>
    <row r="9" spans="1:14">
      <c r="A9" s="12" t="s">
        <v>15</v>
      </c>
      <c r="B9" s="12">
        <v>19</v>
      </c>
      <c r="C9" s="3">
        <v>16</v>
      </c>
      <c r="D9" s="4">
        <v>2136.5100000000002</v>
      </c>
      <c r="E9" s="14">
        <v>133.36000000000001</v>
      </c>
      <c r="F9" s="7">
        <v>8.5</v>
      </c>
      <c r="G9" s="164">
        <v>0.53100000000000003</v>
      </c>
      <c r="H9" s="3">
        <v>1</v>
      </c>
      <c r="I9" s="29">
        <v>6.3E-2</v>
      </c>
      <c r="J9" s="3">
        <v>1</v>
      </c>
      <c r="K9" s="165">
        <v>6.3E-2</v>
      </c>
      <c r="L9" s="4">
        <v>2.79</v>
      </c>
      <c r="M9" s="7">
        <v>8</v>
      </c>
      <c r="N9" s="111">
        <v>0.5</v>
      </c>
    </row>
    <row r="10" spans="1:14">
      <c r="A10" s="2" t="s">
        <v>15</v>
      </c>
      <c r="B10" s="2">
        <v>282</v>
      </c>
      <c r="C10" s="3">
        <v>8</v>
      </c>
      <c r="D10" s="4">
        <v>1005.26</v>
      </c>
      <c r="E10" s="5">
        <v>125.66</v>
      </c>
      <c r="F10" s="7">
        <v>2</v>
      </c>
      <c r="G10" s="159">
        <v>0.25</v>
      </c>
      <c r="H10" s="3">
        <v>0</v>
      </c>
      <c r="I10" s="24">
        <v>0</v>
      </c>
      <c r="J10" s="3">
        <v>0</v>
      </c>
      <c r="K10" s="24">
        <v>0</v>
      </c>
      <c r="L10" s="4">
        <v>0</v>
      </c>
      <c r="M10" s="7">
        <v>5</v>
      </c>
      <c r="N10" s="94">
        <v>0.625</v>
      </c>
    </row>
    <row r="11" spans="1:14">
      <c r="A11" s="12" t="s">
        <v>15</v>
      </c>
      <c r="B11" s="12">
        <v>447</v>
      </c>
      <c r="C11" s="3">
        <v>17</v>
      </c>
      <c r="D11" s="4">
        <v>1708.94</v>
      </c>
      <c r="E11" s="14">
        <v>100.53</v>
      </c>
      <c r="F11" s="7">
        <v>1</v>
      </c>
      <c r="G11" s="167">
        <v>5.8999999999999997E-2</v>
      </c>
      <c r="H11" s="3">
        <v>0</v>
      </c>
      <c r="I11" s="19">
        <v>0</v>
      </c>
      <c r="J11" s="3">
        <v>0</v>
      </c>
      <c r="K11" s="19">
        <v>0</v>
      </c>
      <c r="L11" s="4">
        <v>0</v>
      </c>
      <c r="M11" s="7">
        <v>3</v>
      </c>
      <c r="N11" s="168">
        <v>0.17599999999999999</v>
      </c>
    </row>
    <row r="12" spans="1:14">
      <c r="A12" s="2" t="s">
        <v>15</v>
      </c>
      <c r="B12" s="2">
        <v>448</v>
      </c>
      <c r="C12" s="3">
        <v>17</v>
      </c>
      <c r="D12" s="4">
        <v>2105.6799999999998</v>
      </c>
      <c r="E12" s="5">
        <v>123.57</v>
      </c>
      <c r="F12" s="7">
        <v>9.5</v>
      </c>
      <c r="G12" s="34">
        <v>0.55900000000000005</v>
      </c>
      <c r="H12" s="3">
        <v>0</v>
      </c>
      <c r="I12" s="24">
        <v>0</v>
      </c>
      <c r="J12" s="3">
        <v>0</v>
      </c>
      <c r="K12" s="24">
        <v>0</v>
      </c>
      <c r="L12" s="4">
        <v>5</v>
      </c>
      <c r="M12" s="7">
        <v>2</v>
      </c>
      <c r="N12" s="169">
        <v>0.11799999999999999</v>
      </c>
    </row>
    <row r="13" spans="1:14">
      <c r="A13" s="12" t="s">
        <v>15</v>
      </c>
      <c r="B13" s="12">
        <v>531</v>
      </c>
      <c r="C13" s="3">
        <v>2</v>
      </c>
      <c r="D13" s="4">
        <v>254.32</v>
      </c>
      <c r="E13" s="14">
        <v>127.16</v>
      </c>
      <c r="F13" s="7">
        <v>2</v>
      </c>
      <c r="G13" s="170">
        <v>1</v>
      </c>
      <c r="H13" s="3">
        <v>0</v>
      </c>
      <c r="I13" s="19">
        <v>0</v>
      </c>
      <c r="J13" s="3">
        <v>0</v>
      </c>
      <c r="K13" s="19">
        <v>0</v>
      </c>
      <c r="L13" s="4">
        <v>0</v>
      </c>
      <c r="M13" s="7">
        <v>0</v>
      </c>
      <c r="N13" s="32">
        <v>0</v>
      </c>
    </row>
    <row r="14" spans="1:14">
      <c r="A14" s="2" t="s">
        <v>15</v>
      </c>
      <c r="B14" s="2">
        <v>832</v>
      </c>
      <c r="C14" s="3">
        <v>9</v>
      </c>
      <c r="D14" s="4">
        <v>1631.37</v>
      </c>
      <c r="E14" s="5">
        <v>181.26</v>
      </c>
      <c r="F14" s="7">
        <v>8</v>
      </c>
      <c r="G14" s="130">
        <v>0.88900000000000001</v>
      </c>
      <c r="H14" s="3">
        <v>1</v>
      </c>
      <c r="I14" s="132">
        <v>0.111</v>
      </c>
      <c r="J14" s="3">
        <v>0</v>
      </c>
      <c r="K14" s="24">
        <v>0</v>
      </c>
      <c r="L14" s="4">
        <v>0</v>
      </c>
      <c r="M14" s="7">
        <v>4</v>
      </c>
      <c r="N14" s="172">
        <v>0.44400000000000001</v>
      </c>
    </row>
    <row r="15" spans="1:14">
      <c r="A15" s="12" t="s">
        <v>16</v>
      </c>
      <c r="B15" s="12">
        <v>3</v>
      </c>
      <c r="C15" s="3">
        <v>14</v>
      </c>
      <c r="D15" s="4">
        <v>2512.65</v>
      </c>
      <c r="E15" s="14">
        <v>179.48</v>
      </c>
      <c r="F15" s="7">
        <v>11.5</v>
      </c>
      <c r="G15" s="173">
        <v>0.82099999999999995</v>
      </c>
      <c r="H15" s="3">
        <v>2</v>
      </c>
      <c r="I15" s="174">
        <v>0.14299999999999999</v>
      </c>
      <c r="J15" s="3">
        <v>1</v>
      </c>
      <c r="K15" s="134">
        <v>7.0999999999999994E-2</v>
      </c>
      <c r="L15" s="3"/>
      <c r="M15" s="7">
        <v>3</v>
      </c>
      <c r="N15" s="175">
        <v>0.214</v>
      </c>
    </row>
    <row r="16" spans="1:14">
      <c r="A16" s="2" t="s">
        <v>16</v>
      </c>
      <c r="B16" s="2">
        <v>5</v>
      </c>
      <c r="C16" s="3">
        <v>21</v>
      </c>
      <c r="D16" s="4">
        <v>2777.55</v>
      </c>
      <c r="E16" s="5">
        <v>132.26</v>
      </c>
      <c r="F16" s="7">
        <v>13</v>
      </c>
      <c r="G16" s="112">
        <v>0.61899999999999999</v>
      </c>
      <c r="H16" s="3">
        <v>2</v>
      </c>
      <c r="I16" s="176">
        <v>9.5000000000000001E-2</v>
      </c>
      <c r="J16" s="3"/>
      <c r="K16" s="24">
        <v>0</v>
      </c>
      <c r="L16" s="3"/>
      <c r="M16" s="7">
        <v>3</v>
      </c>
      <c r="N16" s="163">
        <v>0.14299999999999999</v>
      </c>
    </row>
    <row r="17" spans="1:14">
      <c r="A17" s="12" t="s">
        <v>16</v>
      </c>
      <c r="B17" s="12">
        <v>11</v>
      </c>
      <c r="C17" s="3">
        <v>13</v>
      </c>
      <c r="D17" s="4">
        <v>2925.51</v>
      </c>
      <c r="E17" s="14">
        <v>221.89</v>
      </c>
      <c r="F17" s="7">
        <v>19</v>
      </c>
      <c r="G17" s="178">
        <v>1.462</v>
      </c>
      <c r="H17" s="3">
        <v>2</v>
      </c>
      <c r="I17" s="179">
        <v>0.154</v>
      </c>
      <c r="J17" s="3">
        <v>2</v>
      </c>
      <c r="K17" s="31">
        <v>0.154</v>
      </c>
      <c r="L17" s="4">
        <v>41</v>
      </c>
      <c r="M17" s="7">
        <v>4</v>
      </c>
      <c r="N17" s="180">
        <v>0.308</v>
      </c>
    </row>
    <row r="18" spans="1:14">
      <c r="A18" s="2" t="s">
        <v>16</v>
      </c>
      <c r="B18" s="2">
        <v>14</v>
      </c>
      <c r="C18" s="3">
        <v>15</v>
      </c>
      <c r="D18" s="4">
        <v>1779.73</v>
      </c>
      <c r="E18" s="5">
        <v>118.65</v>
      </c>
      <c r="F18" s="7">
        <v>5</v>
      </c>
      <c r="G18" s="154">
        <v>0.33300000000000002</v>
      </c>
      <c r="H18" s="3"/>
      <c r="I18" s="24">
        <v>0</v>
      </c>
      <c r="J18" s="3"/>
      <c r="K18" s="24">
        <v>0</v>
      </c>
      <c r="L18" s="3"/>
      <c r="M18" s="7">
        <v>2</v>
      </c>
      <c r="N18" s="183">
        <v>0.13300000000000001</v>
      </c>
    </row>
    <row r="19" spans="1:14">
      <c r="A19" s="12" t="s">
        <v>16</v>
      </c>
      <c r="B19" s="12">
        <v>20</v>
      </c>
      <c r="C19" s="3">
        <v>26</v>
      </c>
      <c r="D19" s="4">
        <v>2833.64</v>
      </c>
      <c r="E19" s="14">
        <v>108.06</v>
      </c>
      <c r="F19" s="7">
        <v>8</v>
      </c>
      <c r="G19" s="185">
        <v>0.308</v>
      </c>
      <c r="H19" s="3"/>
      <c r="I19" s="19">
        <v>0</v>
      </c>
      <c r="J19" s="3">
        <v>2</v>
      </c>
      <c r="K19" s="73">
        <v>7.6999999999999999E-2</v>
      </c>
      <c r="L19" s="4">
        <v>24</v>
      </c>
      <c r="M19" s="7">
        <v>2</v>
      </c>
      <c r="N19" s="186">
        <v>7.6999999999999999E-2</v>
      </c>
    </row>
    <row r="20" spans="1:14">
      <c r="A20" s="2" t="s">
        <v>16</v>
      </c>
      <c r="B20" s="2">
        <v>21</v>
      </c>
      <c r="C20" s="3">
        <v>44</v>
      </c>
      <c r="D20" s="4">
        <v>5718.38</v>
      </c>
      <c r="E20" s="5">
        <v>129.96</v>
      </c>
      <c r="F20" s="7">
        <v>24</v>
      </c>
      <c r="G20" s="187">
        <v>0.54500000000000004</v>
      </c>
      <c r="H20" s="3">
        <v>1</v>
      </c>
      <c r="I20" s="188">
        <v>2.3E-2</v>
      </c>
      <c r="J20" s="3">
        <v>1</v>
      </c>
      <c r="K20" s="95">
        <v>2.3E-2</v>
      </c>
      <c r="L20" s="3"/>
      <c r="M20" s="7">
        <v>3</v>
      </c>
      <c r="N20" s="189">
        <v>6.8000000000000005E-2</v>
      </c>
    </row>
    <row r="21" spans="1:14">
      <c r="A21" s="12" t="s">
        <v>16</v>
      </c>
      <c r="B21" s="12">
        <v>23</v>
      </c>
      <c r="C21" s="3">
        <v>24</v>
      </c>
      <c r="D21" s="4">
        <v>2780.83</v>
      </c>
      <c r="E21" s="14">
        <v>114.66</v>
      </c>
      <c r="F21" s="7">
        <v>6</v>
      </c>
      <c r="G21" s="141">
        <v>0.25</v>
      </c>
      <c r="H21" s="3"/>
      <c r="I21" s="19">
        <v>0</v>
      </c>
      <c r="J21" s="3">
        <v>2</v>
      </c>
      <c r="K21" s="193">
        <v>8.3000000000000004E-2</v>
      </c>
      <c r="L21" s="4">
        <v>29</v>
      </c>
      <c r="M21" s="7">
        <v>2</v>
      </c>
      <c r="N21" s="194">
        <v>8.3000000000000004E-2</v>
      </c>
    </row>
    <row r="22" spans="1:14">
      <c r="A22" s="2" t="s">
        <v>16</v>
      </c>
      <c r="B22" s="2">
        <v>24</v>
      </c>
      <c r="C22" s="3">
        <v>25</v>
      </c>
      <c r="D22" s="4">
        <v>3594.52</v>
      </c>
      <c r="E22" s="2" t="e">
        <v>#VALUE!</v>
      </c>
      <c r="F22" s="7">
        <v>15</v>
      </c>
      <c r="G22" s="150">
        <v>0.6</v>
      </c>
      <c r="H22" s="3">
        <v>1</v>
      </c>
      <c r="I22" s="76">
        <v>0.04</v>
      </c>
      <c r="J22" s="3">
        <v>1</v>
      </c>
      <c r="K22" s="195">
        <v>0.04</v>
      </c>
      <c r="L22" s="3" t="s">
        <v>21</v>
      </c>
      <c r="M22" s="7">
        <v>8</v>
      </c>
      <c r="N22" s="196">
        <v>0.32</v>
      </c>
    </row>
    <row r="23" spans="1:14">
      <c r="A23" s="12" t="s">
        <v>16</v>
      </c>
      <c r="B23" s="12">
        <v>26</v>
      </c>
      <c r="C23" s="3">
        <v>14</v>
      </c>
      <c r="D23" s="4">
        <v>1845.09</v>
      </c>
      <c r="E23" s="14">
        <v>131.36000000000001</v>
      </c>
      <c r="F23" s="7">
        <v>6</v>
      </c>
      <c r="G23" s="197">
        <v>0.42899999999999999</v>
      </c>
      <c r="H23" s="3">
        <v>0</v>
      </c>
      <c r="I23" s="19">
        <v>0</v>
      </c>
      <c r="J23" s="3">
        <v>0</v>
      </c>
      <c r="K23" s="19">
        <v>0</v>
      </c>
      <c r="L23" s="4">
        <v>6</v>
      </c>
      <c r="M23" s="7">
        <v>3</v>
      </c>
      <c r="N23" s="175">
        <v>0.214</v>
      </c>
    </row>
    <row r="24" spans="1:14">
      <c r="A24" s="2" t="s">
        <v>17</v>
      </c>
      <c r="B24" s="2">
        <v>46</v>
      </c>
      <c r="C24" s="3">
        <v>23</v>
      </c>
      <c r="D24" s="4">
        <v>3006.89</v>
      </c>
      <c r="E24" s="5">
        <v>130.38999999999999</v>
      </c>
      <c r="F24" s="7">
        <v>12</v>
      </c>
      <c r="G24" s="68">
        <v>0.52200000000000002</v>
      </c>
      <c r="H24" s="3">
        <v>0</v>
      </c>
      <c r="I24" s="24">
        <v>0</v>
      </c>
      <c r="J24" s="3">
        <v>0</v>
      </c>
      <c r="K24" s="24">
        <v>0</v>
      </c>
      <c r="L24" s="4">
        <v>8</v>
      </c>
      <c r="M24" s="7">
        <v>3</v>
      </c>
      <c r="N24" s="198">
        <v>0.13</v>
      </c>
    </row>
    <row r="25" spans="1:14">
      <c r="A25" s="12" t="s">
        <v>17</v>
      </c>
      <c r="B25" s="12">
        <v>283</v>
      </c>
      <c r="C25" s="3">
        <v>18</v>
      </c>
      <c r="D25" s="4">
        <v>2635.28</v>
      </c>
      <c r="E25" s="14">
        <v>146.4</v>
      </c>
      <c r="F25" s="7">
        <v>8</v>
      </c>
      <c r="G25" s="87">
        <v>0.44400000000000001</v>
      </c>
      <c r="H25" s="3">
        <v>2</v>
      </c>
      <c r="I25" s="39">
        <v>0.111</v>
      </c>
      <c r="J25" s="3">
        <v>0</v>
      </c>
      <c r="K25" s="19">
        <v>0</v>
      </c>
      <c r="L25" s="4">
        <v>0</v>
      </c>
      <c r="M25" s="7">
        <v>11</v>
      </c>
      <c r="N25" s="199">
        <v>0.61099999999999999</v>
      </c>
    </row>
    <row r="26" spans="1:14">
      <c r="A26" s="2" t="s">
        <v>17</v>
      </c>
      <c r="B26" s="2">
        <v>847</v>
      </c>
      <c r="C26" s="3">
        <v>15</v>
      </c>
      <c r="D26" s="4">
        <v>2643.07</v>
      </c>
      <c r="E26" s="5">
        <v>175.87</v>
      </c>
      <c r="F26" s="7">
        <v>24</v>
      </c>
      <c r="G26" s="6">
        <v>1.6</v>
      </c>
      <c r="H26" s="3">
        <v>3</v>
      </c>
      <c r="I26" s="200">
        <v>0.2</v>
      </c>
      <c r="J26" s="3">
        <v>1</v>
      </c>
      <c r="K26" s="201">
        <v>6.7000000000000004E-2</v>
      </c>
      <c r="L26" s="4">
        <v>5</v>
      </c>
      <c r="M26" s="7">
        <v>8</v>
      </c>
      <c r="N26" s="202">
        <v>0.53300000000000003</v>
      </c>
    </row>
    <row r="27" spans="1:14">
      <c r="A27" s="12" t="s">
        <v>17</v>
      </c>
      <c r="B27" s="12">
        <v>865</v>
      </c>
      <c r="C27" s="3">
        <v>12</v>
      </c>
      <c r="D27" s="4">
        <v>1422.04</v>
      </c>
      <c r="E27" s="14">
        <v>118.5</v>
      </c>
      <c r="F27" s="7">
        <v>3</v>
      </c>
      <c r="G27" s="141">
        <v>0.25</v>
      </c>
      <c r="H27" s="3">
        <v>0</v>
      </c>
      <c r="I27" s="19">
        <v>0</v>
      </c>
      <c r="J27" s="3">
        <v>0</v>
      </c>
      <c r="K27" s="19">
        <v>0</v>
      </c>
      <c r="L27" s="4">
        <v>0</v>
      </c>
      <c r="M27" s="7">
        <v>4</v>
      </c>
      <c r="N27" s="203">
        <v>0.33300000000000002</v>
      </c>
    </row>
    <row r="28" spans="1:14">
      <c r="A28" s="2" t="s">
        <v>17</v>
      </c>
      <c r="B28" s="2">
        <v>919</v>
      </c>
      <c r="C28" s="3">
        <v>26</v>
      </c>
      <c r="D28" s="4">
        <v>3729.19</v>
      </c>
      <c r="E28" s="5">
        <v>142.66</v>
      </c>
      <c r="F28" s="7">
        <v>17</v>
      </c>
      <c r="G28" s="204">
        <v>0.65400000000000003</v>
      </c>
      <c r="H28" s="3">
        <v>4</v>
      </c>
      <c r="I28" s="205">
        <v>0.154</v>
      </c>
      <c r="J28" s="3">
        <v>1</v>
      </c>
      <c r="K28" s="67">
        <v>3.7999999999999999E-2</v>
      </c>
      <c r="L28" s="4">
        <v>20</v>
      </c>
      <c r="M28" s="7">
        <v>5</v>
      </c>
      <c r="N28" s="206">
        <v>0.192</v>
      </c>
    </row>
    <row r="29" spans="1:14">
      <c r="A29" s="12" t="s">
        <v>17</v>
      </c>
      <c r="B29" s="12">
        <v>954</v>
      </c>
      <c r="C29" s="3">
        <v>16</v>
      </c>
      <c r="D29" s="4">
        <v>2048.44</v>
      </c>
      <c r="E29" s="14">
        <v>128.03</v>
      </c>
      <c r="F29" s="7">
        <v>4</v>
      </c>
      <c r="G29" s="141">
        <v>0.25</v>
      </c>
      <c r="H29" s="3">
        <v>1</v>
      </c>
      <c r="I29" s="29">
        <v>6.3E-2</v>
      </c>
      <c r="J29" s="3">
        <v>0</v>
      </c>
      <c r="K29" s="19">
        <v>0</v>
      </c>
      <c r="L29" s="4">
        <v>0</v>
      </c>
      <c r="M29" s="7">
        <v>2</v>
      </c>
      <c r="N29" s="207">
        <v>0.125</v>
      </c>
    </row>
    <row r="30" spans="1:14">
      <c r="A30" s="2" t="s">
        <v>17</v>
      </c>
      <c r="B30" s="2">
        <v>3017</v>
      </c>
      <c r="C30" s="3">
        <v>11</v>
      </c>
      <c r="D30" s="4">
        <v>1202.1099999999999</v>
      </c>
      <c r="E30" s="5">
        <v>109.28</v>
      </c>
      <c r="F30" s="7">
        <v>2</v>
      </c>
      <c r="G30" s="208">
        <v>0.182</v>
      </c>
      <c r="H30" s="3">
        <v>0</v>
      </c>
      <c r="I30" s="24">
        <v>0</v>
      </c>
      <c r="J30" s="3">
        <v>0</v>
      </c>
      <c r="K30" s="24">
        <v>0</v>
      </c>
      <c r="L30" s="4">
        <v>0</v>
      </c>
      <c r="M30" s="7">
        <v>0</v>
      </c>
      <c r="N30" s="10">
        <v>0</v>
      </c>
    </row>
    <row r="31" spans="1:14">
      <c r="A31" s="12" t="s">
        <v>18</v>
      </c>
      <c r="B31" s="12">
        <v>29</v>
      </c>
      <c r="C31" s="3">
        <v>20</v>
      </c>
      <c r="D31" s="4">
        <v>2326.77</v>
      </c>
      <c r="E31" s="14">
        <v>115.94</v>
      </c>
      <c r="F31" s="7">
        <v>9</v>
      </c>
      <c r="G31" s="209">
        <v>0.45</v>
      </c>
      <c r="H31" s="3">
        <v>0</v>
      </c>
      <c r="I31" s="19">
        <v>0</v>
      </c>
      <c r="J31" s="3">
        <v>0</v>
      </c>
      <c r="K31" s="19">
        <v>0</v>
      </c>
      <c r="L31" s="4">
        <v>8</v>
      </c>
      <c r="M31" s="7">
        <v>2</v>
      </c>
      <c r="N31" s="210">
        <v>0.1</v>
      </c>
    </row>
    <row r="32" spans="1:14">
      <c r="A32" s="2" t="s">
        <v>18</v>
      </c>
      <c r="B32" s="2">
        <v>40</v>
      </c>
      <c r="C32" s="3">
        <v>17</v>
      </c>
      <c r="D32" s="4">
        <v>1713.61</v>
      </c>
      <c r="E32" s="5">
        <v>100.8</v>
      </c>
      <c r="F32" s="7">
        <v>3</v>
      </c>
      <c r="G32" s="212">
        <v>0.17599999999999999</v>
      </c>
      <c r="H32" s="3">
        <v>0</v>
      </c>
      <c r="I32" s="24">
        <v>0</v>
      </c>
      <c r="J32" s="3">
        <v>0</v>
      </c>
      <c r="K32" s="24">
        <v>0</v>
      </c>
      <c r="L32" s="4">
        <v>0</v>
      </c>
      <c r="M32" s="7">
        <v>0</v>
      </c>
      <c r="N32" s="10">
        <v>0</v>
      </c>
    </row>
    <row r="33" spans="1:14">
      <c r="A33" s="12" t="s">
        <v>18</v>
      </c>
      <c r="B33" s="12">
        <v>280</v>
      </c>
      <c r="C33" s="3">
        <v>13</v>
      </c>
      <c r="D33" s="4">
        <v>1635.51</v>
      </c>
      <c r="E33" s="14">
        <v>125.73</v>
      </c>
      <c r="F33" s="7">
        <v>7.5</v>
      </c>
      <c r="G33" s="143">
        <v>0.57699999999999996</v>
      </c>
      <c r="H33" s="3">
        <v>0</v>
      </c>
      <c r="I33" s="19">
        <v>0</v>
      </c>
      <c r="J33" s="3">
        <v>0</v>
      </c>
      <c r="K33" s="19">
        <v>0</v>
      </c>
      <c r="L33" s="4">
        <v>1</v>
      </c>
      <c r="M33" s="7">
        <v>4</v>
      </c>
      <c r="N33" s="180">
        <v>0.308</v>
      </c>
    </row>
    <row r="34" spans="1:14">
      <c r="A34" s="2" t="s">
        <v>18</v>
      </c>
      <c r="B34" s="2">
        <v>599</v>
      </c>
      <c r="C34" s="3">
        <v>16</v>
      </c>
      <c r="D34" s="4">
        <v>1689.68</v>
      </c>
      <c r="E34" s="5">
        <v>104.67</v>
      </c>
      <c r="F34" s="7">
        <v>5</v>
      </c>
      <c r="G34" s="211">
        <v>0.313</v>
      </c>
      <c r="H34" s="3">
        <v>0</v>
      </c>
      <c r="I34" s="24">
        <v>0</v>
      </c>
      <c r="J34" s="3">
        <v>0</v>
      </c>
      <c r="K34" s="24">
        <v>0</v>
      </c>
      <c r="L34" s="4">
        <v>15</v>
      </c>
      <c r="M34" s="7">
        <v>3</v>
      </c>
      <c r="N34" s="206">
        <v>0.188</v>
      </c>
    </row>
    <row r="35" spans="1:14">
      <c r="A35" s="12" t="s">
        <v>18</v>
      </c>
      <c r="B35" s="12">
        <v>720</v>
      </c>
      <c r="C35" s="3">
        <v>9</v>
      </c>
      <c r="D35" s="4">
        <v>1517.31</v>
      </c>
      <c r="E35" s="14">
        <v>168.26</v>
      </c>
      <c r="F35" s="7">
        <v>8</v>
      </c>
      <c r="G35" s="213">
        <v>0.88900000000000001</v>
      </c>
      <c r="H35" s="3">
        <v>0</v>
      </c>
      <c r="I35" s="19">
        <v>0</v>
      </c>
      <c r="J35" s="3">
        <v>1</v>
      </c>
      <c r="K35" s="214">
        <v>0.111</v>
      </c>
      <c r="L35" s="4">
        <v>3</v>
      </c>
      <c r="M35" s="7">
        <v>4</v>
      </c>
      <c r="N35" s="215">
        <v>0.44400000000000001</v>
      </c>
    </row>
    <row r="36" spans="1:14">
      <c r="A36" s="2" t="s">
        <v>18</v>
      </c>
      <c r="B36" s="2">
        <v>728</v>
      </c>
      <c r="C36" s="3">
        <v>7</v>
      </c>
      <c r="D36" s="4">
        <v>846.53</v>
      </c>
      <c r="E36" s="5">
        <v>120.93</v>
      </c>
      <c r="F36" s="7">
        <v>2</v>
      </c>
      <c r="G36" s="216">
        <v>0.28599999999999998</v>
      </c>
      <c r="H36" s="3">
        <v>0</v>
      </c>
      <c r="I36" s="24">
        <v>0</v>
      </c>
      <c r="J36" s="3">
        <v>0</v>
      </c>
      <c r="K36" s="24">
        <v>0</v>
      </c>
      <c r="L36" s="4">
        <v>0</v>
      </c>
      <c r="M36" s="7">
        <v>1</v>
      </c>
      <c r="N36" s="163">
        <v>0.14299999999999999</v>
      </c>
    </row>
    <row r="37" spans="1:14">
      <c r="A37" s="12" t="s">
        <v>18</v>
      </c>
      <c r="B37" s="12">
        <v>830</v>
      </c>
      <c r="C37" s="3">
        <v>6</v>
      </c>
      <c r="D37" s="4">
        <v>795.38</v>
      </c>
      <c r="E37" s="14">
        <v>132.56</v>
      </c>
      <c r="F37" s="7">
        <v>4.5</v>
      </c>
      <c r="G37" s="16">
        <v>0.75</v>
      </c>
      <c r="H37" s="3">
        <v>1</v>
      </c>
      <c r="I37" s="217">
        <v>0.16700000000000001</v>
      </c>
      <c r="J37" s="3">
        <v>0</v>
      </c>
      <c r="K37" s="19">
        <v>0</v>
      </c>
      <c r="L37" s="4">
        <v>0</v>
      </c>
      <c r="M37" s="7">
        <v>2</v>
      </c>
      <c r="N37" s="203">
        <v>0.33300000000000002</v>
      </c>
    </row>
    <row r="38" spans="1:14">
      <c r="A38" s="2" t="s">
        <v>18</v>
      </c>
      <c r="B38" s="2">
        <v>975</v>
      </c>
      <c r="C38" s="3">
        <v>10</v>
      </c>
      <c r="D38" s="4">
        <v>1304.46</v>
      </c>
      <c r="E38" s="5">
        <v>129.85</v>
      </c>
      <c r="F38" s="7">
        <v>6</v>
      </c>
      <c r="G38" s="150">
        <v>0.6</v>
      </c>
      <c r="H38" s="3">
        <v>1</v>
      </c>
      <c r="I38" s="218">
        <v>0.1</v>
      </c>
      <c r="J38" s="3">
        <v>0</v>
      </c>
      <c r="K38" s="24">
        <v>0</v>
      </c>
      <c r="L38" s="4">
        <v>6</v>
      </c>
      <c r="M38" s="7">
        <v>5</v>
      </c>
      <c r="N38" s="110">
        <v>0.5</v>
      </c>
    </row>
    <row r="39" spans="1:14">
      <c r="A39" s="12" t="s">
        <v>19</v>
      </c>
      <c r="B39" s="12">
        <v>1</v>
      </c>
      <c r="C39" s="3">
        <v>12</v>
      </c>
      <c r="D39" s="4">
        <v>1596.08</v>
      </c>
      <c r="E39" s="14">
        <v>132.66999999999999</v>
      </c>
      <c r="F39" s="7">
        <v>11</v>
      </c>
      <c r="G39" s="53">
        <v>0.91700000000000004</v>
      </c>
      <c r="H39" s="3">
        <v>1</v>
      </c>
      <c r="I39" s="71">
        <v>8.3000000000000004E-2</v>
      </c>
      <c r="J39" s="3">
        <v>0</v>
      </c>
      <c r="K39" s="19">
        <v>0</v>
      </c>
      <c r="L39" s="4">
        <v>4</v>
      </c>
      <c r="M39" s="7">
        <v>2</v>
      </c>
      <c r="N39" s="220">
        <v>0.16700000000000001</v>
      </c>
    </row>
    <row r="40" spans="1:14">
      <c r="A40" s="2" t="s">
        <v>19</v>
      </c>
      <c r="B40" s="2">
        <v>2</v>
      </c>
      <c r="C40" s="3">
        <v>27</v>
      </c>
      <c r="D40" s="4">
        <v>3784.32</v>
      </c>
      <c r="E40" s="5">
        <v>140.05000000000001</v>
      </c>
      <c r="F40" s="7">
        <v>22</v>
      </c>
      <c r="G40" s="51">
        <v>0.81499999999999995</v>
      </c>
      <c r="H40" s="3">
        <v>3</v>
      </c>
      <c r="I40" s="132">
        <v>0.111</v>
      </c>
      <c r="J40" s="3">
        <v>1</v>
      </c>
      <c r="K40" s="48">
        <v>3.6999999999999998E-2</v>
      </c>
      <c r="L40" s="4">
        <v>3</v>
      </c>
      <c r="M40" s="7">
        <v>4</v>
      </c>
      <c r="N40" s="222">
        <v>0.14799999999999999</v>
      </c>
    </row>
    <row r="41" spans="1:14">
      <c r="A41" s="12" t="s">
        <v>19</v>
      </c>
      <c r="B41" s="12">
        <v>4</v>
      </c>
      <c r="C41" s="3">
        <v>44</v>
      </c>
      <c r="D41" s="4">
        <v>6422.7</v>
      </c>
      <c r="E41" s="14">
        <v>145.54</v>
      </c>
      <c r="F41" s="7">
        <v>32</v>
      </c>
      <c r="G41" s="184">
        <v>0.72699999999999998</v>
      </c>
      <c r="H41" s="3">
        <v>8</v>
      </c>
      <c r="I41" s="97">
        <v>0.182</v>
      </c>
      <c r="J41" s="3">
        <v>0</v>
      </c>
      <c r="K41" s="19">
        <v>0</v>
      </c>
      <c r="L41" s="4">
        <v>19</v>
      </c>
      <c r="M41" s="7">
        <v>14</v>
      </c>
      <c r="N41" s="223">
        <v>0.318</v>
      </c>
    </row>
    <row r="42" spans="1:14">
      <c r="A42" s="2" t="s">
        <v>19</v>
      </c>
      <c r="B42" s="2">
        <v>6</v>
      </c>
      <c r="C42" s="3">
        <v>30</v>
      </c>
      <c r="D42" s="4">
        <v>3769.01</v>
      </c>
      <c r="E42" s="5">
        <v>124.97</v>
      </c>
      <c r="F42" s="7">
        <v>16</v>
      </c>
      <c r="G42" s="122">
        <v>0.53300000000000003</v>
      </c>
      <c r="H42" s="3">
        <v>1</v>
      </c>
      <c r="I42" s="75">
        <v>3.3000000000000002E-2</v>
      </c>
      <c r="J42" s="3">
        <v>0</v>
      </c>
      <c r="K42" s="24">
        <v>0</v>
      </c>
      <c r="L42" s="4">
        <v>20</v>
      </c>
      <c r="M42" s="7">
        <v>7</v>
      </c>
      <c r="N42" s="224">
        <v>0.23300000000000001</v>
      </c>
    </row>
    <row r="43" spans="1:14">
      <c r="A43" s="12" t="s">
        <v>19</v>
      </c>
      <c r="B43" s="12">
        <v>15</v>
      </c>
      <c r="C43" s="3">
        <v>42</v>
      </c>
      <c r="D43" s="4">
        <v>4657.8</v>
      </c>
      <c r="E43" s="14">
        <v>110.9</v>
      </c>
      <c r="F43" s="7">
        <v>21</v>
      </c>
      <c r="G43" s="79">
        <v>0.5</v>
      </c>
      <c r="H43" s="3">
        <v>2</v>
      </c>
      <c r="I43" s="225">
        <v>4.8000000000000001E-2</v>
      </c>
      <c r="J43" s="3">
        <v>0</v>
      </c>
      <c r="K43" s="19">
        <v>0</v>
      </c>
      <c r="L43" s="4">
        <v>0</v>
      </c>
      <c r="M43" s="7">
        <v>2</v>
      </c>
      <c r="N43" s="226">
        <v>4.8000000000000001E-2</v>
      </c>
    </row>
    <row r="44" spans="1:14">
      <c r="A44" s="2" t="s">
        <v>19</v>
      </c>
      <c r="B44" s="2">
        <v>28</v>
      </c>
      <c r="C44" s="3">
        <v>37</v>
      </c>
      <c r="D44" s="4">
        <v>4313.7</v>
      </c>
      <c r="E44" s="5">
        <v>116.59</v>
      </c>
      <c r="F44" s="7">
        <v>14</v>
      </c>
      <c r="G44" s="228">
        <v>0.378</v>
      </c>
      <c r="H44" s="3">
        <v>2</v>
      </c>
      <c r="I44" s="59">
        <v>5.3999999999999999E-2</v>
      </c>
      <c r="J44" s="3">
        <v>0</v>
      </c>
      <c r="K44" s="24">
        <v>0</v>
      </c>
      <c r="L44" s="4">
        <v>0</v>
      </c>
      <c r="M44" s="7">
        <v>4</v>
      </c>
      <c r="N44" s="229">
        <v>0.108</v>
      </c>
    </row>
    <row r="45" spans="1:14">
      <c r="A45" s="12" t="s">
        <v>19</v>
      </c>
      <c r="B45" s="12">
        <v>32</v>
      </c>
      <c r="C45" s="3">
        <v>37</v>
      </c>
      <c r="D45" s="4">
        <v>4139.7</v>
      </c>
      <c r="E45" s="14">
        <v>109.13</v>
      </c>
      <c r="F45" s="7">
        <v>16</v>
      </c>
      <c r="G45" s="230">
        <v>0.432</v>
      </c>
      <c r="H45" s="3">
        <v>0</v>
      </c>
      <c r="I45" s="19">
        <v>0</v>
      </c>
      <c r="J45" s="3">
        <v>0</v>
      </c>
      <c r="K45" s="19">
        <v>0</v>
      </c>
      <c r="L45" s="4">
        <v>102</v>
      </c>
      <c r="M45" s="7">
        <v>2</v>
      </c>
      <c r="N45" s="231">
        <v>5.3999999999999999E-2</v>
      </c>
    </row>
    <row r="46" spans="1:14">
      <c r="A46" s="2" t="s">
        <v>19</v>
      </c>
      <c r="B46" s="2">
        <v>606</v>
      </c>
      <c r="C46" s="3">
        <v>28</v>
      </c>
      <c r="D46" s="4">
        <v>3033.88</v>
      </c>
      <c r="E46" s="5">
        <v>107.75</v>
      </c>
      <c r="F46" s="7">
        <v>9.5</v>
      </c>
      <c r="G46" s="42">
        <v>0.33900000000000002</v>
      </c>
      <c r="H46" s="3">
        <v>2</v>
      </c>
      <c r="I46" s="112">
        <v>7.0999999999999994E-2</v>
      </c>
      <c r="J46" s="3">
        <v>0</v>
      </c>
      <c r="K46" s="24">
        <v>0</v>
      </c>
      <c r="L46" s="4">
        <v>17</v>
      </c>
      <c r="M46" s="7">
        <v>4</v>
      </c>
      <c r="N46" s="163">
        <v>0.14299999999999999</v>
      </c>
    </row>
    <row r="47" spans="1:14">
      <c r="A47" s="12" t="s">
        <v>20</v>
      </c>
      <c r="B47" s="12">
        <v>8</v>
      </c>
      <c r="C47" s="3">
        <v>31</v>
      </c>
      <c r="D47" s="4">
        <v>3875.58</v>
      </c>
      <c r="E47" s="14">
        <v>124</v>
      </c>
      <c r="F47" s="7">
        <v>15</v>
      </c>
      <c r="G47" s="13">
        <v>0.48399999999999999</v>
      </c>
      <c r="H47" s="3">
        <v>0</v>
      </c>
      <c r="I47" s="19">
        <v>0</v>
      </c>
      <c r="J47" s="3">
        <v>0</v>
      </c>
      <c r="K47" s="19">
        <v>0</v>
      </c>
      <c r="L47" s="4">
        <v>31.5</v>
      </c>
      <c r="M47" s="7">
        <v>7</v>
      </c>
      <c r="N47" s="232">
        <v>0.22600000000000001</v>
      </c>
    </row>
    <row r="48" spans="1:14">
      <c r="A48" s="2" t="s">
        <v>20</v>
      </c>
      <c r="B48" s="2">
        <v>10</v>
      </c>
      <c r="C48" s="3">
        <v>20</v>
      </c>
      <c r="D48" s="4">
        <v>3238.56</v>
      </c>
      <c r="E48" s="5">
        <v>161.33000000000001</v>
      </c>
      <c r="F48" s="7">
        <v>13</v>
      </c>
      <c r="G48" s="204">
        <v>0.65</v>
      </c>
      <c r="H48" s="3">
        <v>3</v>
      </c>
      <c r="I48" s="233">
        <v>0.15</v>
      </c>
      <c r="J48" s="3">
        <v>0</v>
      </c>
      <c r="K48" s="24">
        <v>0</v>
      </c>
      <c r="L48" s="4">
        <v>12</v>
      </c>
      <c r="M48" s="7">
        <v>10</v>
      </c>
      <c r="N48" s="110">
        <v>0.5</v>
      </c>
    </row>
    <row r="49" spans="1:14">
      <c r="A49" s="12" t="s">
        <v>20</v>
      </c>
      <c r="B49" s="12">
        <v>12</v>
      </c>
      <c r="C49" s="3">
        <v>16</v>
      </c>
      <c r="D49" s="4">
        <v>1757.9</v>
      </c>
      <c r="E49" s="14">
        <v>107.99</v>
      </c>
      <c r="F49" s="7">
        <v>3</v>
      </c>
      <c r="G49" s="234">
        <v>0.188</v>
      </c>
      <c r="H49" s="3">
        <v>0</v>
      </c>
      <c r="I49" s="19">
        <v>0</v>
      </c>
      <c r="J49" s="3">
        <v>0</v>
      </c>
      <c r="K49" s="19">
        <v>0</v>
      </c>
      <c r="L49" s="4">
        <v>30</v>
      </c>
      <c r="M49" s="7">
        <v>3</v>
      </c>
      <c r="N49" s="101">
        <v>0.188</v>
      </c>
    </row>
    <row r="50" spans="1:14">
      <c r="A50" s="2" t="s">
        <v>20</v>
      </c>
      <c r="B50" s="2">
        <v>13</v>
      </c>
      <c r="C50" s="3">
        <v>27</v>
      </c>
      <c r="D50" s="4">
        <v>3414.74</v>
      </c>
      <c r="E50" s="5">
        <v>125.84</v>
      </c>
      <c r="F50" s="7">
        <v>14</v>
      </c>
      <c r="G50" s="68">
        <v>0.51900000000000002</v>
      </c>
      <c r="H50" s="3">
        <v>1</v>
      </c>
      <c r="I50" s="44">
        <v>3.6999999999999998E-2</v>
      </c>
      <c r="J50" s="3">
        <v>0</v>
      </c>
      <c r="K50" s="24">
        <v>0</v>
      </c>
      <c r="L50" s="4">
        <v>17</v>
      </c>
      <c r="M50" s="7">
        <v>4</v>
      </c>
      <c r="N50" s="222">
        <v>0.14799999999999999</v>
      </c>
    </row>
    <row r="51" spans="1:14">
      <c r="A51" s="12" t="s">
        <v>20</v>
      </c>
      <c r="B51" s="12">
        <v>31</v>
      </c>
      <c r="C51" s="3">
        <v>32</v>
      </c>
      <c r="D51" s="4">
        <v>3912.31</v>
      </c>
      <c r="E51" s="14">
        <v>121.67</v>
      </c>
      <c r="F51" s="7">
        <v>6</v>
      </c>
      <c r="G51" s="234">
        <v>0.188</v>
      </c>
      <c r="H51" s="3">
        <v>2</v>
      </c>
      <c r="I51" s="29">
        <v>6.3E-2</v>
      </c>
      <c r="J51" s="3">
        <v>0</v>
      </c>
      <c r="K51" s="19">
        <v>0</v>
      </c>
      <c r="L51" s="4">
        <v>19</v>
      </c>
      <c r="M51" s="7">
        <v>13</v>
      </c>
      <c r="N51" s="235">
        <v>0.40600000000000003</v>
      </c>
    </row>
    <row r="52" spans="1:14">
      <c r="A52" s="2" t="s">
        <v>20</v>
      </c>
      <c r="B52" s="2">
        <v>92</v>
      </c>
      <c r="C52" s="3">
        <v>33</v>
      </c>
      <c r="D52" s="4">
        <v>4070.42</v>
      </c>
      <c r="E52" s="5">
        <v>122.41</v>
      </c>
      <c r="F52" s="7">
        <v>17.5</v>
      </c>
      <c r="G52" s="122">
        <v>0.53</v>
      </c>
      <c r="H52" s="3">
        <v>2</v>
      </c>
      <c r="I52" s="33">
        <v>6.0999999999999999E-2</v>
      </c>
      <c r="J52" s="3">
        <v>0</v>
      </c>
      <c r="K52" s="24">
        <v>0</v>
      </c>
      <c r="L52" s="4">
        <v>31</v>
      </c>
      <c r="M52" s="7">
        <v>5</v>
      </c>
      <c r="N52" s="236">
        <v>0.152</v>
      </c>
    </row>
    <row r="53" spans="1:14">
      <c r="A53" s="12" t="s">
        <v>20</v>
      </c>
      <c r="B53" s="12">
        <v>116</v>
      </c>
      <c r="C53" s="3">
        <v>19</v>
      </c>
      <c r="D53" s="4">
        <v>2138.3200000000002</v>
      </c>
      <c r="E53" s="14">
        <v>112.12</v>
      </c>
      <c r="F53" s="7">
        <v>9</v>
      </c>
      <c r="G53" s="237">
        <v>0.47399999999999998</v>
      </c>
      <c r="H53" s="3">
        <v>0</v>
      </c>
      <c r="I53" s="149">
        <v>0</v>
      </c>
      <c r="J53" s="3">
        <v>0</v>
      </c>
      <c r="K53" s="149">
        <v>0</v>
      </c>
      <c r="L53" s="4">
        <v>8.02</v>
      </c>
      <c r="M53" s="7">
        <v>0</v>
      </c>
      <c r="N53" s="32">
        <v>0</v>
      </c>
    </row>
    <row r="54" spans="1:14">
      <c r="A54" s="2" t="s">
        <v>20</v>
      </c>
      <c r="B54" s="2">
        <v>870</v>
      </c>
      <c r="C54" s="3">
        <v>12</v>
      </c>
      <c r="D54" s="4">
        <v>1587.69</v>
      </c>
      <c r="E54" s="5">
        <v>132.31</v>
      </c>
      <c r="F54" s="7">
        <v>1</v>
      </c>
      <c r="G54" s="238">
        <v>8.3000000000000004E-2</v>
      </c>
      <c r="H54" s="3">
        <v>0</v>
      </c>
      <c r="I54" s="24">
        <v>0</v>
      </c>
      <c r="J54" s="3">
        <v>0</v>
      </c>
      <c r="K54" s="24">
        <v>0</v>
      </c>
      <c r="L54" s="4">
        <v>0</v>
      </c>
      <c r="M54" s="7">
        <v>3</v>
      </c>
      <c r="N54" s="239">
        <v>0.25</v>
      </c>
    </row>
    <row r="55" spans="1:14">
      <c r="A55" s="12" t="s">
        <v>20</v>
      </c>
      <c r="B55" s="12">
        <v>3004</v>
      </c>
      <c r="C55" s="3">
        <v>1</v>
      </c>
      <c r="D55" s="4">
        <v>118.62</v>
      </c>
      <c r="E55" s="14">
        <v>110.98</v>
      </c>
      <c r="F55" s="7">
        <v>0</v>
      </c>
      <c r="G55" s="19">
        <v>0</v>
      </c>
      <c r="H55" s="3">
        <v>0</v>
      </c>
      <c r="I55" s="19">
        <v>0</v>
      </c>
      <c r="J55" s="3">
        <v>0</v>
      </c>
      <c r="K55" s="19">
        <v>0</v>
      </c>
      <c r="L55" s="4">
        <v>7.64</v>
      </c>
      <c r="M55" s="7">
        <v>0</v>
      </c>
      <c r="N55" s="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4"/>
  <sheetViews>
    <sheetView workbookViewId="0">
      <selection sqref="A1:XFD1"/>
    </sheetView>
  </sheetViews>
  <sheetFormatPr defaultRowHeight="15"/>
  <cols>
    <col min="4" max="4" width="13.42578125" bestFit="1" customWidth="1"/>
    <col min="5" max="5" width="8.5703125" bestFit="1" customWidth="1"/>
    <col min="6" max="6" width="11" bestFit="1" customWidth="1"/>
    <col min="7" max="7" width="8.28515625" bestFit="1" customWidth="1"/>
    <col min="8" max="8" width="8.85546875" bestFit="1" customWidth="1"/>
    <col min="9" max="9" width="10" bestFit="1" customWidth="1"/>
    <col min="10" max="10" width="4.85546875" bestFit="1" customWidth="1"/>
    <col min="11" max="11" width="7.28515625" bestFit="1" customWidth="1"/>
    <col min="12" max="12" width="10" bestFit="1" customWidth="1"/>
    <col min="13" max="13" width="7.5703125" bestFit="1" customWidth="1"/>
    <col min="14" max="14" width="9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17</v>
      </c>
      <c r="C2" s="3">
        <v>21</v>
      </c>
      <c r="D2" s="4">
        <v>2683.09</v>
      </c>
      <c r="E2" s="5">
        <v>127.12</v>
      </c>
      <c r="F2" s="7">
        <v>11</v>
      </c>
      <c r="G2" s="224">
        <v>0.52400000000000002</v>
      </c>
      <c r="H2" s="7">
        <v>1</v>
      </c>
      <c r="I2" s="239">
        <v>4.8000000000000001E-2</v>
      </c>
      <c r="J2" s="3">
        <v>0</v>
      </c>
      <c r="K2" s="10">
        <v>0</v>
      </c>
      <c r="L2" s="4">
        <v>13.5</v>
      </c>
      <c r="M2" s="7">
        <v>6</v>
      </c>
      <c r="N2" s="240">
        <v>0.28599999999999998</v>
      </c>
    </row>
    <row r="3" spans="1:14">
      <c r="A3" s="12" t="s">
        <v>14</v>
      </c>
      <c r="B3" s="12">
        <v>22</v>
      </c>
      <c r="C3" s="3">
        <v>36</v>
      </c>
      <c r="D3" s="4">
        <v>5873.58</v>
      </c>
      <c r="E3" s="14">
        <v>162.19</v>
      </c>
      <c r="F3" s="7">
        <v>17.5</v>
      </c>
      <c r="G3" s="26">
        <v>0.48599999999999999</v>
      </c>
      <c r="H3" s="3">
        <v>2</v>
      </c>
      <c r="I3" s="241">
        <v>5.6000000000000001E-2</v>
      </c>
      <c r="J3" s="3">
        <v>2</v>
      </c>
      <c r="K3" s="89">
        <v>5.6000000000000001E-2</v>
      </c>
      <c r="L3" s="4">
        <v>34.630000000000003</v>
      </c>
      <c r="M3" s="7">
        <v>13</v>
      </c>
      <c r="N3" s="242">
        <v>0.36099999999999999</v>
      </c>
    </row>
    <row r="4" spans="1:14">
      <c r="A4" s="2" t="s">
        <v>14</v>
      </c>
      <c r="B4" s="2">
        <v>641</v>
      </c>
      <c r="C4" s="3">
        <v>26</v>
      </c>
      <c r="D4" s="4">
        <v>3310.36</v>
      </c>
      <c r="E4" s="5">
        <v>126.53</v>
      </c>
      <c r="F4" s="7">
        <v>7</v>
      </c>
      <c r="G4" s="243">
        <v>0.26900000000000002</v>
      </c>
      <c r="H4" s="3">
        <v>1</v>
      </c>
      <c r="I4" s="44">
        <v>3.7999999999999999E-2</v>
      </c>
      <c r="J4" s="3">
        <v>2</v>
      </c>
      <c r="K4" s="244">
        <v>7.6999999999999999E-2</v>
      </c>
      <c r="L4" s="4">
        <v>20.64</v>
      </c>
      <c r="M4" s="7">
        <v>9</v>
      </c>
      <c r="N4" s="245">
        <v>0.34599999999999997</v>
      </c>
    </row>
    <row r="5" spans="1:14">
      <c r="A5" s="12" t="s">
        <v>14</v>
      </c>
      <c r="B5" s="12">
        <v>717</v>
      </c>
      <c r="C5" s="3">
        <v>20</v>
      </c>
      <c r="D5" s="4">
        <v>2409.46</v>
      </c>
      <c r="E5" s="14">
        <v>120.37</v>
      </c>
      <c r="F5" s="7">
        <v>9.5</v>
      </c>
      <c r="G5" s="79">
        <v>0.47499999999999998</v>
      </c>
      <c r="H5" s="3">
        <v>2</v>
      </c>
      <c r="I5" s="246">
        <v>0.1</v>
      </c>
      <c r="J5" s="3">
        <v>1</v>
      </c>
      <c r="K5" s="73">
        <v>0.05</v>
      </c>
      <c r="L5" s="4">
        <v>2</v>
      </c>
      <c r="M5" s="7">
        <v>4</v>
      </c>
      <c r="N5" s="101">
        <v>0.2</v>
      </c>
    </row>
    <row r="6" spans="1:14">
      <c r="A6" s="2" t="s">
        <v>14</v>
      </c>
      <c r="B6" s="2">
        <v>843</v>
      </c>
      <c r="C6" s="3">
        <v>4</v>
      </c>
      <c r="D6" s="4">
        <v>442.12</v>
      </c>
      <c r="E6" s="5">
        <v>110.53</v>
      </c>
      <c r="F6" s="7">
        <v>0</v>
      </c>
      <c r="G6" s="24">
        <v>0</v>
      </c>
      <c r="H6" s="3">
        <v>0</v>
      </c>
      <c r="I6" s="24">
        <v>0</v>
      </c>
      <c r="J6" s="3">
        <v>0</v>
      </c>
      <c r="K6" s="24">
        <v>0</v>
      </c>
      <c r="L6" s="4">
        <v>0</v>
      </c>
      <c r="M6" s="7">
        <v>1</v>
      </c>
      <c r="N6" s="155">
        <v>0.25</v>
      </c>
    </row>
    <row r="7" spans="1:14">
      <c r="A7" s="12" t="s">
        <v>14</v>
      </c>
      <c r="B7" s="12">
        <v>881</v>
      </c>
      <c r="C7" s="3">
        <v>12</v>
      </c>
      <c r="D7" s="4">
        <v>1885.23</v>
      </c>
      <c r="E7" s="14">
        <v>155.69</v>
      </c>
      <c r="F7" s="7">
        <v>7</v>
      </c>
      <c r="G7" s="71">
        <v>0.58299999999999996</v>
      </c>
      <c r="H7" s="3">
        <v>2</v>
      </c>
      <c r="I7" s="31">
        <v>0.16700000000000001</v>
      </c>
      <c r="J7" s="3">
        <v>0</v>
      </c>
      <c r="K7" s="19">
        <v>0</v>
      </c>
      <c r="L7" s="4">
        <v>17</v>
      </c>
      <c r="M7" s="7">
        <v>1</v>
      </c>
      <c r="N7" s="247">
        <v>8.3000000000000004E-2</v>
      </c>
    </row>
    <row r="8" spans="1:14">
      <c r="A8" s="2" t="s">
        <v>15</v>
      </c>
      <c r="B8" s="2">
        <v>18</v>
      </c>
      <c r="C8" s="3">
        <v>30</v>
      </c>
      <c r="D8" s="4">
        <v>3861.82</v>
      </c>
      <c r="E8" s="5">
        <v>128.72999999999999</v>
      </c>
      <c r="F8" s="7">
        <v>15</v>
      </c>
      <c r="G8" s="122">
        <v>0.5</v>
      </c>
      <c r="H8" s="3">
        <v>1</v>
      </c>
      <c r="I8" s="181">
        <v>3.3000000000000002E-2</v>
      </c>
      <c r="J8" s="3">
        <v>0</v>
      </c>
      <c r="K8" s="24">
        <v>0</v>
      </c>
      <c r="L8" s="4">
        <v>0</v>
      </c>
      <c r="M8" s="7">
        <v>5</v>
      </c>
      <c r="N8" s="248">
        <v>0.16700000000000001</v>
      </c>
    </row>
    <row r="9" spans="1:14">
      <c r="A9" s="12" t="s">
        <v>15</v>
      </c>
      <c r="B9" s="12">
        <v>19</v>
      </c>
      <c r="C9" s="3">
        <v>21</v>
      </c>
      <c r="D9" s="4">
        <v>2693.35</v>
      </c>
      <c r="E9" s="14">
        <v>128.08000000000001</v>
      </c>
      <c r="F9" s="7">
        <v>8</v>
      </c>
      <c r="G9" s="249">
        <v>0.38100000000000001</v>
      </c>
      <c r="H9" s="3">
        <v>1</v>
      </c>
      <c r="I9" s="29">
        <v>4.8000000000000001E-2</v>
      </c>
      <c r="J9" s="3">
        <v>1</v>
      </c>
      <c r="K9" s="250">
        <v>4.8000000000000001E-2</v>
      </c>
      <c r="L9" s="4">
        <v>3.63</v>
      </c>
      <c r="M9" s="7">
        <v>11</v>
      </c>
      <c r="N9" s="251">
        <v>0.52400000000000002</v>
      </c>
    </row>
    <row r="10" spans="1:14">
      <c r="A10" s="2" t="s">
        <v>15</v>
      </c>
      <c r="B10" s="2">
        <v>282</v>
      </c>
      <c r="C10" s="3">
        <v>9</v>
      </c>
      <c r="D10" s="4">
        <v>1111.24</v>
      </c>
      <c r="E10" s="5">
        <v>123.47</v>
      </c>
      <c r="F10" s="7">
        <v>2</v>
      </c>
      <c r="G10" s="252">
        <v>0.222</v>
      </c>
      <c r="H10" s="3">
        <v>0</v>
      </c>
      <c r="I10" s="24">
        <v>0</v>
      </c>
      <c r="J10" s="3">
        <v>0</v>
      </c>
      <c r="K10" s="24">
        <v>0</v>
      </c>
      <c r="L10" s="4">
        <v>0</v>
      </c>
      <c r="M10" s="7">
        <v>6</v>
      </c>
      <c r="N10" s="28">
        <v>0.66700000000000004</v>
      </c>
    </row>
    <row r="11" spans="1:14">
      <c r="A11" s="12" t="s">
        <v>15</v>
      </c>
      <c r="B11" s="12">
        <v>447</v>
      </c>
      <c r="C11" s="3">
        <v>28</v>
      </c>
      <c r="D11" s="4">
        <v>3241.48</v>
      </c>
      <c r="E11" s="14">
        <v>115.77</v>
      </c>
      <c r="F11" s="7">
        <v>6.5</v>
      </c>
      <c r="G11" s="108">
        <v>0.23200000000000001</v>
      </c>
      <c r="H11" s="3">
        <v>1</v>
      </c>
      <c r="I11" s="253">
        <v>3.5999999999999997E-2</v>
      </c>
      <c r="J11" s="3">
        <v>0</v>
      </c>
      <c r="K11" s="19">
        <v>0</v>
      </c>
      <c r="L11" s="4">
        <v>0</v>
      </c>
      <c r="M11" s="7">
        <v>8</v>
      </c>
      <c r="N11" s="203">
        <v>0.28599999999999998</v>
      </c>
    </row>
    <row r="12" spans="1:14">
      <c r="A12" s="2" t="s">
        <v>15</v>
      </c>
      <c r="B12" s="2">
        <v>448</v>
      </c>
      <c r="C12" s="3">
        <v>24</v>
      </c>
      <c r="D12" s="4">
        <v>3076.99</v>
      </c>
      <c r="E12" s="5">
        <v>128</v>
      </c>
      <c r="F12" s="7">
        <v>12</v>
      </c>
      <c r="G12" s="122">
        <v>0.5</v>
      </c>
      <c r="H12" s="3">
        <v>0</v>
      </c>
      <c r="I12" s="24">
        <v>0</v>
      </c>
      <c r="J12" s="3">
        <v>0</v>
      </c>
      <c r="K12" s="24">
        <v>0</v>
      </c>
      <c r="L12" s="4">
        <v>5</v>
      </c>
      <c r="M12" s="7">
        <v>3</v>
      </c>
      <c r="N12" s="169">
        <v>0.125</v>
      </c>
    </row>
    <row r="13" spans="1:14">
      <c r="A13" s="12" t="s">
        <v>15</v>
      </c>
      <c r="B13" s="12">
        <v>531</v>
      </c>
      <c r="C13" s="3">
        <v>5</v>
      </c>
      <c r="D13" s="4">
        <v>578.99</v>
      </c>
      <c r="E13" s="14">
        <v>115.8</v>
      </c>
      <c r="F13" s="7">
        <v>3</v>
      </c>
      <c r="G13" s="190">
        <v>0.6</v>
      </c>
      <c r="H13" s="3">
        <v>0</v>
      </c>
      <c r="I13" s="19">
        <v>0</v>
      </c>
      <c r="J13" s="3">
        <v>0</v>
      </c>
      <c r="K13" s="19">
        <v>0</v>
      </c>
      <c r="L13" s="4">
        <v>0</v>
      </c>
      <c r="M13" s="7">
        <v>1</v>
      </c>
      <c r="N13" s="101">
        <v>0.2</v>
      </c>
    </row>
    <row r="14" spans="1:14">
      <c r="A14" s="2" t="s">
        <v>15</v>
      </c>
      <c r="B14" s="2">
        <v>832</v>
      </c>
      <c r="C14" s="3">
        <v>22</v>
      </c>
      <c r="D14" s="4">
        <v>3875.72</v>
      </c>
      <c r="E14" s="5">
        <v>176.17</v>
      </c>
      <c r="F14" s="7">
        <v>12</v>
      </c>
      <c r="G14" s="150">
        <v>0.54500000000000004</v>
      </c>
      <c r="H14" s="3">
        <v>1</v>
      </c>
      <c r="I14" s="59">
        <v>4.4999999999999998E-2</v>
      </c>
      <c r="J14" s="3">
        <v>0</v>
      </c>
      <c r="K14" s="24">
        <v>0</v>
      </c>
      <c r="L14" s="4">
        <v>0</v>
      </c>
      <c r="M14" s="7">
        <v>7</v>
      </c>
      <c r="N14" s="254">
        <v>0.318</v>
      </c>
    </row>
    <row r="15" spans="1:14">
      <c r="A15" s="12" t="s">
        <v>16</v>
      </c>
      <c r="B15" s="12">
        <v>3</v>
      </c>
      <c r="C15" s="3">
        <v>20</v>
      </c>
      <c r="D15" s="4">
        <v>3220.47</v>
      </c>
      <c r="E15" s="14">
        <v>161.02000000000001</v>
      </c>
      <c r="F15" s="7">
        <v>13.5</v>
      </c>
      <c r="G15" s="119">
        <v>0.67500000000000004</v>
      </c>
      <c r="H15" s="3">
        <v>2</v>
      </c>
      <c r="I15" s="246">
        <v>0.1</v>
      </c>
      <c r="J15" s="3">
        <v>1</v>
      </c>
      <c r="K15" s="73">
        <v>0.05</v>
      </c>
      <c r="L15" s="3"/>
      <c r="M15" s="7">
        <v>5</v>
      </c>
      <c r="N15" s="255">
        <v>0.25</v>
      </c>
    </row>
    <row r="16" spans="1:14">
      <c r="A16" s="2" t="s">
        <v>16</v>
      </c>
      <c r="B16" s="2">
        <v>5</v>
      </c>
      <c r="C16" s="3">
        <v>31</v>
      </c>
      <c r="D16" s="4">
        <v>3748.33</v>
      </c>
      <c r="E16" s="5">
        <v>120.91</v>
      </c>
      <c r="F16" s="7">
        <v>16</v>
      </c>
      <c r="G16" s="58">
        <v>0.51600000000000001</v>
      </c>
      <c r="H16" s="3">
        <v>2</v>
      </c>
      <c r="I16" s="132">
        <v>6.5000000000000002E-2</v>
      </c>
      <c r="J16" s="3"/>
      <c r="K16" s="24">
        <v>0</v>
      </c>
      <c r="L16" s="3"/>
      <c r="M16" s="7">
        <v>4</v>
      </c>
      <c r="N16" s="96">
        <v>0.129</v>
      </c>
    </row>
    <row r="17" spans="1:14">
      <c r="A17" s="12" t="s">
        <v>16</v>
      </c>
      <c r="B17" s="12">
        <v>11</v>
      </c>
      <c r="C17" s="3">
        <v>20</v>
      </c>
      <c r="D17" s="4">
        <v>3809.95</v>
      </c>
      <c r="E17" s="14">
        <v>187.9</v>
      </c>
      <c r="F17" s="7">
        <v>22</v>
      </c>
      <c r="G17" s="256">
        <v>1.1000000000000001</v>
      </c>
      <c r="H17" s="3">
        <v>2</v>
      </c>
      <c r="I17" s="246">
        <v>0.1</v>
      </c>
      <c r="J17" s="3">
        <v>2</v>
      </c>
      <c r="K17" s="31">
        <v>0.1</v>
      </c>
      <c r="L17" s="4">
        <v>52</v>
      </c>
      <c r="M17" s="7">
        <v>5</v>
      </c>
      <c r="N17" s="255">
        <v>0.25</v>
      </c>
    </row>
    <row r="18" spans="1:14">
      <c r="A18" s="2" t="s">
        <v>16</v>
      </c>
      <c r="B18" s="2">
        <v>14</v>
      </c>
      <c r="C18" s="3">
        <v>20</v>
      </c>
      <c r="D18" s="4">
        <v>2410.3200000000002</v>
      </c>
      <c r="E18" s="5">
        <v>120.52</v>
      </c>
      <c r="F18" s="7">
        <v>8</v>
      </c>
      <c r="G18" s="182">
        <v>0.4</v>
      </c>
      <c r="H18" s="3"/>
      <c r="I18" s="24">
        <v>0</v>
      </c>
      <c r="J18" s="3"/>
      <c r="K18" s="24">
        <v>0</v>
      </c>
      <c r="L18" s="3"/>
      <c r="M18" s="7">
        <v>2</v>
      </c>
      <c r="N18" s="257">
        <v>0.1</v>
      </c>
    </row>
    <row r="19" spans="1:14">
      <c r="A19" s="12" t="s">
        <v>16</v>
      </c>
      <c r="B19" s="12">
        <v>20</v>
      </c>
      <c r="C19" s="3">
        <v>34</v>
      </c>
      <c r="D19" s="4">
        <v>3642.87</v>
      </c>
      <c r="E19" s="14">
        <v>106.33</v>
      </c>
      <c r="F19" s="7">
        <v>12</v>
      </c>
      <c r="G19" s="219">
        <v>0.35299999999999998</v>
      </c>
      <c r="H19" s="3">
        <v>1</v>
      </c>
      <c r="I19" s="258">
        <v>2.9000000000000001E-2</v>
      </c>
      <c r="J19" s="3">
        <v>2</v>
      </c>
      <c r="K19" s="40">
        <v>5.8999999999999997E-2</v>
      </c>
      <c r="L19" s="4">
        <v>27.5</v>
      </c>
      <c r="M19" s="7">
        <v>2</v>
      </c>
      <c r="N19" s="259">
        <v>5.8999999999999997E-2</v>
      </c>
    </row>
    <row r="20" spans="1:14">
      <c r="A20" s="2" t="s">
        <v>16</v>
      </c>
      <c r="B20" s="2">
        <v>21</v>
      </c>
      <c r="C20" s="3">
        <v>53</v>
      </c>
      <c r="D20" s="4">
        <v>6893.2</v>
      </c>
      <c r="E20" s="5">
        <v>130.06</v>
      </c>
      <c r="F20" s="7">
        <v>30</v>
      </c>
      <c r="G20" s="261">
        <v>0.56599999999999995</v>
      </c>
      <c r="H20" s="3">
        <v>2</v>
      </c>
      <c r="I20" s="113">
        <v>3.7999999999999999E-2</v>
      </c>
      <c r="J20" s="3">
        <v>1</v>
      </c>
      <c r="K20" s="49">
        <v>1.9E-2</v>
      </c>
      <c r="L20" s="3"/>
      <c r="M20" s="7">
        <v>4</v>
      </c>
      <c r="N20" s="262">
        <v>7.4999999999999997E-2</v>
      </c>
    </row>
    <row r="21" spans="1:14">
      <c r="A21" s="12" t="s">
        <v>16</v>
      </c>
      <c r="B21" s="12">
        <v>23</v>
      </c>
      <c r="C21" s="3">
        <v>31</v>
      </c>
      <c r="D21" s="4">
        <v>3570.03</v>
      </c>
      <c r="E21" s="14">
        <v>114.23</v>
      </c>
      <c r="F21" s="7">
        <v>9</v>
      </c>
      <c r="G21" s="263">
        <v>0.28999999999999998</v>
      </c>
      <c r="H21" s="3"/>
      <c r="I21" s="19">
        <v>0</v>
      </c>
      <c r="J21" s="3">
        <v>2</v>
      </c>
      <c r="K21" s="264">
        <v>6.5000000000000002E-2</v>
      </c>
      <c r="L21" s="4">
        <v>29</v>
      </c>
      <c r="M21" s="7">
        <v>2</v>
      </c>
      <c r="N21" s="265">
        <v>6.5000000000000002E-2</v>
      </c>
    </row>
    <row r="22" spans="1:14">
      <c r="A22" s="2" t="s">
        <v>16</v>
      </c>
      <c r="B22" s="2">
        <v>24</v>
      </c>
      <c r="C22" s="3">
        <v>35</v>
      </c>
      <c r="D22" s="4">
        <v>5051.78</v>
      </c>
      <c r="E22" s="2" t="e">
        <v>#VALUE!</v>
      </c>
      <c r="F22" s="7">
        <v>19</v>
      </c>
      <c r="G22" s="150">
        <v>0.54300000000000004</v>
      </c>
      <c r="H22" s="3">
        <v>1</v>
      </c>
      <c r="I22" s="105">
        <v>2.9000000000000001E-2</v>
      </c>
      <c r="J22" s="3">
        <v>1</v>
      </c>
      <c r="K22" s="221">
        <v>2.9000000000000001E-2</v>
      </c>
      <c r="L22" s="3" t="s">
        <v>21</v>
      </c>
      <c r="M22" s="7">
        <v>10</v>
      </c>
      <c r="N22" s="240">
        <v>0.28599999999999998</v>
      </c>
    </row>
    <row r="23" spans="1:14">
      <c r="A23" s="12" t="s">
        <v>16</v>
      </c>
      <c r="B23" s="12">
        <v>26</v>
      </c>
      <c r="C23" s="3">
        <v>22</v>
      </c>
      <c r="D23" s="4">
        <v>2757.32</v>
      </c>
      <c r="E23" s="14">
        <v>125.06</v>
      </c>
      <c r="F23" s="7">
        <v>13</v>
      </c>
      <c r="G23" s="127">
        <v>0.59099999999999997</v>
      </c>
      <c r="H23" s="3">
        <v>2</v>
      </c>
      <c r="I23" s="118">
        <v>9.0999999999999998E-2</v>
      </c>
      <c r="J23" s="3">
        <v>0</v>
      </c>
      <c r="K23" s="19">
        <v>0</v>
      </c>
      <c r="L23" s="4">
        <v>6</v>
      </c>
      <c r="M23" s="7">
        <v>5</v>
      </c>
      <c r="N23" s="267">
        <v>0.22700000000000001</v>
      </c>
    </row>
    <row r="24" spans="1:14">
      <c r="A24" s="2" t="s">
        <v>17</v>
      </c>
      <c r="B24" s="2">
        <v>46</v>
      </c>
      <c r="C24" s="3">
        <v>29</v>
      </c>
      <c r="D24" s="4">
        <v>3688.21</v>
      </c>
      <c r="E24" s="5">
        <v>126.9</v>
      </c>
      <c r="F24" s="7">
        <v>15</v>
      </c>
      <c r="G24" s="58">
        <v>0.51700000000000002</v>
      </c>
      <c r="H24" s="3">
        <v>0</v>
      </c>
      <c r="I24" s="24">
        <v>0</v>
      </c>
      <c r="J24" s="3">
        <v>0</v>
      </c>
      <c r="K24" s="24">
        <v>0</v>
      </c>
      <c r="L24" s="4">
        <v>8</v>
      </c>
      <c r="M24" s="7">
        <v>4</v>
      </c>
      <c r="N24" s="268">
        <v>0.13800000000000001</v>
      </c>
    </row>
    <row r="25" spans="1:14">
      <c r="A25" s="12" t="s">
        <v>17</v>
      </c>
      <c r="B25" s="12">
        <v>283</v>
      </c>
      <c r="C25" s="3">
        <v>25</v>
      </c>
      <c r="D25" s="4">
        <v>3539.99</v>
      </c>
      <c r="E25" s="14">
        <v>141.6</v>
      </c>
      <c r="F25" s="7">
        <v>9</v>
      </c>
      <c r="G25" s="166">
        <v>0.36</v>
      </c>
      <c r="H25" s="3">
        <v>2</v>
      </c>
      <c r="I25" s="179">
        <v>0.08</v>
      </c>
      <c r="J25" s="3">
        <v>0</v>
      </c>
      <c r="K25" s="19">
        <v>0</v>
      </c>
      <c r="L25" s="4">
        <v>0</v>
      </c>
      <c r="M25" s="7">
        <v>15</v>
      </c>
      <c r="N25" s="269">
        <v>0.6</v>
      </c>
    </row>
    <row r="26" spans="1:14">
      <c r="A26" s="2" t="s">
        <v>17</v>
      </c>
      <c r="B26" s="2">
        <v>847</v>
      </c>
      <c r="C26" s="3">
        <v>22</v>
      </c>
      <c r="D26" s="4">
        <v>3491.49</v>
      </c>
      <c r="E26" s="5">
        <v>158.47999999999999</v>
      </c>
      <c r="F26" s="7">
        <v>27</v>
      </c>
      <c r="G26" s="6">
        <v>1.2270000000000001</v>
      </c>
      <c r="H26" s="3">
        <v>3</v>
      </c>
      <c r="I26" s="244">
        <v>0.13600000000000001</v>
      </c>
      <c r="J26" s="3">
        <v>2</v>
      </c>
      <c r="K26" s="270">
        <v>9.0999999999999998E-2</v>
      </c>
      <c r="L26" s="4">
        <v>5</v>
      </c>
      <c r="M26" s="7">
        <v>9</v>
      </c>
      <c r="N26" s="271">
        <v>0.40899999999999997</v>
      </c>
    </row>
    <row r="27" spans="1:14">
      <c r="A27" s="12" t="s">
        <v>17</v>
      </c>
      <c r="B27" s="12">
        <v>865</v>
      </c>
      <c r="C27" s="3">
        <v>17</v>
      </c>
      <c r="D27" s="4">
        <v>1916.13</v>
      </c>
      <c r="E27" s="14">
        <v>112.71</v>
      </c>
      <c r="F27" s="7">
        <v>6</v>
      </c>
      <c r="G27" s="219">
        <v>0.35299999999999998</v>
      </c>
      <c r="H27" s="3">
        <v>0</v>
      </c>
      <c r="I27" s="19">
        <v>0</v>
      </c>
      <c r="J27" s="3">
        <v>0</v>
      </c>
      <c r="K27" s="19">
        <v>0</v>
      </c>
      <c r="L27" s="4">
        <v>0</v>
      </c>
      <c r="M27" s="7">
        <v>4</v>
      </c>
      <c r="N27" s="272">
        <v>0.23499999999999999</v>
      </c>
    </row>
    <row r="28" spans="1:14">
      <c r="A28" s="2" t="s">
        <v>17</v>
      </c>
      <c r="B28" s="2">
        <v>919</v>
      </c>
      <c r="C28" s="3">
        <v>32</v>
      </c>
      <c r="D28" s="4">
        <v>4433.54</v>
      </c>
      <c r="E28" s="5">
        <v>137.91999999999999</v>
      </c>
      <c r="F28" s="7">
        <v>19</v>
      </c>
      <c r="G28" s="124">
        <v>0.59399999999999997</v>
      </c>
      <c r="H28" s="3">
        <v>5</v>
      </c>
      <c r="I28" s="273">
        <v>0.156</v>
      </c>
      <c r="J28" s="3">
        <v>1</v>
      </c>
      <c r="K28" s="50">
        <v>3.1E-2</v>
      </c>
      <c r="L28" s="4">
        <v>20</v>
      </c>
      <c r="M28" s="7">
        <v>5</v>
      </c>
      <c r="N28" s="274">
        <v>0.156</v>
      </c>
    </row>
    <row r="29" spans="1:14">
      <c r="A29" s="12" t="s">
        <v>17</v>
      </c>
      <c r="B29" s="12">
        <v>954</v>
      </c>
      <c r="C29" s="3">
        <v>22</v>
      </c>
      <c r="D29" s="4">
        <v>2677.01</v>
      </c>
      <c r="E29" s="14">
        <v>121.68</v>
      </c>
      <c r="F29" s="7">
        <v>6</v>
      </c>
      <c r="G29" s="107">
        <v>0.27300000000000002</v>
      </c>
      <c r="H29" s="3">
        <v>1</v>
      </c>
      <c r="I29" s="191">
        <v>4.4999999999999998E-2</v>
      </c>
      <c r="J29" s="3">
        <v>0</v>
      </c>
      <c r="K29" s="19">
        <v>0</v>
      </c>
      <c r="L29" s="4">
        <v>0</v>
      </c>
      <c r="M29" s="7">
        <v>2</v>
      </c>
      <c r="N29" s="275">
        <v>9.0999999999999998E-2</v>
      </c>
    </row>
    <row r="30" spans="1:14">
      <c r="A30" s="2" t="s">
        <v>17</v>
      </c>
      <c r="B30" s="2">
        <v>3017</v>
      </c>
      <c r="C30" s="3">
        <v>12</v>
      </c>
      <c r="D30" s="4">
        <v>1300.08</v>
      </c>
      <c r="E30" s="5">
        <v>108.34</v>
      </c>
      <c r="F30" s="7">
        <v>3</v>
      </c>
      <c r="G30" s="266">
        <v>0.25</v>
      </c>
      <c r="H30" s="3">
        <v>0</v>
      </c>
      <c r="I30" s="24">
        <v>0</v>
      </c>
      <c r="J30" s="3">
        <v>0</v>
      </c>
      <c r="K30" s="24">
        <v>0</v>
      </c>
      <c r="L30" s="4">
        <v>0</v>
      </c>
      <c r="M30" s="7">
        <v>0</v>
      </c>
      <c r="N30" s="10">
        <v>0</v>
      </c>
    </row>
    <row r="31" spans="1:14">
      <c r="A31" s="12" t="s">
        <v>18</v>
      </c>
      <c r="B31" s="12">
        <v>29</v>
      </c>
      <c r="C31" s="3">
        <v>29</v>
      </c>
      <c r="D31" s="4">
        <v>3520.29</v>
      </c>
      <c r="E31" s="14">
        <v>121.11</v>
      </c>
      <c r="F31" s="7">
        <v>14</v>
      </c>
      <c r="G31" s="276">
        <v>0.48299999999999998</v>
      </c>
      <c r="H31" s="3">
        <v>0</v>
      </c>
      <c r="I31" s="19">
        <v>0</v>
      </c>
      <c r="J31" s="3">
        <v>1</v>
      </c>
      <c r="K31" s="277">
        <v>3.4000000000000002E-2</v>
      </c>
      <c r="L31" s="4">
        <v>8</v>
      </c>
      <c r="M31" s="7">
        <v>2</v>
      </c>
      <c r="N31" s="278">
        <v>6.9000000000000006E-2</v>
      </c>
    </row>
    <row r="32" spans="1:14">
      <c r="A32" s="2" t="s">
        <v>18</v>
      </c>
      <c r="B32" s="2">
        <v>40</v>
      </c>
      <c r="C32" s="3">
        <v>20</v>
      </c>
      <c r="D32" s="4">
        <v>1998.53</v>
      </c>
      <c r="E32" s="5">
        <v>99.93</v>
      </c>
      <c r="F32" s="7">
        <v>3</v>
      </c>
      <c r="G32" s="279">
        <v>0.15</v>
      </c>
      <c r="H32" s="3">
        <v>0</v>
      </c>
      <c r="I32" s="24">
        <v>0</v>
      </c>
      <c r="J32" s="3">
        <v>0</v>
      </c>
      <c r="K32" s="24">
        <v>0</v>
      </c>
      <c r="L32" s="4">
        <v>0</v>
      </c>
      <c r="M32" s="7">
        <v>0</v>
      </c>
      <c r="N32" s="10">
        <v>0</v>
      </c>
    </row>
    <row r="33" spans="1:14">
      <c r="A33" s="12" t="s">
        <v>18</v>
      </c>
      <c r="B33" s="12">
        <v>280</v>
      </c>
      <c r="C33" s="3">
        <v>16</v>
      </c>
      <c r="D33" s="4">
        <v>1895.44</v>
      </c>
      <c r="E33" s="14">
        <v>118.4</v>
      </c>
      <c r="F33" s="7">
        <v>7.5</v>
      </c>
      <c r="G33" s="177">
        <v>0.46899999999999997</v>
      </c>
      <c r="H33" s="3">
        <v>0</v>
      </c>
      <c r="I33" s="19">
        <v>0</v>
      </c>
      <c r="J33" s="3">
        <v>0</v>
      </c>
      <c r="K33" s="19">
        <v>0</v>
      </c>
      <c r="L33" s="4">
        <v>1</v>
      </c>
      <c r="M33" s="7">
        <v>4</v>
      </c>
      <c r="N33" s="255">
        <v>0.25</v>
      </c>
    </row>
    <row r="34" spans="1:14">
      <c r="A34" s="2" t="s">
        <v>18</v>
      </c>
      <c r="B34" s="2">
        <v>599</v>
      </c>
      <c r="C34" s="3">
        <v>25</v>
      </c>
      <c r="D34" s="4">
        <v>2809.39</v>
      </c>
      <c r="E34" s="5">
        <v>111.78</v>
      </c>
      <c r="F34" s="7">
        <v>9</v>
      </c>
      <c r="G34" s="228">
        <v>0.36</v>
      </c>
      <c r="H34" s="3">
        <v>0</v>
      </c>
      <c r="I34" s="24">
        <v>0</v>
      </c>
      <c r="J34" s="3">
        <v>0</v>
      </c>
      <c r="K34" s="24">
        <v>0</v>
      </c>
      <c r="L34" s="4">
        <v>15</v>
      </c>
      <c r="M34" s="7">
        <v>5</v>
      </c>
      <c r="N34" s="206">
        <v>0.2</v>
      </c>
    </row>
    <row r="35" spans="1:14">
      <c r="A35" s="12" t="s">
        <v>18</v>
      </c>
      <c r="B35" s="12">
        <v>720</v>
      </c>
      <c r="C35" s="3">
        <v>15</v>
      </c>
      <c r="D35" s="4">
        <v>2437.52</v>
      </c>
      <c r="E35" s="14">
        <v>162.1</v>
      </c>
      <c r="F35" s="7">
        <v>14</v>
      </c>
      <c r="G35" s="280">
        <v>0.93300000000000005</v>
      </c>
      <c r="H35" s="3">
        <v>2</v>
      </c>
      <c r="I35" s="281">
        <v>0.13300000000000001</v>
      </c>
      <c r="J35" s="3">
        <v>1</v>
      </c>
      <c r="K35" s="282">
        <v>6.7000000000000004E-2</v>
      </c>
      <c r="L35" s="4">
        <v>6</v>
      </c>
      <c r="M35" s="7">
        <v>4</v>
      </c>
      <c r="N35" s="283">
        <v>0.26700000000000002</v>
      </c>
    </row>
    <row r="36" spans="1:14">
      <c r="A36" s="2" t="s">
        <v>18</v>
      </c>
      <c r="B36" s="2">
        <v>728</v>
      </c>
      <c r="C36" s="3">
        <v>11</v>
      </c>
      <c r="D36" s="4">
        <v>1258.42</v>
      </c>
      <c r="E36" s="5">
        <v>114.4</v>
      </c>
      <c r="F36" s="7">
        <v>2</v>
      </c>
      <c r="G36" s="284">
        <v>0.182</v>
      </c>
      <c r="H36" s="3">
        <v>0</v>
      </c>
      <c r="I36" s="24">
        <v>0</v>
      </c>
      <c r="J36" s="3">
        <v>0</v>
      </c>
      <c r="K36" s="24">
        <v>0</v>
      </c>
      <c r="L36" s="4">
        <v>0</v>
      </c>
      <c r="M36" s="7">
        <v>1</v>
      </c>
      <c r="N36" s="285">
        <v>9.0999999999999998E-2</v>
      </c>
    </row>
    <row r="37" spans="1:14">
      <c r="A37" s="12" t="s">
        <v>18</v>
      </c>
      <c r="B37" s="12">
        <v>830</v>
      </c>
      <c r="C37" s="3">
        <v>10</v>
      </c>
      <c r="D37" s="4">
        <v>1405.61</v>
      </c>
      <c r="E37" s="14">
        <v>140.56</v>
      </c>
      <c r="F37" s="7">
        <v>8.5</v>
      </c>
      <c r="G37" s="286">
        <v>0.85</v>
      </c>
      <c r="H37" s="3">
        <v>1</v>
      </c>
      <c r="I37" s="246">
        <v>0.1</v>
      </c>
      <c r="J37" s="3">
        <v>0</v>
      </c>
      <c r="K37" s="19">
        <v>0</v>
      </c>
      <c r="L37" s="4">
        <v>0</v>
      </c>
      <c r="M37" s="7">
        <v>2</v>
      </c>
      <c r="N37" s="101">
        <v>0.2</v>
      </c>
    </row>
    <row r="38" spans="1:14">
      <c r="A38" s="2" t="s">
        <v>18</v>
      </c>
      <c r="B38" s="2">
        <v>975</v>
      </c>
      <c r="C38" s="3">
        <v>14</v>
      </c>
      <c r="D38" s="4">
        <v>1855.57</v>
      </c>
      <c r="E38" s="5">
        <v>131.68</v>
      </c>
      <c r="F38" s="7">
        <v>10</v>
      </c>
      <c r="G38" s="91">
        <v>0.71399999999999997</v>
      </c>
      <c r="H38" s="3">
        <v>1</v>
      </c>
      <c r="I38" s="195">
        <v>7.0999999999999994E-2</v>
      </c>
      <c r="J38" s="3">
        <v>0</v>
      </c>
      <c r="K38" s="24">
        <v>0</v>
      </c>
      <c r="L38" s="4">
        <v>12</v>
      </c>
      <c r="M38" s="7">
        <v>6</v>
      </c>
      <c r="N38" s="287">
        <v>0.42899999999999999</v>
      </c>
    </row>
    <row r="39" spans="1:14">
      <c r="A39" s="12" t="s">
        <v>19</v>
      </c>
      <c r="B39" s="12">
        <v>1</v>
      </c>
      <c r="C39" s="3">
        <v>17</v>
      </c>
      <c r="D39" s="4">
        <v>2244.8200000000002</v>
      </c>
      <c r="E39" s="14">
        <v>131.81</v>
      </c>
      <c r="F39" s="7">
        <v>15</v>
      </c>
      <c r="G39" s="288">
        <v>0.88200000000000001</v>
      </c>
      <c r="H39" s="3">
        <v>1</v>
      </c>
      <c r="I39" s="135">
        <v>5.8999999999999997E-2</v>
      </c>
      <c r="J39" s="3">
        <v>0</v>
      </c>
      <c r="K39" s="19">
        <v>0</v>
      </c>
      <c r="L39" s="4">
        <v>4</v>
      </c>
      <c r="M39" s="7">
        <v>2</v>
      </c>
      <c r="N39" s="289">
        <v>0.11799999999999999</v>
      </c>
    </row>
    <row r="40" spans="1:14">
      <c r="A40" s="2" t="s">
        <v>19</v>
      </c>
      <c r="B40" s="2">
        <v>2</v>
      </c>
      <c r="C40" s="3">
        <v>36</v>
      </c>
      <c r="D40" s="4">
        <v>4751.3500000000004</v>
      </c>
      <c r="E40" s="5">
        <v>131.54</v>
      </c>
      <c r="F40" s="7">
        <v>24</v>
      </c>
      <c r="G40" s="227">
        <v>0.66700000000000004</v>
      </c>
      <c r="H40" s="3">
        <v>3</v>
      </c>
      <c r="I40" s="130">
        <v>8.3000000000000004E-2</v>
      </c>
      <c r="J40" s="3">
        <v>1</v>
      </c>
      <c r="K40" s="51">
        <v>2.8000000000000001E-2</v>
      </c>
      <c r="L40" s="4">
        <v>16</v>
      </c>
      <c r="M40" s="7">
        <v>5</v>
      </c>
      <c r="N40" s="198">
        <v>0.13900000000000001</v>
      </c>
    </row>
    <row r="41" spans="1:14">
      <c r="A41" s="12" t="s">
        <v>19</v>
      </c>
      <c r="B41" s="12">
        <v>4</v>
      </c>
      <c r="C41" s="3">
        <v>60</v>
      </c>
      <c r="D41" s="4">
        <v>8331.32</v>
      </c>
      <c r="E41" s="14">
        <v>138.29</v>
      </c>
      <c r="F41" s="7">
        <v>39</v>
      </c>
      <c r="G41" s="63">
        <v>0.65</v>
      </c>
      <c r="H41" s="3">
        <v>8</v>
      </c>
      <c r="I41" s="281">
        <v>0.13300000000000001</v>
      </c>
      <c r="J41" s="3">
        <v>1</v>
      </c>
      <c r="K41" s="192">
        <v>1.7000000000000001E-2</v>
      </c>
      <c r="L41" s="4">
        <v>34</v>
      </c>
      <c r="M41" s="7">
        <v>17</v>
      </c>
      <c r="N41" s="290">
        <v>0.28299999999999997</v>
      </c>
    </row>
    <row r="42" spans="1:14">
      <c r="A42" s="2" t="s">
        <v>19</v>
      </c>
      <c r="B42" s="2">
        <v>6</v>
      </c>
      <c r="C42" s="3">
        <v>39</v>
      </c>
      <c r="D42" s="4">
        <v>4710.6899999999996</v>
      </c>
      <c r="E42" s="5">
        <v>120.02</v>
      </c>
      <c r="F42" s="7">
        <v>19</v>
      </c>
      <c r="G42" s="44">
        <v>0.48699999999999999</v>
      </c>
      <c r="H42" s="3">
        <v>1</v>
      </c>
      <c r="I42" s="171">
        <v>2.5999999999999999E-2</v>
      </c>
      <c r="J42" s="3">
        <v>0</v>
      </c>
      <c r="K42" s="24">
        <v>0</v>
      </c>
      <c r="L42" s="4">
        <v>30.01</v>
      </c>
      <c r="M42" s="7">
        <v>9</v>
      </c>
      <c r="N42" s="291">
        <v>0.23100000000000001</v>
      </c>
    </row>
    <row r="43" spans="1:14">
      <c r="A43" s="12" t="s">
        <v>19</v>
      </c>
      <c r="B43" s="12">
        <v>15</v>
      </c>
      <c r="C43" s="3">
        <v>49</v>
      </c>
      <c r="D43" s="4">
        <v>5648.56</v>
      </c>
      <c r="E43" s="14">
        <v>115.28</v>
      </c>
      <c r="F43" s="7">
        <v>26</v>
      </c>
      <c r="G43" s="143">
        <v>0.53100000000000003</v>
      </c>
      <c r="H43" s="3">
        <v>2</v>
      </c>
      <c r="I43" s="164">
        <v>4.1000000000000002E-2</v>
      </c>
      <c r="J43" s="3">
        <v>0</v>
      </c>
      <c r="K43" s="19">
        <v>0</v>
      </c>
      <c r="L43" s="4">
        <v>0</v>
      </c>
      <c r="M43" s="7">
        <v>2</v>
      </c>
      <c r="N43" s="292">
        <v>4.1000000000000002E-2</v>
      </c>
    </row>
    <row r="44" spans="1:14">
      <c r="A44" s="2" t="s">
        <v>19</v>
      </c>
      <c r="B44" s="2">
        <v>28</v>
      </c>
      <c r="C44" s="3">
        <v>52</v>
      </c>
      <c r="D44" s="4">
        <v>5996.97</v>
      </c>
      <c r="E44" s="5">
        <v>115.31</v>
      </c>
      <c r="F44" s="7">
        <v>20</v>
      </c>
      <c r="G44" s="260">
        <v>0.38500000000000001</v>
      </c>
      <c r="H44" s="3">
        <v>2</v>
      </c>
      <c r="I44" s="44">
        <v>3.7999999999999999E-2</v>
      </c>
      <c r="J44" s="3">
        <v>0</v>
      </c>
      <c r="K44" s="24">
        <v>0</v>
      </c>
      <c r="L44" s="4">
        <v>1</v>
      </c>
      <c r="M44" s="7">
        <v>7</v>
      </c>
      <c r="N44" s="293">
        <v>0.13500000000000001</v>
      </c>
    </row>
    <row r="45" spans="1:14">
      <c r="A45" s="12" t="s">
        <v>19</v>
      </c>
      <c r="B45" s="12">
        <v>32</v>
      </c>
      <c r="C45" s="3">
        <v>49</v>
      </c>
      <c r="D45" s="4">
        <v>5765.73</v>
      </c>
      <c r="E45" s="14">
        <v>115.55</v>
      </c>
      <c r="F45" s="7">
        <v>22</v>
      </c>
      <c r="G45" s="294">
        <v>0.44900000000000001</v>
      </c>
      <c r="H45" s="3">
        <v>0</v>
      </c>
      <c r="I45" s="19">
        <v>0</v>
      </c>
      <c r="J45" s="3">
        <v>1</v>
      </c>
      <c r="K45" s="295">
        <v>0.02</v>
      </c>
      <c r="L45" s="4">
        <v>104</v>
      </c>
      <c r="M45" s="7">
        <v>10</v>
      </c>
      <c r="N45" s="296">
        <v>0.20399999999999999</v>
      </c>
    </row>
    <row r="46" spans="1:14">
      <c r="A46" s="2" t="s">
        <v>19</v>
      </c>
      <c r="B46" s="2">
        <v>606</v>
      </c>
      <c r="C46" s="3">
        <v>36</v>
      </c>
      <c r="D46" s="4">
        <v>4127.91</v>
      </c>
      <c r="E46" s="5">
        <v>114.11</v>
      </c>
      <c r="F46" s="7">
        <v>16.5</v>
      </c>
      <c r="G46" s="45">
        <v>0.45800000000000002</v>
      </c>
      <c r="H46" s="3">
        <v>2</v>
      </c>
      <c r="I46" s="297">
        <v>5.6000000000000001E-2</v>
      </c>
      <c r="J46" s="3">
        <v>0</v>
      </c>
      <c r="K46" s="24">
        <v>0</v>
      </c>
      <c r="L46" s="4">
        <v>20</v>
      </c>
      <c r="M46" s="7">
        <v>9</v>
      </c>
      <c r="N46" s="155">
        <v>0.25</v>
      </c>
    </row>
    <row r="47" spans="1:14">
      <c r="A47" s="12" t="s">
        <v>20</v>
      </c>
      <c r="B47" s="12">
        <v>8</v>
      </c>
      <c r="C47" s="3">
        <v>44</v>
      </c>
      <c r="D47" s="4">
        <v>5319.83</v>
      </c>
      <c r="E47" s="14">
        <v>119.83</v>
      </c>
      <c r="F47" s="7">
        <v>20</v>
      </c>
      <c r="G47" s="253">
        <v>0.45500000000000002</v>
      </c>
      <c r="H47" s="3">
        <v>0</v>
      </c>
      <c r="I47" s="19">
        <v>0</v>
      </c>
      <c r="J47" s="3">
        <v>0</v>
      </c>
      <c r="K47" s="19">
        <v>0</v>
      </c>
      <c r="L47" s="4">
        <v>47.5</v>
      </c>
      <c r="M47" s="7">
        <v>8</v>
      </c>
      <c r="N47" s="298">
        <v>0.182</v>
      </c>
    </row>
    <row r="48" spans="1:14">
      <c r="A48" s="2" t="s">
        <v>20</v>
      </c>
      <c r="B48" s="2">
        <v>10</v>
      </c>
      <c r="C48" s="3">
        <v>28</v>
      </c>
      <c r="D48" s="4">
        <v>4070.52</v>
      </c>
      <c r="E48" s="5">
        <v>144.94999999999999</v>
      </c>
      <c r="F48" s="7">
        <v>16</v>
      </c>
      <c r="G48" s="146">
        <v>0.57099999999999995</v>
      </c>
      <c r="H48" s="3">
        <v>3</v>
      </c>
      <c r="I48" s="299">
        <v>0.107</v>
      </c>
      <c r="J48" s="3">
        <v>0</v>
      </c>
      <c r="K48" s="24">
        <v>0</v>
      </c>
      <c r="L48" s="4">
        <v>12</v>
      </c>
      <c r="M48" s="7">
        <v>10</v>
      </c>
      <c r="N48" s="300">
        <v>0.35699999999999998</v>
      </c>
    </row>
    <row r="49" spans="1:14">
      <c r="A49" s="12" t="s">
        <v>20</v>
      </c>
      <c r="B49" s="12">
        <v>12</v>
      </c>
      <c r="C49" s="3">
        <v>23</v>
      </c>
      <c r="D49" s="4">
        <v>2800.6</v>
      </c>
      <c r="E49" s="14">
        <v>120.46</v>
      </c>
      <c r="F49" s="7">
        <v>6</v>
      </c>
      <c r="G49" s="301">
        <v>0.26100000000000001</v>
      </c>
      <c r="H49" s="3">
        <v>0</v>
      </c>
      <c r="I49" s="19">
        <v>0</v>
      </c>
      <c r="J49" s="3">
        <v>0</v>
      </c>
      <c r="K49" s="19">
        <v>0</v>
      </c>
      <c r="L49" s="4">
        <v>30</v>
      </c>
      <c r="M49" s="7">
        <v>6</v>
      </c>
      <c r="N49" s="57">
        <v>0.26100000000000001</v>
      </c>
    </row>
    <row r="50" spans="1:14">
      <c r="A50" s="2" t="s">
        <v>20</v>
      </c>
      <c r="B50" s="2">
        <v>13</v>
      </c>
      <c r="C50" s="3">
        <v>35</v>
      </c>
      <c r="D50" s="4">
        <v>4169.0200000000004</v>
      </c>
      <c r="E50" s="5">
        <v>118.49</v>
      </c>
      <c r="F50" s="7">
        <v>14.5</v>
      </c>
      <c r="G50" s="302">
        <v>0.41399999999999998</v>
      </c>
      <c r="H50" s="3">
        <v>1</v>
      </c>
      <c r="I50" s="105">
        <v>2.9000000000000001E-2</v>
      </c>
      <c r="J50" s="3">
        <v>0</v>
      </c>
      <c r="K50" s="24">
        <v>0</v>
      </c>
      <c r="L50" s="4">
        <v>22</v>
      </c>
      <c r="M50" s="7">
        <v>5</v>
      </c>
      <c r="N50" s="183">
        <v>0.14299999999999999</v>
      </c>
    </row>
    <row r="51" spans="1:14">
      <c r="A51" s="12" t="s">
        <v>20</v>
      </c>
      <c r="B51" s="12">
        <v>31</v>
      </c>
      <c r="C51" s="3">
        <v>43</v>
      </c>
      <c r="D51" s="4">
        <v>5028.2</v>
      </c>
      <c r="E51" s="14">
        <v>116.41</v>
      </c>
      <c r="F51" s="7">
        <v>9</v>
      </c>
      <c r="G51" s="303">
        <v>0.20899999999999999</v>
      </c>
      <c r="H51" s="3">
        <v>2</v>
      </c>
      <c r="I51" s="15">
        <v>4.7E-2</v>
      </c>
      <c r="J51" s="3">
        <v>0</v>
      </c>
      <c r="K51" s="19">
        <v>0</v>
      </c>
      <c r="L51" s="4">
        <v>22.5</v>
      </c>
      <c r="M51" s="7">
        <v>16</v>
      </c>
      <c r="N51" s="304">
        <v>0.372</v>
      </c>
    </row>
    <row r="52" spans="1:14">
      <c r="A52" s="2" t="s">
        <v>20</v>
      </c>
      <c r="B52" s="2">
        <v>92</v>
      </c>
      <c r="C52" s="3">
        <v>42</v>
      </c>
      <c r="D52" s="4">
        <v>5652.56</v>
      </c>
      <c r="E52" s="5">
        <v>133.72999999999999</v>
      </c>
      <c r="F52" s="7">
        <v>25.5</v>
      </c>
      <c r="G52" s="176">
        <v>0.60699999999999998</v>
      </c>
      <c r="H52" s="3">
        <v>4</v>
      </c>
      <c r="I52" s="305">
        <v>9.5000000000000001E-2</v>
      </c>
      <c r="J52" s="3">
        <v>0</v>
      </c>
      <c r="K52" s="24">
        <v>0</v>
      </c>
      <c r="L52" s="4">
        <v>36.11</v>
      </c>
      <c r="M52" s="7">
        <v>7</v>
      </c>
      <c r="N52" s="248">
        <v>0.16700000000000001</v>
      </c>
    </row>
    <row r="53" spans="1:14">
      <c r="A53" s="12" t="s">
        <v>20</v>
      </c>
      <c r="B53" s="12">
        <v>116</v>
      </c>
      <c r="C53" s="3">
        <v>29</v>
      </c>
      <c r="D53" s="4">
        <v>3781.59</v>
      </c>
      <c r="E53" s="14">
        <v>129.94999999999999</v>
      </c>
      <c r="F53" s="7">
        <v>15</v>
      </c>
      <c r="G53" s="306">
        <v>0.51700000000000002</v>
      </c>
      <c r="H53" s="3">
        <v>1</v>
      </c>
      <c r="I53" s="307">
        <v>3.4000000000000002E-2</v>
      </c>
      <c r="J53" s="3">
        <v>0</v>
      </c>
      <c r="K53" s="149">
        <v>0</v>
      </c>
      <c r="L53" s="4">
        <v>13.02</v>
      </c>
      <c r="M53" s="7">
        <v>4</v>
      </c>
      <c r="N53" s="308">
        <v>0.13800000000000001</v>
      </c>
    </row>
    <row r="54" spans="1:14">
      <c r="A54" s="2" t="s">
        <v>20</v>
      </c>
      <c r="B54" s="2">
        <v>870</v>
      </c>
      <c r="C54" s="3">
        <v>15</v>
      </c>
      <c r="D54" s="4">
        <v>1675.74</v>
      </c>
      <c r="E54" s="5">
        <v>111.72</v>
      </c>
      <c r="F54" s="7">
        <v>1</v>
      </c>
      <c r="G54" s="309">
        <v>6.7000000000000004E-2</v>
      </c>
      <c r="H54" s="3">
        <v>0</v>
      </c>
      <c r="I54" s="24">
        <v>0</v>
      </c>
      <c r="J54" s="3">
        <v>0</v>
      </c>
      <c r="K54" s="24">
        <v>0</v>
      </c>
      <c r="L54" s="4">
        <v>0</v>
      </c>
      <c r="M54" s="7">
        <v>4</v>
      </c>
      <c r="N54" s="84">
        <v>0.26700000000000002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4"/>
  <sheetViews>
    <sheetView tabSelected="1" topLeftCell="O1" workbookViewId="0">
      <selection activeCell="AC12" sqref="AC12"/>
    </sheetView>
  </sheetViews>
  <sheetFormatPr defaultRowHeight="15"/>
  <cols>
    <col min="4" max="4" width="13.42578125" bestFit="1" customWidth="1"/>
    <col min="5" max="5" width="8.5703125" hidden="1" customWidth="1"/>
    <col min="6" max="6" width="11" hidden="1" customWidth="1"/>
    <col min="7" max="7" width="8.28515625" hidden="1" customWidth="1"/>
    <col min="8" max="8" width="8.85546875" hidden="1" customWidth="1"/>
    <col min="9" max="9" width="10" hidden="1" customWidth="1"/>
    <col min="10" max="10" width="4.85546875" hidden="1" customWidth="1"/>
    <col min="11" max="11" width="7.28515625" hidden="1" customWidth="1"/>
    <col min="12" max="12" width="10" hidden="1" customWidth="1"/>
    <col min="13" max="13" width="7.5703125" hidden="1" customWidth="1"/>
    <col min="14" max="14" width="9.5703125" hidden="1" customWidth="1"/>
    <col min="15" max="15" width="17.42578125" bestFit="1" customWidth="1"/>
    <col min="18" max="18" width="13.42578125" bestFit="1" customWidth="1"/>
    <col min="19" max="19" width="8.5703125" bestFit="1" customWidth="1"/>
    <col min="20" max="20" width="11" customWidth="1"/>
    <col min="21" max="21" width="8.28515625" bestFit="1" customWidth="1"/>
    <col min="22" max="22" width="8.85546875" bestFit="1" customWidth="1"/>
    <col min="23" max="23" width="10" bestFit="1" customWidth="1"/>
    <col min="24" max="24" width="4.85546875" bestFit="1" customWidth="1"/>
    <col min="25" max="25" width="7.28515625" bestFit="1" customWidth="1"/>
    <col min="26" max="26" width="10" bestFit="1" customWidth="1"/>
    <col min="27" max="27" width="7.5703125" bestFit="1" customWidth="1"/>
    <col min="28" max="28" width="9.57031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</row>
    <row r="2" spans="1:28">
      <c r="A2" s="2" t="s">
        <v>14</v>
      </c>
      <c r="B2" s="2">
        <v>17</v>
      </c>
      <c r="C2" s="3">
        <v>21</v>
      </c>
      <c r="D2" s="4">
        <v>2683.09</v>
      </c>
      <c r="E2" s="5">
        <v>127.12</v>
      </c>
      <c r="F2" s="7">
        <v>11</v>
      </c>
      <c r="G2" s="224">
        <v>0.52400000000000002</v>
      </c>
      <c r="H2" s="7">
        <v>1</v>
      </c>
      <c r="I2" s="239">
        <v>4.8000000000000001E-2</v>
      </c>
      <c r="J2" s="3">
        <v>0</v>
      </c>
      <c r="K2" s="10">
        <v>0</v>
      </c>
      <c r="L2" s="4">
        <v>13.5</v>
      </c>
      <c r="M2" s="7">
        <v>6</v>
      </c>
      <c r="N2" s="240">
        <v>0.28599999999999998</v>
      </c>
      <c r="O2" s="2" t="s">
        <v>14</v>
      </c>
      <c r="P2" s="2">
        <v>17</v>
      </c>
      <c r="Q2" s="310">
        <f>C2*0.2+C2</f>
        <v>25.2</v>
      </c>
      <c r="R2" s="4">
        <f>D2*0.2+D2</f>
        <v>3219.7080000000001</v>
      </c>
      <c r="S2" s="5">
        <f>R2/Q2</f>
        <v>127.76619047619049</v>
      </c>
      <c r="T2" s="310">
        <f>F2*0.2+F2</f>
        <v>13.2</v>
      </c>
      <c r="U2" s="224">
        <v>0.52400000000000002</v>
      </c>
      <c r="V2" s="310">
        <f>H2*0.2+H2</f>
        <v>1.2</v>
      </c>
      <c r="W2" s="239">
        <v>4.8000000000000001E-2</v>
      </c>
      <c r="X2" s="310">
        <f>J2*0.2+J2</f>
        <v>0</v>
      </c>
      <c r="Y2" s="10">
        <v>0</v>
      </c>
      <c r="Z2" s="4">
        <f t="shared" ref="Z2:Z33" si="0">L2+6.39</f>
        <v>19.89</v>
      </c>
      <c r="AA2" s="310">
        <f>M2*0.2+M2</f>
        <v>7.2</v>
      </c>
      <c r="AB2" s="240">
        <v>0.28599999999999998</v>
      </c>
    </row>
    <row r="3" spans="1:28">
      <c r="A3" s="12" t="s">
        <v>14</v>
      </c>
      <c r="B3" s="12">
        <v>22</v>
      </c>
      <c r="C3" s="3">
        <v>36</v>
      </c>
      <c r="D3" s="4">
        <v>5873.58</v>
      </c>
      <c r="E3" s="14">
        <v>162.19</v>
      </c>
      <c r="F3" s="7">
        <v>17.5</v>
      </c>
      <c r="G3" s="26">
        <v>0.48599999999999999</v>
      </c>
      <c r="H3" s="3">
        <v>2</v>
      </c>
      <c r="I3" s="241">
        <v>5.6000000000000001E-2</v>
      </c>
      <c r="J3" s="3">
        <v>2</v>
      </c>
      <c r="K3" s="89">
        <v>5.6000000000000001E-2</v>
      </c>
      <c r="L3" s="4">
        <v>34.630000000000003</v>
      </c>
      <c r="M3" s="7">
        <v>13</v>
      </c>
      <c r="N3" s="242">
        <v>0.36099999999999999</v>
      </c>
      <c r="O3" s="12" t="s">
        <v>14</v>
      </c>
      <c r="P3" s="12">
        <v>22</v>
      </c>
      <c r="Q3" s="310">
        <f t="shared" ref="Q3:Q54" si="1">C3*0.2+C3</f>
        <v>43.2</v>
      </c>
      <c r="R3" s="4">
        <f t="shared" ref="R3:R54" si="2">D3*0.2+D3</f>
        <v>7048.2960000000003</v>
      </c>
      <c r="S3" s="14">
        <v>162.19</v>
      </c>
      <c r="T3" s="7">
        <v>17.5</v>
      </c>
      <c r="U3" s="26">
        <v>0.48599999999999999</v>
      </c>
      <c r="V3" s="3">
        <v>2</v>
      </c>
      <c r="W3" s="241">
        <v>5.6000000000000001E-2</v>
      </c>
      <c r="X3" s="3">
        <v>2</v>
      </c>
      <c r="Y3" s="89">
        <v>5.6000000000000001E-2</v>
      </c>
      <c r="Z3" s="4">
        <f t="shared" si="0"/>
        <v>41.02</v>
      </c>
      <c r="AA3" s="7">
        <v>13</v>
      </c>
      <c r="AB3" s="242">
        <v>0.36099999999999999</v>
      </c>
    </row>
    <row r="4" spans="1:28">
      <c r="A4" s="2" t="s">
        <v>14</v>
      </c>
      <c r="B4" s="2">
        <v>641</v>
      </c>
      <c r="C4" s="3">
        <v>26</v>
      </c>
      <c r="D4" s="4">
        <v>3310.36</v>
      </c>
      <c r="E4" s="5">
        <v>126.53</v>
      </c>
      <c r="F4" s="7">
        <v>7</v>
      </c>
      <c r="G4" s="243">
        <v>0.26900000000000002</v>
      </c>
      <c r="H4" s="3">
        <v>1</v>
      </c>
      <c r="I4" s="44">
        <v>3.7999999999999999E-2</v>
      </c>
      <c r="J4" s="3">
        <v>2</v>
      </c>
      <c r="K4" s="244">
        <v>7.6999999999999999E-2</v>
      </c>
      <c r="L4" s="4">
        <v>20.64</v>
      </c>
      <c r="M4" s="7">
        <v>9</v>
      </c>
      <c r="N4" s="245">
        <v>0.34599999999999997</v>
      </c>
      <c r="O4" s="2" t="s">
        <v>14</v>
      </c>
      <c r="P4" s="2">
        <v>641</v>
      </c>
      <c r="Q4" s="310">
        <f t="shared" si="1"/>
        <v>31.2</v>
      </c>
      <c r="R4" s="4">
        <f t="shared" si="2"/>
        <v>3972.4320000000002</v>
      </c>
      <c r="S4" s="5">
        <v>126.53</v>
      </c>
      <c r="T4" s="7">
        <v>7</v>
      </c>
      <c r="U4" s="243">
        <v>0.26900000000000002</v>
      </c>
      <c r="V4" s="3">
        <v>1</v>
      </c>
      <c r="W4" s="44">
        <v>3.7999999999999999E-2</v>
      </c>
      <c r="X4" s="3">
        <v>2</v>
      </c>
      <c r="Y4" s="244">
        <v>7.6999999999999999E-2</v>
      </c>
      <c r="Z4" s="4">
        <f t="shared" si="0"/>
        <v>27.03</v>
      </c>
      <c r="AA4" s="7">
        <v>9</v>
      </c>
      <c r="AB4" s="245">
        <v>0.34599999999999997</v>
      </c>
    </row>
    <row r="5" spans="1:28">
      <c r="A5" s="12" t="s">
        <v>14</v>
      </c>
      <c r="B5" s="12">
        <v>717</v>
      </c>
      <c r="C5" s="3">
        <v>20</v>
      </c>
      <c r="D5" s="4">
        <v>2409.46</v>
      </c>
      <c r="E5" s="14">
        <v>120.37</v>
      </c>
      <c r="F5" s="7">
        <v>9.5</v>
      </c>
      <c r="G5" s="79">
        <v>0.47499999999999998</v>
      </c>
      <c r="H5" s="3">
        <v>2</v>
      </c>
      <c r="I5" s="246">
        <v>0.1</v>
      </c>
      <c r="J5" s="3">
        <v>1</v>
      </c>
      <c r="K5" s="73">
        <v>0.05</v>
      </c>
      <c r="L5" s="4">
        <v>2</v>
      </c>
      <c r="M5" s="7">
        <v>4</v>
      </c>
      <c r="N5" s="101">
        <v>0.2</v>
      </c>
      <c r="O5" s="12" t="s">
        <v>14</v>
      </c>
      <c r="P5" s="12">
        <v>717</v>
      </c>
      <c r="Q5" s="310">
        <f t="shared" si="1"/>
        <v>24</v>
      </c>
      <c r="R5" s="4">
        <f t="shared" si="2"/>
        <v>2891.3519999999999</v>
      </c>
      <c r="S5" s="14">
        <v>120.37</v>
      </c>
      <c r="T5" s="7">
        <v>9.5</v>
      </c>
      <c r="U5" s="79">
        <v>0.47499999999999998</v>
      </c>
      <c r="V5" s="3">
        <v>2</v>
      </c>
      <c r="W5" s="246">
        <v>0.1</v>
      </c>
      <c r="X5" s="3">
        <v>1</v>
      </c>
      <c r="Y5" s="73">
        <v>0.05</v>
      </c>
      <c r="Z5" s="4">
        <f t="shared" si="0"/>
        <v>8.39</v>
      </c>
      <c r="AA5" s="7">
        <v>4</v>
      </c>
      <c r="AB5" s="101">
        <v>0.2</v>
      </c>
    </row>
    <row r="6" spans="1:28">
      <c r="A6" s="2" t="s">
        <v>14</v>
      </c>
      <c r="B6" s="2">
        <v>843</v>
      </c>
      <c r="C6" s="3">
        <v>4</v>
      </c>
      <c r="D6" s="4">
        <v>442.12</v>
      </c>
      <c r="E6" s="5">
        <v>110.53</v>
      </c>
      <c r="F6" s="7">
        <v>0</v>
      </c>
      <c r="G6" s="24">
        <v>0</v>
      </c>
      <c r="H6" s="3">
        <v>0</v>
      </c>
      <c r="I6" s="24">
        <v>0</v>
      </c>
      <c r="J6" s="3">
        <v>0</v>
      </c>
      <c r="K6" s="24">
        <v>0</v>
      </c>
      <c r="L6" s="4">
        <v>0</v>
      </c>
      <c r="M6" s="7">
        <v>1</v>
      </c>
      <c r="N6" s="155">
        <v>0.25</v>
      </c>
      <c r="O6" s="2" t="s">
        <v>14</v>
      </c>
      <c r="P6" s="2">
        <v>843</v>
      </c>
      <c r="Q6" s="310">
        <f t="shared" si="1"/>
        <v>4.8</v>
      </c>
      <c r="R6" s="4">
        <f t="shared" si="2"/>
        <v>530.54399999999998</v>
      </c>
      <c r="S6" s="5">
        <v>110.53</v>
      </c>
      <c r="T6" s="7">
        <v>0</v>
      </c>
      <c r="U6" s="24">
        <v>0</v>
      </c>
      <c r="V6" s="3">
        <v>0</v>
      </c>
      <c r="W6" s="24">
        <v>0</v>
      </c>
      <c r="X6" s="3">
        <v>0</v>
      </c>
      <c r="Y6" s="24">
        <v>0</v>
      </c>
      <c r="Z6" s="4">
        <f t="shared" si="0"/>
        <v>6.39</v>
      </c>
      <c r="AA6" s="7">
        <v>1</v>
      </c>
      <c r="AB6" s="155">
        <v>0.25</v>
      </c>
    </row>
    <row r="7" spans="1:28">
      <c r="A7" s="12" t="s">
        <v>14</v>
      </c>
      <c r="B7" s="12">
        <v>881</v>
      </c>
      <c r="C7" s="3">
        <v>12</v>
      </c>
      <c r="D7" s="4">
        <v>1885.23</v>
      </c>
      <c r="E7" s="14">
        <v>155.69</v>
      </c>
      <c r="F7" s="7">
        <v>7</v>
      </c>
      <c r="G7" s="71">
        <v>0.58299999999999996</v>
      </c>
      <c r="H7" s="3">
        <v>2</v>
      </c>
      <c r="I7" s="31">
        <v>0.16700000000000001</v>
      </c>
      <c r="J7" s="3">
        <v>0</v>
      </c>
      <c r="K7" s="19">
        <v>0</v>
      </c>
      <c r="L7" s="4">
        <v>17</v>
      </c>
      <c r="M7" s="7">
        <v>1</v>
      </c>
      <c r="N7" s="247">
        <v>8.3000000000000004E-2</v>
      </c>
      <c r="O7" s="12" t="s">
        <v>14</v>
      </c>
      <c r="P7" s="12">
        <v>881</v>
      </c>
      <c r="Q7" s="310">
        <f t="shared" si="1"/>
        <v>14.4</v>
      </c>
      <c r="R7" s="4">
        <f t="shared" si="2"/>
        <v>2262.2759999999998</v>
      </c>
      <c r="S7" s="14">
        <v>155.69</v>
      </c>
      <c r="T7" s="7">
        <v>7</v>
      </c>
      <c r="U7" s="71">
        <v>0.58299999999999996</v>
      </c>
      <c r="V7" s="3">
        <v>2</v>
      </c>
      <c r="W7" s="31">
        <v>0.16700000000000001</v>
      </c>
      <c r="X7" s="3">
        <v>0</v>
      </c>
      <c r="Y7" s="19">
        <v>0</v>
      </c>
      <c r="Z7" s="4">
        <f t="shared" si="0"/>
        <v>23.39</v>
      </c>
      <c r="AA7" s="7">
        <v>1</v>
      </c>
      <c r="AB7" s="247">
        <v>8.3000000000000004E-2</v>
      </c>
    </row>
    <row r="8" spans="1:28">
      <c r="A8" s="2" t="s">
        <v>15</v>
      </c>
      <c r="B8" s="2">
        <v>18</v>
      </c>
      <c r="C8" s="3">
        <v>30</v>
      </c>
      <c r="D8" s="4">
        <v>3861.82</v>
      </c>
      <c r="E8" s="5">
        <v>128.72999999999999</v>
      </c>
      <c r="F8" s="7">
        <v>15</v>
      </c>
      <c r="G8" s="122">
        <v>0.5</v>
      </c>
      <c r="H8" s="3">
        <v>1</v>
      </c>
      <c r="I8" s="181">
        <v>3.3000000000000002E-2</v>
      </c>
      <c r="J8" s="3">
        <v>0</v>
      </c>
      <c r="K8" s="24">
        <v>0</v>
      </c>
      <c r="L8" s="4">
        <v>0</v>
      </c>
      <c r="M8" s="7">
        <v>5</v>
      </c>
      <c r="N8" s="248">
        <v>0.16700000000000001</v>
      </c>
      <c r="O8" s="2" t="s">
        <v>15</v>
      </c>
      <c r="P8" s="2">
        <v>18</v>
      </c>
      <c r="Q8" s="310">
        <f t="shared" si="1"/>
        <v>36</v>
      </c>
      <c r="R8" s="4">
        <f t="shared" si="2"/>
        <v>4634.1840000000002</v>
      </c>
      <c r="S8" s="5">
        <v>128.72999999999999</v>
      </c>
      <c r="T8" s="7">
        <v>15</v>
      </c>
      <c r="U8" s="122">
        <v>0.5</v>
      </c>
      <c r="V8" s="3">
        <v>1</v>
      </c>
      <c r="W8" s="181">
        <v>3.3000000000000002E-2</v>
      </c>
      <c r="X8" s="3">
        <v>0</v>
      </c>
      <c r="Y8" s="24">
        <v>0</v>
      </c>
      <c r="Z8" s="4">
        <f t="shared" si="0"/>
        <v>6.39</v>
      </c>
      <c r="AA8" s="7">
        <v>5</v>
      </c>
      <c r="AB8" s="248">
        <v>0.16700000000000001</v>
      </c>
    </row>
    <row r="9" spans="1:28">
      <c r="A9" s="12" t="s">
        <v>15</v>
      </c>
      <c r="B9" s="12">
        <v>19</v>
      </c>
      <c r="C9" s="3">
        <v>21</v>
      </c>
      <c r="D9" s="4">
        <v>2693.35</v>
      </c>
      <c r="E9" s="14">
        <v>128.08000000000001</v>
      </c>
      <c r="F9" s="7">
        <v>8</v>
      </c>
      <c r="G9" s="249">
        <v>0.38100000000000001</v>
      </c>
      <c r="H9" s="3">
        <v>1</v>
      </c>
      <c r="I9" s="29">
        <v>4.8000000000000001E-2</v>
      </c>
      <c r="J9" s="3">
        <v>1</v>
      </c>
      <c r="K9" s="250">
        <v>4.8000000000000001E-2</v>
      </c>
      <c r="L9" s="4">
        <v>3.63</v>
      </c>
      <c r="M9" s="7">
        <v>11</v>
      </c>
      <c r="N9" s="251">
        <v>0.52400000000000002</v>
      </c>
      <c r="O9" s="12" t="s">
        <v>15</v>
      </c>
      <c r="P9" s="12">
        <v>19</v>
      </c>
      <c r="Q9" s="310">
        <f t="shared" si="1"/>
        <v>25.2</v>
      </c>
      <c r="R9" s="4">
        <f t="shared" si="2"/>
        <v>3232.02</v>
      </c>
      <c r="S9" s="14">
        <v>128.08000000000001</v>
      </c>
      <c r="T9" s="7">
        <v>8</v>
      </c>
      <c r="U9" s="249">
        <v>0.38100000000000001</v>
      </c>
      <c r="V9" s="3">
        <v>1</v>
      </c>
      <c r="W9" s="29">
        <v>4.8000000000000001E-2</v>
      </c>
      <c r="X9" s="3">
        <v>1</v>
      </c>
      <c r="Y9" s="250">
        <v>4.8000000000000001E-2</v>
      </c>
      <c r="Z9" s="4">
        <f t="shared" si="0"/>
        <v>10.02</v>
      </c>
      <c r="AA9" s="7">
        <v>11</v>
      </c>
      <c r="AB9" s="251">
        <v>0.52400000000000002</v>
      </c>
    </row>
    <row r="10" spans="1:28">
      <c r="A10" s="2" t="s">
        <v>15</v>
      </c>
      <c r="B10" s="2">
        <v>282</v>
      </c>
      <c r="C10" s="3">
        <v>9</v>
      </c>
      <c r="D10" s="4">
        <v>1111.24</v>
      </c>
      <c r="E10" s="5">
        <v>123.47</v>
      </c>
      <c r="F10" s="7">
        <v>2</v>
      </c>
      <c r="G10" s="252">
        <v>0.222</v>
      </c>
      <c r="H10" s="3">
        <v>0</v>
      </c>
      <c r="I10" s="24">
        <v>0</v>
      </c>
      <c r="J10" s="3">
        <v>0</v>
      </c>
      <c r="K10" s="24">
        <v>0</v>
      </c>
      <c r="L10" s="4">
        <v>0</v>
      </c>
      <c r="M10" s="7">
        <v>6</v>
      </c>
      <c r="N10" s="28">
        <v>0.66700000000000004</v>
      </c>
      <c r="O10" s="2" t="s">
        <v>15</v>
      </c>
      <c r="P10" s="2">
        <v>282</v>
      </c>
      <c r="Q10" s="310">
        <f t="shared" si="1"/>
        <v>10.8</v>
      </c>
      <c r="R10" s="4">
        <f t="shared" si="2"/>
        <v>1333.4880000000001</v>
      </c>
      <c r="S10" s="5">
        <v>123.47</v>
      </c>
      <c r="T10" s="7">
        <v>2</v>
      </c>
      <c r="U10" s="252">
        <v>0.222</v>
      </c>
      <c r="V10" s="3">
        <v>0</v>
      </c>
      <c r="W10" s="24">
        <v>0</v>
      </c>
      <c r="X10" s="3">
        <v>0</v>
      </c>
      <c r="Y10" s="24">
        <v>0</v>
      </c>
      <c r="Z10" s="4">
        <f t="shared" si="0"/>
        <v>6.39</v>
      </c>
      <c r="AA10" s="7">
        <v>6</v>
      </c>
      <c r="AB10" s="28">
        <v>0.66700000000000004</v>
      </c>
    </row>
    <row r="11" spans="1:28">
      <c r="A11" s="12" t="s">
        <v>15</v>
      </c>
      <c r="B11" s="12">
        <v>447</v>
      </c>
      <c r="C11" s="3">
        <v>28</v>
      </c>
      <c r="D11" s="4">
        <v>3241.48</v>
      </c>
      <c r="E11" s="14">
        <v>115.77</v>
      </c>
      <c r="F11" s="7">
        <v>6.5</v>
      </c>
      <c r="G11" s="108">
        <v>0.23200000000000001</v>
      </c>
      <c r="H11" s="3">
        <v>1</v>
      </c>
      <c r="I11" s="253">
        <v>3.5999999999999997E-2</v>
      </c>
      <c r="J11" s="3">
        <v>0</v>
      </c>
      <c r="K11" s="19">
        <v>0</v>
      </c>
      <c r="L11" s="4">
        <v>0</v>
      </c>
      <c r="M11" s="7">
        <v>8</v>
      </c>
      <c r="N11" s="203">
        <v>0.28599999999999998</v>
      </c>
      <c r="O11" s="12" t="s">
        <v>15</v>
      </c>
      <c r="P11" s="12">
        <v>447</v>
      </c>
      <c r="Q11" s="310">
        <f t="shared" si="1"/>
        <v>33.6</v>
      </c>
      <c r="R11" s="4">
        <f t="shared" si="2"/>
        <v>3889.7759999999998</v>
      </c>
      <c r="S11" s="14">
        <v>115.77</v>
      </c>
      <c r="T11" s="7">
        <v>6.5</v>
      </c>
      <c r="U11" s="108">
        <v>0.23200000000000001</v>
      </c>
      <c r="V11" s="3">
        <v>1</v>
      </c>
      <c r="W11" s="253">
        <v>3.5999999999999997E-2</v>
      </c>
      <c r="X11" s="3">
        <v>0</v>
      </c>
      <c r="Y11" s="19">
        <v>0</v>
      </c>
      <c r="Z11" s="4">
        <f t="shared" si="0"/>
        <v>6.39</v>
      </c>
      <c r="AA11" s="7">
        <v>8</v>
      </c>
      <c r="AB11" s="203">
        <v>0.28599999999999998</v>
      </c>
    </row>
    <row r="12" spans="1:28">
      <c r="A12" s="2" t="s">
        <v>15</v>
      </c>
      <c r="B12" s="2">
        <v>448</v>
      </c>
      <c r="C12" s="3">
        <v>24</v>
      </c>
      <c r="D12" s="4">
        <v>3076.99</v>
      </c>
      <c r="E12" s="5">
        <v>128</v>
      </c>
      <c r="F12" s="7">
        <v>12</v>
      </c>
      <c r="G12" s="122">
        <v>0.5</v>
      </c>
      <c r="H12" s="3">
        <v>0</v>
      </c>
      <c r="I12" s="24">
        <v>0</v>
      </c>
      <c r="J12" s="3">
        <v>0</v>
      </c>
      <c r="K12" s="24">
        <v>0</v>
      </c>
      <c r="L12" s="4">
        <v>5</v>
      </c>
      <c r="M12" s="7">
        <v>3</v>
      </c>
      <c r="N12" s="169">
        <v>0.125</v>
      </c>
      <c r="O12" s="2" t="s">
        <v>15</v>
      </c>
      <c r="P12" s="2">
        <v>448</v>
      </c>
      <c r="Q12" s="310">
        <f t="shared" si="1"/>
        <v>28.8</v>
      </c>
      <c r="R12" s="4">
        <f t="shared" si="2"/>
        <v>3692.3879999999999</v>
      </c>
      <c r="S12" s="5">
        <v>128</v>
      </c>
      <c r="T12" s="7">
        <v>12</v>
      </c>
      <c r="U12" s="122">
        <v>0.5</v>
      </c>
      <c r="V12" s="3">
        <v>0</v>
      </c>
      <c r="W12" s="24">
        <v>0</v>
      </c>
      <c r="X12" s="3">
        <v>0</v>
      </c>
      <c r="Y12" s="24">
        <v>0</v>
      </c>
      <c r="Z12" s="4">
        <f t="shared" si="0"/>
        <v>11.39</v>
      </c>
      <c r="AA12" s="7">
        <v>3</v>
      </c>
      <c r="AB12" s="169">
        <v>0.125</v>
      </c>
    </row>
    <row r="13" spans="1:28">
      <c r="A13" s="12" t="s">
        <v>15</v>
      </c>
      <c r="B13" s="12">
        <v>531</v>
      </c>
      <c r="C13" s="3">
        <v>5</v>
      </c>
      <c r="D13" s="4">
        <v>578.99</v>
      </c>
      <c r="E13" s="14">
        <v>115.8</v>
      </c>
      <c r="F13" s="7">
        <v>3</v>
      </c>
      <c r="G13" s="190">
        <v>0.6</v>
      </c>
      <c r="H13" s="3">
        <v>0</v>
      </c>
      <c r="I13" s="19">
        <v>0</v>
      </c>
      <c r="J13" s="3">
        <v>0</v>
      </c>
      <c r="K13" s="19">
        <v>0</v>
      </c>
      <c r="L13" s="4">
        <v>0</v>
      </c>
      <c r="M13" s="7">
        <v>1</v>
      </c>
      <c r="N13" s="101">
        <v>0.2</v>
      </c>
      <c r="O13" s="12" t="s">
        <v>15</v>
      </c>
      <c r="P13" s="12">
        <v>531</v>
      </c>
      <c r="Q13" s="310">
        <f t="shared" si="1"/>
        <v>6</v>
      </c>
      <c r="R13" s="4">
        <f t="shared" si="2"/>
        <v>694.78800000000001</v>
      </c>
      <c r="S13" s="14">
        <v>115.8</v>
      </c>
      <c r="T13" s="7">
        <v>3</v>
      </c>
      <c r="U13" s="190">
        <v>0.6</v>
      </c>
      <c r="V13" s="3">
        <v>0</v>
      </c>
      <c r="W13" s="19">
        <v>0</v>
      </c>
      <c r="X13" s="3">
        <v>0</v>
      </c>
      <c r="Y13" s="19">
        <v>0</v>
      </c>
      <c r="Z13" s="4">
        <f t="shared" si="0"/>
        <v>6.39</v>
      </c>
      <c r="AA13" s="7">
        <v>1</v>
      </c>
      <c r="AB13" s="101">
        <v>0.2</v>
      </c>
    </row>
    <row r="14" spans="1:28">
      <c r="A14" s="2" t="s">
        <v>15</v>
      </c>
      <c r="B14" s="2">
        <v>832</v>
      </c>
      <c r="C14" s="3">
        <v>22</v>
      </c>
      <c r="D14" s="4">
        <v>3875.72</v>
      </c>
      <c r="E14" s="5">
        <v>176.17</v>
      </c>
      <c r="F14" s="7">
        <v>12</v>
      </c>
      <c r="G14" s="150">
        <v>0.54500000000000004</v>
      </c>
      <c r="H14" s="3">
        <v>1</v>
      </c>
      <c r="I14" s="59">
        <v>4.4999999999999998E-2</v>
      </c>
      <c r="J14" s="3">
        <v>0</v>
      </c>
      <c r="K14" s="24">
        <v>0</v>
      </c>
      <c r="L14" s="4">
        <v>0</v>
      </c>
      <c r="M14" s="7">
        <v>7</v>
      </c>
      <c r="N14" s="254">
        <v>0.318</v>
      </c>
      <c r="O14" s="2" t="s">
        <v>15</v>
      </c>
      <c r="P14" s="2">
        <v>832</v>
      </c>
      <c r="Q14" s="310">
        <f t="shared" si="1"/>
        <v>26.4</v>
      </c>
      <c r="R14" s="4">
        <f t="shared" si="2"/>
        <v>4650.8639999999996</v>
      </c>
      <c r="S14" s="5">
        <v>176.17</v>
      </c>
      <c r="T14" s="7">
        <v>12</v>
      </c>
      <c r="U14" s="150">
        <v>0.54500000000000004</v>
      </c>
      <c r="V14" s="3">
        <v>1</v>
      </c>
      <c r="W14" s="59">
        <v>4.4999999999999998E-2</v>
      </c>
      <c r="X14" s="3">
        <v>0</v>
      </c>
      <c r="Y14" s="24">
        <v>0</v>
      </c>
      <c r="Z14" s="4">
        <f t="shared" si="0"/>
        <v>6.39</v>
      </c>
      <c r="AA14" s="7">
        <v>7</v>
      </c>
      <c r="AB14" s="254">
        <v>0.318</v>
      </c>
    </row>
    <row r="15" spans="1:28">
      <c r="A15" s="12" t="s">
        <v>16</v>
      </c>
      <c r="B15" s="12">
        <v>3</v>
      </c>
      <c r="C15" s="3">
        <v>20</v>
      </c>
      <c r="D15" s="4">
        <v>3220.47</v>
      </c>
      <c r="E15" s="14">
        <v>161.02000000000001</v>
      </c>
      <c r="F15" s="7">
        <v>13.5</v>
      </c>
      <c r="G15" s="119">
        <v>0.67500000000000004</v>
      </c>
      <c r="H15" s="3">
        <v>2</v>
      </c>
      <c r="I15" s="246">
        <v>0.1</v>
      </c>
      <c r="J15" s="3">
        <v>1</v>
      </c>
      <c r="K15" s="73">
        <v>0.05</v>
      </c>
      <c r="L15" s="3"/>
      <c r="M15" s="7">
        <v>5</v>
      </c>
      <c r="N15" s="255">
        <v>0.25</v>
      </c>
      <c r="O15" s="12" t="s">
        <v>16</v>
      </c>
      <c r="P15" s="12">
        <v>3</v>
      </c>
      <c r="Q15" s="310">
        <f t="shared" si="1"/>
        <v>24</v>
      </c>
      <c r="R15" s="4">
        <f t="shared" si="2"/>
        <v>3864.5639999999999</v>
      </c>
      <c r="S15" s="14">
        <v>161.02000000000001</v>
      </c>
      <c r="T15" s="7">
        <v>13.5</v>
      </c>
      <c r="U15" s="119">
        <v>0.67500000000000004</v>
      </c>
      <c r="V15" s="3">
        <v>2</v>
      </c>
      <c r="W15" s="246">
        <v>0.1</v>
      </c>
      <c r="X15" s="3">
        <v>1</v>
      </c>
      <c r="Y15" s="73">
        <v>0.05</v>
      </c>
      <c r="Z15" s="4">
        <f t="shared" si="0"/>
        <v>6.39</v>
      </c>
      <c r="AA15" s="7">
        <v>5</v>
      </c>
      <c r="AB15" s="255">
        <v>0.25</v>
      </c>
    </row>
    <row r="16" spans="1:28">
      <c r="A16" s="2" t="s">
        <v>16</v>
      </c>
      <c r="B16" s="2">
        <v>5</v>
      </c>
      <c r="C16" s="3">
        <v>31</v>
      </c>
      <c r="D16" s="4">
        <v>3748.33</v>
      </c>
      <c r="E16" s="5">
        <v>120.91</v>
      </c>
      <c r="F16" s="7">
        <v>16</v>
      </c>
      <c r="G16" s="58">
        <v>0.51600000000000001</v>
      </c>
      <c r="H16" s="3">
        <v>2</v>
      </c>
      <c r="I16" s="132">
        <v>6.5000000000000002E-2</v>
      </c>
      <c r="J16" s="3"/>
      <c r="K16" s="24">
        <v>0</v>
      </c>
      <c r="L16" s="3"/>
      <c r="M16" s="7">
        <v>4</v>
      </c>
      <c r="N16" s="96">
        <v>0.129</v>
      </c>
      <c r="O16" s="2" t="s">
        <v>16</v>
      </c>
      <c r="P16" s="2">
        <v>5</v>
      </c>
      <c r="Q16" s="310">
        <f t="shared" si="1"/>
        <v>37.200000000000003</v>
      </c>
      <c r="R16" s="4">
        <f t="shared" si="2"/>
        <v>4497.9960000000001</v>
      </c>
      <c r="S16" s="5">
        <v>120.91</v>
      </c>
      <c r="T16" s="7">
        <v>16</v>
      </c>
      <c r="U16" s="58">
        <v>0.51600000000000001</v>
      </c>
      <c r="V16" s="3">
        <v>2</v>
      </c>
      <c r="W16" s="132">
        <v>6.5000000000000002E-2</v>
      </c>
      <c r="X16" s="3"/>
      <c r="Y16" s="24">
        <v>0</v>
      </c>
      <c r="Z16" s="4">
        <f t="shared" si="0"/>
        <v>6.39</v>
      </c>
      <c r="AA16" s="7">
        <v>4</v>
      </c>
      <c r="AB16" s="96">
        <v>0.129</v>
      </c>
    </row>
    <row r="17" spans="1:28">
      <c r="A17" s="12" t="s">
        <v>16</v>
      </c>
      <c r="B17" s="12">
        <v>11</v>
      </c>
      <c r="C17" s="3">
        <v>20</v>
      </c>
      <c r="D17" s="4">
        <v>3809.95</v>
      </c>
      <c r="E17" s="14">
        <v>187.9</v>
      </c>
      <c r="F17" s="7">
        <v>22</v>
      </c>
      <c r="G17" s="256">
        <v>1.1000000000000001</v>
      </c>
      <c r="H17" s="3">
        <v>2</v>
      </c>
      <c r="I17" s="246">
        <v>0.1</v>
      </c>
      <c r="J17" s="3">
        <v>2</v>
      </c>
      <c r="K17" s="31">
        <v>0.1</v>
      </c>
      <c r="L17" s="4">
        <v>52</v>
      </c>
      <c r="M17" s="7">
        <v>5</v>
      </c>
      <c r="N17" s="255">
        <v>0.25</v>
      </c>
      <c r="O17" s="12" t="s">
        <v>16</v>
      </c>
      <c r="P17" s="12">
        <v>11</v>
      </c>
      <c r="Q17" s="310">
        <f t="shared" si="1"/>
        <v>24</v>
      </c>
      <c r="R17" s="4">
        <f t="shared" si="2"/>
        <v>4571.9399999999996</v>
      </c>
      <c r="S17" s="14">
        <v>187.9</v>
      </c>
      <c r="T17" s="7">
        <v>22</v>
      </c>
      <c r="U17" s="256">
        <v>1.1000000000000001</v>
      </c>
      <c r="V17" s="3">
        <v>2</v>
      </c>
      <c r="W17" s="246">
        <v>0.1</v>
      </c>
      <c r="X17" s="3">
        <v>2</v>
      </c>
      <c r="Y17" s="31">
        <v>0.1</v>
      </c>
      <c r="Z17" s="4">
        <f t="shared" si="0"/>
        <v>58.39</v>
      </c>
      <c r="AA17" s="7">
        <v>5</v>
      </c>
      <c r="AB17" s="255">
        <v>0.25</v>
      </c>
    </row>
    <row r="18" spans="1:28">
      <c r="A18" s="2" t="s">
        <v>16</v>
      </c>
      <c r="B18" s="2">
        <v>14</v>
      </c>
      <c r="C18" s="3">
        <v>20</v>
      </c>
      <c r="D18" s="4">
        <v>2410.3200000000002</v>
      </c>
      <c r="E18" s="5">
        <v>120.52</v>
      </c>
      <c r="F18" s="7">
        <v>8</v>
      </c>
      <c r="G18" s="182">
        <v>0.4</v>
      </c>
      <c r="H18" s="3"/>
      <c r="I18" s="24">
        <v>0</v>
      </c>
      <c r="J18" s="3"/>
      <c r="K18" s="24">
        <v>0</v>
      </c>
      <c r="L18" s="3"/>
      <c r="M18" s="7">
        <v>2</v>
      </c>
      <c r="N18" s="257">
        <v>0.1</v>
      </c>
      <c r="O18" s="2" t="s">
        <v>16</v>
      </c>
      <c r="P18" s="2">
        <v>14</v>
      </c>
      <c r="Q18" s="310">
        <f t="shared" si="1"/>
        <v>24</v>
      </c>
      <c r="R18" s="4">
        <f t="shared" si="2"/>
        <v>2892.384</v>
      </c>
      <c r="S18" s="5">
        <v>120.52</v>
      </c>
      <c r="T18" s="7">
        <v>8</v>
      </c>
      <c r="U18" s="182">
        <v>0.4</v>
      </c>
      <c r="V18" s="3"/>
      <c r="W18" s="24">
        <v>0</v>
      </c>
      <c r="X18" s="3"/>
      <c r="Y18" s="24">
        <v>0</v>
      </c>
      <c r="Z18" s="4">
        <f t="shared" si="0"/>
        <v>6.39</v>
      </c>
      <c r="AA18" s="7">
        <v>2</v>
      </c>
      <c r="AB18" s="257">
        <v>0.1</v>
      </c>
    </row>
    <row r="19" spans="1:28">
      <c r="A19" s="12" t="s">
        <v>16</v>
      </c>
      <c r="B19" s="12">
        <v>20</v>
      </c>
      <c r="C19" s="3">
        <v>34</v>
      </c>
      <c r="D19" s="4">
        <v>3642.87</v>
      </c>
      <c r="E19" s="14">
        <v>106.33</v>
      </c>
      <c r="F19" s="7">
        <v>12</v>
      </c>
      <c r="G19" s="219">
        <v>0.35299999999999998</v>
      </c>
      <c r="H19" s="3">
        <v>1</v>
      </c>
      <c r="I19" s="258">
        <v>2.9000000000000001E-2</v>
      </c>
      <c r="J19" s="3">
        <v>2</v>
      </c>
      <c r="K19" s="40">
        <v>5.8999999999999997E-2</v>
      </c>
      <c r="L19" s="4">
        <v>27.5</v>
      </c>
      <c r="M19" s="7">
        <v>2</v>
      </c>
      <c r="N19" s="259">
        <v>5.8999999999999997E-2</v>
      </c>
      <c r="O19" s="12" t="s">
        <v>16</v>
      </c>
      <c r="P19" s="12">
        <v>20</v>
      </c>
      <c r="Q19" s="310">
        <f t="shared" si="1"/>
        <v>40.799999999999997</v>
      </c>
      <c r="R19" s="4">
        <f t="shared" si="2"/>
        <v>4371.4439999999995</v>
      </c>
      <c r="S19" s="14">
        <v>106.33</v>
      </c>
      <c r="T19" s="7">
        <v>12</v>
      </c>
      <c r="U19" s="219">
        <v>0.35299999999999998</v>
      </c>
      <c r="V19" s="3">
        <v>1</v>
      </c>
      <c r="W19" s="258">
        <v>2.9000000000000001E-2</v>
      </c>
      <c r="X19" s="3">
        <v>2</v>
      </c>
      <c r="Y19" s="40">
        <v>5.8999999999999997E-2</v>
      </c>
      <c r="Z19" s="4">
        <f t="shared" si="0"/>
        <v>33.89</v>
      </c>
      <c r="AA19" s="7">
        <v>2</v>
      </c>
      <c r="AB19" s="259">
        <v>5.8999999999999997E-2</v>
      </c>
    </row>
    <row r="20" spans="1:28">
      <c r="A20" s="2" t="s">
        <v>16</v>
      </c>
      <c r="B20" s="2">
        <v>21</v>
      </c>
      <c r="C20" s="3">
        <v>53</v>
      </c>
      <c r="D20" s="4">
        <v>6893.2</v>
      </c>
      <c r="E20" s="5">
        <v>130.06</v>
      </c>
      <c r="F20" s="7">
        <v>30</v>
      </c>
      <c r="G20" s="261">
        <v>0.56599999999999995</v>
      </c>
      <c r="H20" s="3">
        <v>2</v>
      </c>
      <c r="I20" s="113">
        <v>3.7999999999999999E-2</v>
      </c>
      <c r="J20" s="3">
        <v>1</v>
      </c>
      <c r="K20" s="49">
        <v>1.9E-2</v>
      </c>
      <c r="L20" s="3"/>
      <c r="M20" s="7">
        <v>4</v>
      </c>
      <c r="N20" s="262">
        <v>7.4999999999999997E-2</v>
      </c>
      <c r="O20" s="2" t="s">
        <v>16</v>
      </c>
      <c r="P20" s="2">
        <v>21</v>
      </c>
      <c r="Q20" s="310">
        <f t="shared" si="1"/>
        <v>63.6</v>
      </c>
      <c r="R20" s="4">
        <f t="shared" si="2"/>
        <v>8271.84</v>
      </c>
      <c r="S20" s="5">
        <v>130.06</v>
      </c>
      <c r="T20" s="7">
        <v>30</v>
      </c>
      <c r="U20" s="261">
        <v>0.56599999999999995</v>
      </c>
      <c r="V20" s="3">
        <v>2</v>
      </c>
      <c r="W20" s="113">
        <v>3.7999999999999999E-2</v>
      </c>
      <c r="X20" s="3">
        <v>1</v>
      </c>
      <c r="Y20" s="49">
        <v>1.9E-2</v>
      </c>
      <c r="Z20" s="4">
        <f t="shared" si="0"/>
        <v>6.39</v>
      </c>
      <c r="AA20" s="7">
        <v>4</v>
      </c>
      <c r="AB20" s="262">
        <v>7.4999999999999997E-2</v>
      </c>
    </row>
    <row r="21" spans="1:28">
      <c r="A21" s="12" t="s">
        <v>16</v>
      </c>
      <c r="B21" s="12">
        <v>23</v>
      </c>
      <c r="C21" s="3">
        <v>31</v>
      </c>
      <c r="D21" s="4">
        <v>3570.03</v>
      </c>
      <c r="E21" s="14">
        <v>114.23</v>
      </c>
      <c r="F21" s="7">
        <v>9</v>
      </c>
      <c r="G21" s="263">
        <v>0.28999999999999998</v>
      </c>
      <c r="H21" s="3"/>
      <c r="I21" s="19">
        <v>0</v>
      </c>
      <c r="J21" s="3">
        <v>2</v>
      </c>
      <c r="K21" s="264">
        <v>6.5000000000000002E-2</v>
      </c>
      <c r="L21" s="4">
        <v>29</v>
      </c>
      <c r="M21" s="7">
        <v>2</v>
      </c>
      <c r="N21" s="265">
        <v>6.5000000000000002E-2</v>
      </c>
      <c r="O21" s="12" t="s">
        <v>16</v>
      </c>
      <c r="P21" s="12">
        <v>23</v>
      </c>
      <c r="Q21" s="310">
        <f t="shared" si="1"/>
        <v>37.200000000000003</v>
      </c>
      <c r="R21" s="4">
        <f t="shared" si="2"/>
        <v>4284.0360000000001</v>
      </c>
      <c r="S21" s="14">
        <v>114.23</v>
      </c>
      <c r="T21" s="7">
        <v>9</v>
      </c>
      <c r="U21" s="263">
        <v>0.28999999999999998</v>
      </c>
      <c r="V21" s="3"/>
      <c r="W21" s="19">
        <v>0</v>
      </c>
      <c r="X21" s="3">
        <v>2</v>
      </c>
      <c r="Y21" s="264">
        <v>6.5000000000000002E-2</v>
      </c>
      <c r="Z21" s="4">
        <f t="shared" si="0"/>
        <v>35.39</v>
      </c>
      <c r="AA21" s="7">
        <v>2</v>
      </c>
      <c r="AB21" s="265">
        <v>6.5000000000000002E-2</v>
      </c>
    </row>
    <row r="22" spans="1:28">
      <c r="A22" s="2" t="s">
        <v>16</v>
      </c>
      <c r="B22" s="2">
        <v>24</v>
      </c>
      <c r="C22" s="3">
        <v>35</v>
      </c>
      <c r="D22" s="4">
        <v>5051.78</v>
      </c>
      <c r="E22" s="2" t="e">
        <v>#VALUE!</v>
      </c>
      <c r="F22" s="7">
        <v>19</v>
      </c>
      <c r="G22" s="150">
        <v>0.54300000000000004</v>
      </c>
      <c r="H22" s="3">
        <v>1</v>
      </c>
      <c r="I22" s="105">
        <v>2.9000000000000001E-2</v>
      </c>
      <c r="J22" s="3">
        <v>1</v>
      </c>
      <c r="K22" s="221">
        <v>2.9000000000000001E-2</v>
      </c>
      <c r="L22" s="3" t="s">
        <v>21</v>
      </c>
      <c r="M22" s="7">
        <v>10</v>
      </c>
      <c r="N22" s="240">
        <v>0.28599999999999998</v>
      </c>
      <c r="O22" s="2" t="s">
        <v>16</v>
      </c>
      <c r="P22" s="2">
        <v>24</v>
      </c>
      <c r="Q22" s="310">
        <f t="shared" si="1"/>
        <v>42</v>
      </c>
      <c r="R22" s="4">
        <f t="shared" si="2"/>
        <v>6062.1359999999995</v>
      </c>
      <c r="S22" s="2" t="e">
        <v>#VALUE!</v>
      </c>
      <c r="T22" s="7">
        <v>19</v>
      </c>
      <c r="U22" s="150">
        <v>0.54300000000000004</v>
      </c>
      <c r="V22" s="3">
        <v>1</v>
      </c>
      <c r="W22" s="105">
        <v>2.9000000000000001E-2</v>
      </c>
      <c r="X22" s="3">
        <v>1</v>
      </c>
      <c r="Y22" s="221">
        <v>2.9000000000000001E-2</v>
      </c>
      <c r="Z22" s="4" t="e">
        <f t="shared" si="0"/>
        <v>#VALUE!</v>
      </c>
      <c r="AA22" s="7">
        <v>10</v>
      </c>
      <c r="AB22" s="240">
        <v>0.28599999999999998</v>
      </c>
    </row>
    <row r="23" spans="1:28">
      <c r="A23" s="12" t="s">
        <v>16</v>
      </c>
      <c r="B23" s="12">
        <v>26</v>
      </c>
      <c r="C23" s="3">
        <v>22</v>
      </c>
      <c r="D23" s="4">
        <v>2757.32</v>
      </c>
      <c r="E23" s="14">
        <v>125.06</v>
      </c>
      <c r="F23" s="7">
        <v>13</v>
      </c>
      <c r="G23" s="127">
        <v>0.59099999999999997</v>
      </c>
      <c r="H23" s="3">
        <v>2</v>
      </c>
      <c r="I23" s="118">
        <v>9.0999999999999998E-2</v>
      </c>
      <c r="J23" s="3">
        <v>0</v>
      </c>
      <c r="K23" s="19">
        <v>0</v>
      </c>
      <c r="L23" s="4">
        <v>6</v>
      </c>
      <c r="M23" s="7">
        <v>5</v>
      </c>
      <c r="N23" s="267">
        <v>0.22700000000000001</v>
      </c>
      <c r="O23" s="12" t="s">
        <v>16</v>
      </c>
      <c r="P23" s="12">
        <v>26</v>
      </c>
      <c r="Q23" s="310">
        <f t="shared" si="1"/>
        <v>26.4</v>
      </c>
      <c r="R23" s="4">
        <f t="shared" si="2"/>
        <v>3308.7840000000001</v>
      </c>
      <c r="S23" s="14">
        <v>125.06</v>
      </c>
      <c r="T23" s="7">
        <v>13</v>
      </c>
      <c r="U23" s="127">
        <v>0.59099999999999997</v>
      </c>
      <c r="V23" s="3">
        <v>2</v>
      </c>
      <c r="W23" s="118">
        <v>9.0999999999999998E-2</v>
      </c>
      <c r="X23" s="3">
        <v>0</v>
      </c>
      <c r="Y23" s="19">
        <v>0</v>
      </c>
      <c r="Z23" s="4">
        <f t="shared" si="0"/>
        <v>12.39</v>
      </c>
      <c r="AA23" s="7">
        <v>5</v>
      </c>
      <c r="AB23" s="267">
        <v>0.22700000000000001</v>
      </c>
    </row>
    <row r="24" spans="1:28">
      <c r="A24" s="2" t="s">
        <v>17</v>
      </c>
      <c r="B24" s="2">
        <v>46</v>
      </c>
      <c r="C24" s="3">
        <v>29</v>
      </c>
      <c r="D24" s="4">
        <v>3688.21</v>
      </c>
      <c r="E24" s="5">
        <v>126.9</v>
      </c>
      <c r="F24" s="7">
        <v>15</v>
      </c>
      <c r="G24" s="58">
        <v>0.51700000000000002</v>
      </c>
      <c r="H24" s="3">
        <v>0</v>
      </c>
      <c r="I24" s="24">
        <v>0</v>
      </c>
      <c r="J24" s="3">
        <v>0</v>
      </c>
      <c r="K24" s="24">
        <v>0</v>
      </c>
      <c r="L24" s="4">
        <v>8</v>
      </c>
      <c r="M24" s="7">
        <v>4</v>
      </c>
      <c r="N24" s="268">
        <v>0.13800000000000001</v>
      </c>
      <c r="O24" s="2" t="s">
        <v>17</v>
      </c>
      <c r="P24" s="2">
        <v>46</v>
      </c>
      <c r="Q24" s="310">
        <f t="shared" si="1"/>
        <v>34.799999999999997</v>
      </c>
      <c r="R24" s="4">
        <f t="shared" si="2"/>
        <v>4425.8519999999999</v>
      </c>
      <c r="S24" s="5">
        <v>126.9</v>
      </c>
      <c r="T24" s="7">
        <v>15</v>
      </c>
      <c r="U24" s="58">
        <v>0.51700000000000002</v>
      </c>
      <c r="V24" s="3">
        <v>0</v>
      </c>
      <c r="W24" s="24">
        <v>0</v>
      </c>
      <c r="X24" s="3">
        <v>0</v>
      </c>
      <c r="Y24" s="24">
        <v>0</v>
      </c>
      <c r="Z24" s="4">
        <f t="shared" si="0"/>
        <v>14.39</v>
      </c>
      <c r="AA24" s="7">
        <v>4</v>
      </c>
      <c r="AB24" s="268">
        <v>0.13800000000000001</v>
      </c>
    </row>
    <row r="25" spans="1:28">
      <c r="A25" s="12" t="s">
        <v>17</v>
      </c>
      <c r="B25" s="12">
        <v>283</v>
      </c>
      <c r="C25" s="3">
        <v>25</v>
      </c>
      <c r="D25" s="4">
        <v>3539.99</v>
      </c>
      <c r="E25" s="14">
        <v>141.6</v>
      </c>
      <c r="F25" s="7">
        <v>9</v>
      </c>
      <c r="G25" s="166">
        <v>0.36</v>
      </c>
      <c r="H25" s="3">
        <v>2</v>
      </c>
      <c r="I25" s="179">
        <v>0.08</v>
      </c>
      <c r="J25" s="3">
        <v>0</v>
      </c>
      <c r="K25" s="19">
        <v>0</v>
      </c>
      <c r="L25" s="4">
        <v>0</v>
      </c>
      <c r="M25" s="7">
        <v>15</v>
      </c>
      <c r="N25" s="269">
        <v>0.6</v>
      </c>
      <c r="O25" s="12" t="s">
        <v>17</v>
      </c>
      <c r="P25" s="12">
        <v>283</v>
      </c>
      <c r="Q25" s="310">
        <f t="shared" si="1"/>
        <v>30</v>
      </c>
      <c r="R25" s="4">
        <f t="shared" si="2"/>
        <v>4247.9879999999994</v>
      </c>
      <c r="S25" s="14">
        <v>141.6</v>
      </c>
      <c r="T25" s="7">
        <v>9</v>
      </c>
      <c r="U25" s="166">
        <v>0.36</v>
      </c>
      <c r="V25" s="3">
        <v>2</v>
      </c>
      <c r="W25" s="179">
        <v>0.08</v>
      </c>
      <c r="X25" s="3">
        <v>0</v>
      </c>
      <c r="Y25" s="19">
        <v>0</v>
      </c>
      <c r="Z25" s="4">
        <f t="shared" si="0"/>
        <v>6.39</v>
      </c>
      <c r="AA25" s="7">
        <v>15</v>
      </c>
      <c r="AB25" s="269">
        <v>0.6</v>
      </c>
    </row>
    <row r="26" spans="1:28">
      <c r="A26" s="2" t="s">
        <v>17</v>
      </c>
      <c r="B26" s="2">
        <v>847</v>
      </c>
      <c r="C26" s="3">
        <v>22</v>
      </c>
      <c r="D26" s="4">
        <v>3491.49</v>
      </c>
      <c r="E26" s="5">
        <v>158.47999999999999</v>
      </c>
      <c r="F26" s="7">
        <v>27</v>
      </c>
      <c r="G26" s="6">
        <v>1.2270000000000001</v>
      </c>
      <c r="H26" s="3">
        <v>3</v>
      </c>
      <c r="I26" s="244">
        <v>0.13600000000000001</v>
      </c>
      <c r="J26" s="3">
        <v>2</v>
      </c>
      <c r="K26" s="270">
        <v>9.0999999999999998E-2</v>
      </c>
      <c r="L26" s="4">
        <v>5</v>
      </c>
      <c r="M26" s="7">
        <v>9</v>
      </c>
      <c r="N26" s="271">
        <v>0.40899999999999997</v>
      </c>
      <c r="O26" s="2" t="s">
        <v>17</v>
      </c>
      <c r="P26" s="2">
        <v>847</v>
      </c>
      <c r="Q26" s="310">
        <f t="shared" si="1"/>
        <v>26.4</v>
      </c>
      <c r="R26" s="4">
        <f t="shared" si="2"/>
        <v>4189.7879999999996</v>
      </c>
      <c r="S26" s="5">
        <v>158.47999999999999</v>
      </c>
      <c r="T26" s="7">
        <v>27</v>
      </c>
      <c r="U26" s="6">
        <v>1.2270000000000001</v>
      </c>
      <c r="V26" s="3">
        <v>3</v>
      </c>
      <c r="W26" s="244">
        <v>0.13600000000000001</v>
      </c>
      <c r="X26" s="3">
        <v>2</v>
      </c>
      <c r="Y26" s="270">
        <v>9.0999999999999998E-2</v>
      </c>
      <c r="Z26" s="4">
        <f t="shared" si="0"/>
        <v>11.39</v>
      </c>
      <c r="AA26" s="7">
        <v>9</v>
      </c>
      <c r="AB26" s="271">
        <v>0.40899999999999997</v>
      </c>
    </row>
    <row r="27" spans="1:28">
      <c r="A27" s="12" t="s">
        <v>17</v>
      </c>
      <c r="B27" s="12">
        <v>865</v>
      </c>
      <c r="C27" s="3">
        <v>17</v>
      </c>
      <c r="D27" s="4">
        <v>1916.13</v>
      </c>
      <c r="E27" s="14">
        <v>112.71</v>
      </c>
      <c r="F27" s="7">
        <v>6</v>
      </c>
      <c r="G27" s="219">
        <v>0.35299999999999998</v>
      </c>
      <c r="H27" s="3">
        <v>0</v>
      </c>
      <c r="I27" s="19">
        <v>0</v>
      </c>
      <c r="J27" s="3">
        <v>0</v>
      </c>
      <c r="K27" s="19">
        <v>0</v>
      </c>
      <c r="L27" s="4">
        <v>0</v>
      </c>
      <c r="M27" s="7">
        <v>4</v>
      </c>
      <c r="N27" s="272">
        <v>0.23499999999999999</v>
      </c>
      <c r="O27" s="12" t="s">
        <v>17</v>
      </c>
      <c r="P27" s="12">
        <v>865</v>
      </c>
      <c r="Q27" s="310">
        <f t="shared" si="1"/>
        <v>20.399999999999999</v>
      </c>
      <c r="R27" s="4">
        <f t="shared" si="2"/>
        <v>2299.3560000000002</v>
      </c>
      <c r="S27" s="14">
        <v>112.71</v>
      </c>
      <c r="T27" s="7">
        <v>6</v>
      </c>
      <c r="U27" s="219">
        <v>0.35299999999999998</v>
      </c>
      <c r="V27" s="3">
        <v>0</v>
      </c>
      <c r="W27" s="19">
        <v>0</v>
      </c>
      <c r="X27" s="3">
        <v>0</v>
      </c>
      <c r="Y27" s="19">
        <v>0</v>
      </c>
      <c r="Z27" s="4">
        <f t="shared" si="0"/>
        <v>6.39</v>
      </c>
      <c r="AA27" s="7">
        <v>4</v>
      </c>
      <c r="AB27" s="272">
        <v>0.23499999999999999</v>
      </c>
    </row>
    <row r="28" spans="1:28">
      <c r="A28" s="2" t="s">
        <v>17</v>
      </c>
      <c r="B28" s="2">
        <v>919</v>
      </c>
      <c r="C28" s="3">
        <v>32</v>
      </c>
      <c r="D28" s="4">
        <v>4433.54</v>
      </c>
      <c r="E28" s="5">
        <v>137.91999999999999</v>
      </c>
      <c r="F28" s="7">
        <v>19</v>
      </c>
      <c r="G28" s="124">
        <v>0.59399999999999997</v>
      </c>
      <c r="H28" s="3">
        <v>5</v>
      </c>
      <c r="I28" s="273">
        <v>0.156</v>
      </c>
      <c r="J28" s="3">
        <v>1</v>
      </c>
      <c r="K28" s="50">
        <v>3.1E-2</v>
      </c>
      <c r="L28" s="4">
        <v>20</v>
      </c>
      <c r="M28" s="7">
        <v>5</v>
      </c>
      <c r="N28" s="274">
        <v>0.156</v>
      </c>
      <c r="O28" s="2" t="s">
        <v>17</v>
      </c>
      <c r="P28" s="2">
        <v>919</v>
      </c>
      <c r="Q28" s="310">
        <f t="shared" si="1"/>
        <v>38.4</v>
      </c>
      <c r="R28" s="4">
        <f t="shared" si="2"/>
        <v>5320.2479999999996</v>
      </c>
      <c r="S28" s="5">
        <v>137.91999999999999</v>
      </c>
      <c r="T28" s="7">
        <v>19</v>
      </c>
      <c r="U28" s="124">
        <v>0.59399999999999997</v>
      </c>
      <c r="V28" s="3">
        <v>5</v>
      </c>
      <c r="W28" s="273">
        <v>0.156</v>
      </c>
      <c r="X28" s="3">
        <v>1</v>
      </c>
      <c r="Y28" s="50">
        <v>3.1E-2</v>
      </c>
      <c r="Z28" s="4">
        <f t="shared" si="0"/>
        <v>26.39</v>
      </c>
      <c r="AA28" s="7">
        <v>5</v>
      </c>
      <c r="AB28" s="274">
        <v>0.156</v>
      </c>
    </row>
    <row r="29" spans="1:28">
      <c r="A29" s="12" t="s">
        <v>17</v>
      </c>
      <c r="B29" s="12">
        <v>954</v>
      </c>
      <c r="C29" s="3">
        <v>22</v>
      </c>
      <c r="D29" s="4">
        <v>2677.01</v>
      </c>
      <c r="E29" s="14">
        <v>121.68</v>
      </c>
      <c r="F29" s="7">
        <v>6</v>
      </c>
      <c r="G29" s="107">
        <v>0.27300000000000002</v>
      </c>
      <c r="H29" s="3">
        <v>1</v>
      </c>
      <c r="I29" s="191">
        <v>4.4999999999999998E-2</v>
      </c>
      <c r="J29" s="3">
        <v>0</v>
      </c>
      <c r="K29" s="19">
        <v>0</v>
      </c>
      <c r="L29" s="4">
        <v>0</v>
      </c>
      <c r="M29" s="7">
        <v>2</v>
      </c>
      <c r="N29" s="275">
        <v>9.0999999999999998E-2</v>
      </c>
      <c r="O29" s="12" t="s">
        <v>17</v>
      </c>
      <c r="P29" s="12">
        <v>954</v>
      </c>
      <c r="Q29" s="310">
        <f t="shared" si="1"/>
        <v>26.4</v>
      </c>
      <c r="R29" s="4">
        <f t="shared" si="2"/>
        <v>3212.4120000000003</v>
      </c>
      <c r="S29" s="14">
        <v>121.68</v>
      </c>
      <c r="T29" s="7">
        <v>6</v>
      </c>
      <c r="U29" s="107">
        <v>0.27300000000000002</v>
      </c>
      <c r="V29" s="3">
        <v>1</v>
      </c>
      <c r="W29" s="191">
        <v>4.4999999999999998E-2</v>
      </c>
      <c r="X29" s="3">
        <v>0</v>
      </c>
      <c r="Y29" s="19">
        <v>0</v>
      </c>
      <c r="Z29" s="4">
        <f t="shared" si="0"/>
        <v>6.39</v>
      </c>
      <c r="AA29" s="7">
        <v>2</v>
      </c>
      <c r="AB29" s="275">
        <v>9.0999999999999998E-2</v>
      </c>
    </row>
    <row r="30" spans="1:28">
      <c r="A30" s="2" t="s">
        <v>17</v>
      </c>
      <c r="B30" s="2">
        <v>3017</v>
      </c>
      <c r="C30" s="3">
        <v>12</v>
      </c>
      <c r="D30" s="4">
        <v>1300.08</v>
      </c>
      <c r="E30" s="5">
        <v>108.34</v>
      </c>
      <c r="F30" s="7">
        <v>3</v>
      </c>
      <c r="G30" s="266">
        <v>0.25</v>
      </c>
      <c r="H30" s="3">
        <v>0</v>
      </c>
      <c r="I30" s="24">
        <v>0</v>
      </c>
      <c r="J30" s="3">
        <v>0</v>
      </c>
      <c r="K30" s="24">
        <v>0</v>
      </c>
      <c r="L30" s="4">
        <v>0</v>
      </c>
      <c r="M30" s="7">
        <v>0</v>
      </c>
      <c r="N30" s="10">
        <v>0</v>
      </c>
      <c r="O30" s="2" t="s">
        <v>17</v>
      </c>
      <c r="P30" s="2">
        <v>3017</v>
      </c>
      <c r="Q30" s="310">
        <f t="shared" si="1"/>
        <v>14.4</v>
      </c>
      <c r="R30" s="4">
        <f t="shared" si="2"/>
        <v>1560.096</v>
      </c>
      <c r="S30" s="5">
        <v>108.34</v>
      </c>
      <c r="T30" s="7">
        <v>3</v>
      </c>
      <c r="U30" s="266">
        <v>0.25</v>
      </c>
      <c r="V30" s="3">
        <v>0</v>
      </c>
      <c r="W30" s="24">
        <v>0</v>
      </c>
      <c r="X30" s="3">
        <v>0</v>
      </c>
      <c r="Y30" s="24">
        <v>0</v>
      </c>
      <c r="Z30" s="4">
        <f t="shared" si="0"/>
        <v>6.39</v>
      </c>
      <c r="AA30" s="7">
        <v>0</v>
      </c>
      <c r="AB30" s="10">
        <v>0</v>
      </c>
    </row>
    <row r="31" spans="1:28">
      <c r="A31" s="12" t="s">
        <v>18</v>
      </c>
      <c r="B31" s="12">
        <v>29</v>
      </c>
      <c r="C31" s="3">
        <v>29</v>
      </c>
      <c r="D31" s="4">
        <v>3520.29</v>
      </c>
      <c r="E31" s="14">
        <v>121.11</v>
      </c>
      <c r="F31" s="7">
        <v>14</v>
      </c>
      <c r="G31" s="276">
        <v>0.48299999999999998</v>
      </c>
      <c r="H31" s="3">
        <v>0</v>
      </c>
      <c r="I31" s="19">
        <v>0</v>
      </c>
      <c r="J31" s="3">
        <v>1</v>
      </c>
      <c r="K31" s="277">
        <v>3.4000000000000002E-2</v>
      </c>
      <c r="L31" s="4">
        <v>8</v>
      </c>
      <c r="M31" s="7">
        <v>2</v>
      </c>
      <c r="N31" s="278">
        <v>6.9000000000000006E-2</v>
      </c>
      <c r="O31" s="12" t="s">
        <v>18</v>
      </c>
      <c r="P31" s="12">
        <v>29</v>
      </c>
      <c r="Q31" s="310">
        <f t="shared" si="1"/>
        <v>34.799999999999997</v>
      </c>
      <c r="R31" s="4">
        <f t="shared" si="2"/>
        <v>4224.348</v>
      </c>
      <c r="S31" s="14">
        <v>121.11</v>
      </c>
      <c r="T31" s="7">
        <v>14</v>
      </c>
      <c r="U31" s="276">
        <v>0.48299999999999998</v>
      </c>
      <c r="V31" s="3">
        <v>0</v>
      </c>
      <c r="W31" s="19">
        <v>0</v>
      </c>
      <c r="X31" s="3">
        <v>1</v>
      </c>
      <c r="Y31" s="277">
        <v>3.4000000000000002E-2</v>
      </c>
      <c r="Z31" s="4">
        <f t="shared" si="0"/>
        <v>14.39</v>
      </c>
      <c r="AA31" s="7">
        <v>2</v>
      </c>
      <c r="AB31" s="278">
        <v>6.9000000000000006E-2</v>
      </c>
    </row>
    <row r="32" spans="1:28">
      <c r="A32" s="2" t="s">
        <v>18</v>
      </c>
      <c r="B32" s="2">
        <v>40</v>
      </c>
      <c r="C32" s="3">
        <v>20</v>
      </c>
      <c r="D32" s="4">
        <v>1998.53</v>
      </c>
      <c r="E32" s="5">
        <v>99.93</v>
      </c>
      <c r="F32" s="7">
        <v>3</v>
      </c>
      <c r="G32" s="279">
        <v>0.15</v>
      </c>
      <c r="H32" s="3">
        <v>0</v>
      </c>
      <c r="I32" s="24">
        <v>0</v>
      </c>
      <c r="J32" s="3">
        <v>0</v>
      </c>
      <c r="K32" s="24">
        <v>0</v>
      </c>
      <c r="L32" s="4">
        <v>0</v>
      </c>
      <c r="M32" s="7">
        <v>0</v>
      </c>
      <c r="N32" s="10">
        <v>0</v>
      </c>
      <c r="O32" s="2" t="s">
        <v>18</v>
      </c>
      <c r="P32" s="2">
        <v>40</v>
      </c>
      <c r="Q32" s="310">
        <f t="shared" si="1"/>
        <v>24</v>
      </c>
      <c r="R32" s="4">
        <f t="shared" si="2"/>
        <v>2398.2359999999999</v>
      </c>
      <c r="S32" s="5">
        <v>99.93</v>
      </c>
      <c r="T32" s="7">
        <v>3</v>
      </c>
      <c r="U32" s="279">
        <v>0.15</v>
      </c>
      <c r="V32" s="3">
        <v>0</v>
      </c>
      <c r="W32" s="24">
        <v>0</v>
      </c>
      <c r="X32" s="3">
        <v>0</v>
      </c>
      <c r="Y32" s="24">
        <v>0</v>
      </c>
      <c r="Z32" s="4">
        <f t="shared" si="0"/>
        <v>6.39</v>
      </c>
      <c r="AA32" s="7">
        <v>0</v>
      </c>
      <c r="AB32" s="10">
        <v>0</v>
      </c>
    </row>
    <row r="33" spans="1:28">
      <c r="A33" s="12" t="s">
        <v>18</v>
      </c>
      <c r="B33" s="12">
        <v>280</v>
      </c>
      <c r="C33" s="3">
        <v>16</v>
      </c>
      <c r="D33" s="4">
        <v>1895.44</v>
      </c>
      <c r="E33" s="14">
        <v>118.4</v>
      </c>
      <c r="F33" s="7">
        <v>7.5</v>
      </c>
      <c r="G33" s="177">
        <v>0.46899999999999997</v>
      </c>
      <c r="H33" s="3">
        <v>0</v>
      </c>
      <c r="I33" s="19">
        <v>0</v>
      </c>
      <c r="J33" s="3">
        <v>0</v>
      </c>
      <c r="K33" s="19">
        <v>0</v>
      </c>
      <c r="L33" s="4">
        <v>1</v>
      </c>
      <c r="M33" s="7">
        <v>4</v>
      </c>
      <c r="N33" s="255">
        <v>0.25</v>
      </c>
      <c r="O33" s="12" t="s">
        <v>18</v>
      </c>
      <c r="P33" s="12">
        <v>280</v>
      </c>
      <c r="Q33" s="310">
        <f t="shared" si="1"/>
        <v>19.2</v>
      </c>
      <c r="R33" s="4">
        <f t="shared" si="2"/>
        <v>2274.5280000000002</v>
      </c>
      <c r="S33" s="14">
        <v>118.4</v>
      </c>
      <c r="T33" s="7">
        <v>7.5</v>
      </c>
      <c r="U33" s="177">
        <v>0.46899999999999997</v>
      </c>
      <c r="V33" s="3">
        <v>0</v>
      </c>
      <c r="W33" s="19">
        <v>0</v>
      </c>
      <c r="X33" s="3">
        <v>0</v>
      </c>
      <c r="Y33" s="19">
        <v>0</v>
      </c>
      <c r="Z33" s="4">
        <f t="shared" si="0"/>
        <v>7.39</v>
      </c>
      <c r="AA33" s="7">
        <v>4</v>
      </c>
      <c r="AB33" s="255">
        <v>0.25</v>
      </c>
    </row>
    <row r="34" spans="1:28">
      <c r="A34" s="2" t="s">
        <v>18</v>
      </c>
      <c r="B34" s="2">
        <v>599</v>
      </c>
      <c r="C34" s="3">
        <v>25</v>
      </c>
      <c r="D34" s="4">
        <v>2809.39</v>
      </c>
      <c r="E34" s="5">
        <v>111.78</v>
      </c>
      <c r="F34" s="7">
        <v>9</v>
      </c>
      <c r="G34" s="228">
        <v>0.36</v>
      </c>
      <c r="H34" s="3">
        <v>0</v>
      </c>
      <c r="I34" s="24">
        <v>0</v>
      </c>
      <c r="J34" s="3">
        <v>0</v>
      </c>
      <c r="K34" s="24">
        <v>0</v>
      </c>
      <c r="L34" s="4">
        <v>15</v>
      </c>
      <c r="M34" s="7">
        <v>5</v>
      </c>
      <c r="N34" s="206">
        <v>0.2</v>
      </c>
      <c r="O34" s="2" t="s">
        <v>18</v>
      </c>
      <c r="P34" s="2">
        <v>599</v>
      </c>
      <c r="Q34" s="310">
        <f t="shared" si="1"/>
        <v>30</v>
      </c>
      <c r="R34" s="4">
        <f t="shared" si="2"/>
        <v>3371.268</v>
      </c>
      <c r="S34" s="5">
        <v>111.78</v>
      </c>
      <c r="T34" s="7">
        <v>9</v>
      </c>
      <c r="U34" s="228">
        <v>0.36</v>
      </c>
      <c r="V34" s="3">
        <v>0</v>
      </c>
      <c r="W34" s="24">
        <v>0</v>
      </c>
      <c r="X34" s="3">
        <v>0</v>
      </c>
      <c r="Y34" s="24">
        <v>0</v>
      </c>
      <c r="Z34" s="4">
        <f t="shared" ref="Z34:Z54" si="3">L34+6.39</f>
        <v>21.39</v>
      </c>
      <c r="AA34" s="7">
        <v>5</v>
      </c>
      <c r="AB34" s="206">
        <v>0.2</v>
      </c>
    </row>
    <row r="35" spans="1:28">
      <c r="A35" s="12" t="s">
        <v>18</v>
      </c>
      <c r="B35" s="12">
        <v>720</v>
      </c>
      <c r="C35" s="3">
        <v>15</v>
      </c>
      <c r="D35" s="4">
        <v>2437.52</v>
      </c>
      <c r="E35" s="14">
        <v>162.1</v>
      </c>
      <c r="F35" s="7">
        <v>14</v>
      </c>
      <c r="G35" s="280">
        <v>0.93300000000000005</v>
      </c>
      <c r="H35" s="3">
        <v>2</v>
      </c>
      <c r="I35" s="281">
        <v>0.13300000000000001</v>
      </c>
      <c r="J35" s="3">
        <v>1</v>
      </c>
      <c r="K35" s="282">
        <v>6.7000000000000004E-2</v>
      </c>
      <c r="L35" s="4">
        <v>6</v>
      </c>
      <c r="M35" s="7">
        <v>4</v>
      </c>
      <c r="N35" s="283">
        <v>0.26700000000000002</v>
      </c>
      <c r="O35" s="12" t="s">
        <v>18</v>
      </c>
      <c r="P35" s="12">
        <v>720</v>
      </c>
      <c r="Q35" s="310">
        <f t="shared" si="1"/>
        <v>18</v>
      </c>
      <c r="R35" s="4">
        <f t="shared" si="2"/>
        <v>2925.0239999999999</v>
      </c>
      <c r="S35" s="14">
        <v>162.1</v>
      </c>
      <c r="T35" s="7">
        <v>14</v>
      </c>
      <c r="U35" s="280">
        <v>0.93300000000000005</v>
      </c>
      <c r="V35" s="3">
        <v>2</v>
      </c>
      <c r="W35" s="281">
        <v>0.13300000000000001</v>
      </c>
      <c r="X35" s="3">
        <v>1</v>
      </c>
      <c r="Y35" s="282">
        <v>6.7000000000000004E-2</v>
      </c>
      <c r="Z35" s="4">
        <f t="shared" si="3"/>
        <v>12.39</v>
      </c>
      <c r="AA35" s="7">
        <v>4</v>
      </c>
      <c r="AB35" s="283">
        <v>0.26700000000000002</v>
      </c>
    </row>
    <row r="36" spans="1:28">
      <c r="A36" s="2" t="s">
        <v>18</v>
      </c>
      <c r="B36" s="2">
        <v>728</v>
      </c>
      <c r="C36" s="3">
        <v>11</v>
      </c>
      <c r="D36" s="4">
        <v>1258.42</v>
      </c>
      <c r="E36" s="5">
        <v>114.4</v>
      </c>
      <c r="F36" s="7">
        <v>2</v>
      </c>
      <c r="G36" s="284">
        <v>0.182</v>
      </c>
      <c r="H36" s="3">
        <v>0</v>
      </c>
      <c r="I36" s="24">
        <v>0</v>
      </c>
      <c r="J36" s="3">
        <v>0</v>
      </c>
      <c r="K36" s="24">
        <v>0</v>
      </c>
      <c r="L36" s="4">
        <v>0</v>
      </c>
      <c r="M36" s="7">
        <v>1</v>
      </c>
      <c r="N36" s="285">
        <v>9.0999999999999998E-2</v>
      </c>
      <c r="O36" s="2" t="s">
        <v>18</v>
      </c>
      <c r="P36" s="2">
        <v>728</v>
      </c>
      <c r="Q36" s="310">
        <f t="shared" si="1"/>
        <v>13.2</v>
      </c>
      <c r="R36" s="4">
        <f t="shared" si="2"/>
        <v>1510.104</v>
      </c>
      <c r="S36" s="5">
        <v>114.4</v>
      </c>
      <c r="T36" s="7">
        <v>2</v>
      </c>
      <c r="U36" s="284">
        <v>0.182</v>
      </c>
      <c r="V36" s="3">
        <v>0</v>
      </c>
      <c r="W36" s="24">
        <v>0</v>
      </c>
      <c r="X36" s="3">
        <v>0</v>
      </c>
      <c r="Y36" s="24">
        <v>0</v>
      </c>
      <c r="Z36" s="4">
        <f t="shared" si="3"/>
        <v>6.39</v>
      </c>
      <c r="AA36" s="7">
        <v>1</v>
      </c>
      <c r="AB36" s="285">
        <v>9.0999999999999998E-2</v>
      </c>
    </row>
    <row r="37" spans="1:28">
      <c r="A37" s="12" t="s">
        <v>18</v>
      </c>
      <c r="B37" s="12">
        <v>830</v>
      </c>
      <c r="C37" s="3">
        <v>10</v>
      </c>
      <c r="D37" s="4">
        <v>1405.61</v>
      </c>
      <c r="E37" s="14">
        <v>140.56</v>
      </c>
      <c r="F37" s="7">
        <v>8.5</v>
      </c>
      <c r="G37" s="286">
        <v>0.85</v>
      </c>
      <c r="H37" s="3">
        <v>1</v>
      </c>
      <c r="I37" s="246">
        <v>0.1</v>
      </c>
      <c r="J37" s="3">
        <v>0</v>
      </c>
      <c r="K37" s="19">
        <v>0</v>
      </c>
      <c r="L37" s="4">
        <v>0</v>
      </c>
      <c r="M37" s="7">
        <v>2</v>
      </c>
      <c r="N37" s="101">
        <v>0.2</v>
      </c>
      <c r="O37" s="12" t="s">
        <v>18</v>
      </c>
      <c r="P37" s="12">
        <v>830</v>
      </c>
      <c r="Q37" s="310">
        <f t="shared" si="1"/>
        <v>12</v>
      </c>
      <c r="R37" s="4">
        <f t="shared" si="2"/>
        <v>1686.732</v>
      </c>
      <c r="S37" s="14">
        <v>140.56</v>
      </c>
      <c r="T37" s="7">
        <v>8.5</v>
      </c>
      <c r="U37" s="286">
        <v>0.85</v>
      </c>
      <c r="V37" s="3">
        <v>1</v>
      </c>
      <c r="W37" s="246">
        <v>0.1</v>
      </c>
      <c r="X37" s="3">
        <v>0</v>
      </c>
      <c r="Y37" s="19">
        <v>0</v>
      </c>
      <c r="Z37" s="4">
        <f t="shared" si="3"/>
        <v>6.39</v>
      </c>
      <c r="AA37" s="7">
        <v>2</v>
      </c>
      <c r="AB37" s="101">
        <v>0.2</v>
      </c>
    </row>
    <row r="38" spans="1:28">
      <c r="A38" s="2" t="s">
        <v>18</v>
      </c>
      <c r="B38" s="2">
        <v>975</v>
      </c>
      <c r="C38" s="3">
        <v>14</v>
      </c>
      <c r="D38" s="4">
        <v>1855.57</v>
      </c>
      <c r="E38" s="5">
        <v>131.68</v>
      </c>
      <c r="F38" s="7">
        <v>10</v>
      </c>
      <c r="G38" s="91">
        <v>0.71399999999999997</v>
      </c>
      <c r="H38" s="3">
        <v>1</v>
      </c>
      <c r="I38" s="195">
        <v>7.0999999999999994E-2</v>
      </c>
      <c r="J38" s="3">
        <v>0</v>
      </c>
      <c r="K38" s="24">
        <v>0</v>
      </c>
      <c r="L38" s="4">
        <v>12</v>
      </c>
      <c r="M38" s="7">
        <v>6</v>
      </c>
      <c r="N38" s="287">
        <v>0.42899999999999999</v>
      </c>
      <c r="O38" s="2" t="s">
        <v>18</v>
      </c>
      <c r="P38" s="2">
        <v>975</v>
      </c>
      <c r="Q38" s="310">
        <f t="shared" si="1"/>
        <v>16.8</v>
      </c>
      <c r="R38" s="4">
        <f t="shared" si="2"/>
        <v>2226.6840000000002</v>
      </c>
      <c r="S38" s="5">
        <v>131.68</v>
      </c>
      <c r="T38" s="7">
        <v>10</v>
      </c>
      <c r="U38" s="91">
        <v>0.71399999999999997</v>
      </c>
      <c r="V38" s="3">
        <v>1</v>
      </c>
      <c r="W38" s="195">
        <v>7.0999999999999994E-2</v>
      </c>
      <c r="X38" s="3">
        <v>0</v>
      </c>
      <c r="Y38" s="24">
        <v>0</v>
      </c>
      <c r="Z38" s="4">
        <f t="shared" si="3"/>
        <v>18.39</v>
      </c>
      <c r="AA38" s="7">
        <v>6</v>
      </c>
      <c r="AB38" s="287">
        <v>0.42899999999999999</v>
      </c>
    </row>
    <row r="39" spans="1:28">
      <c r="A39" s="12" t="s">
        <v>19</v>
      </c>
      <c r="B39" s="12">
        <v>1</v>
      </c>
      <c r="C39" s="3">
        <v>17</v>
      </c>
      <c r="D39" s="4">
        <v>2244.8200000000002</v>
      </c>
      <c r="E39" s="14">
        <v>131.81</v>
      </c>
      <c r="F39" s="7">
        <v>15</v>
      </c>
      <c r="G39" s="288">
        <v>0.88200000000000001</v>
      </c>
      <c r="H39" s="3">
        <v>1</v>
      </c>
      <c r="I39" s="135">
        <v>5.8999999999999997E-2</v>
      </c>
      <c r="J39" s="3">
        <v>0</v>
      </c>
      <c r="K39" s="19">
        <v>0</v>
      </c>
      <c r="L39" s="4">
        <v>4</v>
      </c>
      <c r="M39" s="7">
        <v>2</v>
      </c>
      <c r="N39" s="289">
        <v>0.11799999999999999</v>
      </c>
      <c r="O39" s="12" t="s">
        <v>19</v>
      </c>
      <c r="P39" s="12">
        <v>1</v>
      </c>
      <c r="Q39" s="310">
        <f t="shared" si="1"/>
        <v>20.399999999999999</v>
      </c>
      <c r="R39" s="4">
        <f t="shared" si="2"/>
        <v>2693.7840000000001</v>
      </c>
      <c r="S39" s="14">
        <v>131.81</v>
      </c>
      <c r="T39" s="7">
        <v>15</v>
      </c>
      <c r="U39" s="288">
        <v>0.88200000000000001</v>
      </c>
      <c r="V39" s="3">
        <v>1</v>
      </c>
      <c r="W39" s="135">
        <v>5.8999999999999997E-2</v>
      </c>
      <c r="X39" s="3">
        <v>0</v>
      </c>
      <c r="Y39" s="19">
        <v>0</v>
      </c>
      <c r="Z39" s="4">
        <f t="shared" si="3"/>
        <v>10.39</v>
      </c>
      <c r="AA39" s="7">
        <v>2</v>
      </c>
      <c r="AB39" s="289">
        <v>0.11799999999999999</v>
      </c>
    </row>
    <row r="40" spans="1:28">
      <c r="A40" s="2" t="s">
        <v>19</v>
      </c>
      <c r="B40" s="2">
        <v>2</v>
      </c>
      <c r="C40" s="3">
        <v>36</v>
      </c>
      <c r="D40" s="4">
        <v>4751.3500000000004</v>
      </c>
      <c r="E40" s="5">
        <v>131.54</v>
      </c>
      <c r="F40" s="7">
        <v>24</v>
      </c>
      <c r="G40" s="227">
        <v>0.66700000000000004</v>
      </c>
      <c r="H40" s="3">
        <v>3</v>
      </c>
      <c r="I40" s="130">
        <v>8.3000000000000004E-2</v>
      </c>
      <c r="J40" s="3">
        <v>1</v>
      </c>
      <c r="K40" s="51">
        <v>2.8000000000000001E-2</v>
      </c>
      <c r="L40" s="4">
        <v>16</v>
      </c>
      <c r="M40" s="7">
        <v>5</v>
      </c>
      <c r="N40" s="198">
        <v>0.13900000000000001</v>
      </c>
      <c r="O40" s="2" t="s">
        <v>19</v>
      </c>
      <c r="P40" s="2">
        <v>2</v>
      </c>
      <c r="Q40" s="310">
        <f t="shared" si="1"/>
        <v>43.2</v>
      </c>
      <c r="R40" s="4">
        <f t="shared" si="2"/>
        <v>5701.6200000000008</v>
      </c>
      <c r="S40" s="5">
        <v>131.54</v>
      </c>
      <c r="T40" s="7">
        <v>24</v>
      </c>
      <c r="U40" s="227">
        <v>0.66700000000000004</v>
      </c>
      <c r="V40" s="3">
        <v>3</v>
      </c>
      <c r="W40" s="130">
        <v>8.3000000000000004E-2</v>
      </c>
      <c r="X40" s="3">
        <v>1</v>
      </c>
      <c r="Y40" s="51">
        <v>2.8000000000000001E-2</v>
      </c>
      <c r="Z40" s="4">
        <f t="shared" si="3"/>
        <v>22.39</v>
      </c>
      <c r="AA40" s="7">
        <v>5</v>
      </c>
      <c r="AB40" s="198">
        <v>0.13900000000000001</v>
      </c>
    </row>
    <row r="41" spans="1:28">
      <c r="A41" s="12" t="s">
        <v>19</v>
      </c>
      <c r="B41" s="12">
        <v>4</v>
      </c>
      <c r="C41" s="3">
        <v>60</v>
      </c>
      <c r="D41" s="4">
        <v>8331.32</v>
      </c>
      <c r="E41" s="14">
        <v>138.29</v>
      </c>
      <c r="F41" s="7">
        <v>39</v>
      </c>
      <c r="G41" s="63">
        <v>0.65</v>
      </c>
      <c r="H41" s="3">
        <v>8</v>
      </c>
      <c r="I41" s="281">
        <v>0.13300000000000001</v>
      </c>
      <c r="J41" s="3">
        <v>1</v>
      </c>
      <c r="K41" s="192">
        <v>1.7000000000000001E-2</v>
      </c>
      <c r="L41" s="4">
        <v>34</v>
      </c>
      <c r="M41" s="7">
        <v>17</v>
      </c>
      <c r="N41" s="290">
        <v>0.28299999999999997</v>
      </c>
      <c r="O41" s="12" t="s">
        <v>19</v>
      </c>
      <c r="P41" s="12">
        <v>4</v>
      </c>
      <c r="Q41" s="310">
        <f t="shared" si="1"/>
        <v>72</v>
      </c>
      <c r="R41" s="4">
        <f t="shared" si="2"/>
        <v>9997.5839999999989</v>
      </c>
      <c r="S41" s="14">
        <v>138.29</v>
      </c>
      <c r="T41" s="7">
        <v>39</v>
      </c>
      <c r="U41" s="63">
        <v>0.65</v>
      </c>
      <c r="V41" s="3">
        <v>8</v>
      </c>
      <c r="W41" s="281">
        <v>0.13300000000000001</v>
      </c>
      <c r="X41" s="3">
        <v>1</v>
      </c>
      <c r="Y41" s="192">
        <v>1.7000000000000001E-2</v>
      </c>
      <c r="Z41" s="4">
        <f t="shared" si="3"/>
        <v>40.39</v>
      </c>
      <c r="AA41" s="7">
        <v>17</v>
      </c>
      <c r="AB41" s="290">
        <v>0.28299999999999997</v>
      </c>
    </row>
    <row r="42" spans="1:28">
      <c r="A42" s="2" t="s">
        <v>19</v>
      </c>
      <c r="B42" s="2">
        <v>6</v>
      </c>
      <c r="C42" s="3">
        <v>39</v>
      </c>
      <c r="D42" s="4">
        <v>4710.6899999999996</v>
      </c>
      <c r="E42" s="5">
        <v>120.02</v>
      </c>
      <c r="F42" s="7">
        <v>19</v>
      </c>
      <c r="G42" s="44">
        <v>0.48699999999999999</v>
      </c>
      <c r="H42" s="3">
        <v>1</v>
      </c>
      <c r="I42" s="171">
        <v>2.5999999999999999E-2</v>
      </c>
      <c r="J42" s="3">
        <v>0</v>
      </c>
      <c r="K42" s="24">
        <v>0</v>
      </c>
      <c r="L42" s="4">
        <v>30.01</v>
      </c>
      <c r="M42" s="7">
        <v>9</v>
      </c>
      <c r="N42" s="291">
        <v>0.23100000000000001</v>
      </c>
      <c r="O42" s="2" t="s">
        <v>19</v>
      </c>
      <c r="P42" s="2">
        <v>6</v>
      </c>
      <c r="Q42" s="310">
        <f t="shared" si="1"/>
        <v>46.8</v>
      </c>
      <c r="R42" s="4">
        <f t="shared" si="2"/>
        <v>5652.8279999999995</v>
      </c>
      <c r="S42" s="5">
        <v>120.02</v>
      </c>
      <c r="T42" s="7">
        <v>19</v>
      </c>
      <c r="U42" s="44">
        <v>0.48699999999999999</v>
      </c>
      <c r="V42" s="3">
        <v>1</v>
      </c>
      <c r="W42" s="171">
        <v>2.5999999999999999E-2</v>
      </c>
      <c r="X42" s="3">
        <v>0</v>
      </c>
      <c r="Y42" s="24">
        <v>0</v>
      </c>
      <c r="Z42" s="4">
        <f t="shared" si="3"/>
        <v>36.4</v>
      </c>
      <c r="AA42" s="7">
        <v>9</v>
      </c>
      <c r="AB42" s="291">
        <v>0.23100000000000001</v>
      </c>
    </row>
    <row r="43" spans="1:28">
      <c r="A43" s="12" t="s">
        <v>19</v>
      </c>
      <c r="B43" s="12">
        <v>15</v>
      </c>
      <c r="C43" s="3">
        <v>49</v>
      </c>
      <c r="D43" s="4">
        <v>5648.56</v>
      </c>
      <c r="E43" s="14">
        <v>115.28</v>
      </c>
      <c r="F43" s="7">
        <v>26</v>
      </c>
      <c r="G43" s="143">
        <v>0.53100000000000003</v>
      </c>
      <c r="H43" s="3">
        <v>2</v>
      </c>
      <c r="I43" s="164">
        <v>4.1000000000000002E-2</v>
      </c>
      <c r="J43" s="3">
        <v>0</v>
      </c>
      <c r="K43" s="19">
        <v>0</v>
      </c>
      <c r="L43" s="4">
        <v>0</v>
      </c>
      <c r="M43" s="7">
        <v>2</v>
      </c>
      <c r="N43" s="292">
        <v>4.1000000000000002E-2</v>
      </c>
      <c r="O43" s="12" t="s">
        <v>19</v>
      </c>
      <c r="P43" s="12">
        <v>15</v>
      </c>
      <c r="Q43" s="310">
        <f t="shared" si="1"/>
        <v>58.8</v>
      </c>
      <c r="R43" s="4">
        <f t="shared" si="2"/>
        <v>6778.2720000000008</v>
      </c>
      <c r="S43" s="14">
        <v>115.28</v>
      </c>
      <c r="T43" s="7">
        <v>26</v>
      </c>
      <c r="U43" s="143">
        <v>0.53100000000000003</v>
      </c>
      <c r="V43" s="3">
        <v>2</v>
      </c>
      <c r="W43" s="164">
        <v>4.1000000000000002E-2</v>
      </c>
      <c r="X43" s="3">
        <v>0</v>
      </c>
      <c r="Y43" s="19">
        <v>0</v>
      </c>
      <c r="Z43" s="4">
        <f t="shared" si="3"/>
        <v>6.39</v>
      </c>
      <c r="AA43" s="7">
        <v>2</v>
      </c>
      <c r="AB43" s="292">
        <v>4.1000000000000002E-2</v>
      </c>
    </row>
    <row r="44" spans="1:28">
      <c r="A44" s="2" t="s">
        <v>19</v>
      </c>
      <c r="B44" s="2">
        <v>28</v>
      </c>
      <c r="C44" s="3">
        <v>52</v>
      </c>
      <c r="D44" s="4">
        <v>5996.97</v>
      </c>
      <c r="E44" s="5">
        <v>115.31</v>
      </c>
      <c r="F44" s="7">
        <v>20</v>
      </c>
      <c r="G44" s="260">
        <v>0.38500000000000001</v>
      </c>
      <c r="H44" s="3">
        <v>2</v>
      </c>
      <c r="I44" s="44">
        <v>3.7999999999999999E-2</v>
      </c>
      <c r="J44" s="3">
        <v>0</v>
      </c>
      <c r="K44" s="24">
        <v>0</v>
      </c>
      <c r="L44" s="4">
        <v>1</v>
      </c>
      <c r="M44" s="7">
        <v>7</v>
      </c>
      <c r="N44" s="293">
        <v>0.13500000000000001</v>
      </c>
      <c r="O44" s="2" t="s">
        <v>19</v>
      </c>
      <c r="P44" s="2">
        <v>28</v>
      </c>
      <c r="Q44" s="310">
        <f t="shared" si="1"/>
        <v>62.4</v>
      </c>
      <c r="R44" s="4">
        <f t="shared" si="2"/>
        <v>7196.3640000000005</v>
      </c>
      <c r="S44" s="5">
        <v>115.31</v>
      </c>
      <c r="T44" s="7">
        <v>20</v>
      </c>
      <c r="U44" s="260">
        <v>0.38500000000000001</v>
      </c>
      <c r="V44" s="3">
        <v>2</v>
      </c>
      <c r="W44" s="44">
        <v>3.7999999999999999E-2</v>
      </c>
      <c r="X44" s="3">
        <v>0</v>
      </c>
      <c r="Y44" s="24">
        <v>0</v>
      </c>
      <c r="Z44" s="4">
        <f t="shared" si="3"/>
        <v>7.39</v>
      </c>
      <c r="AA44" s="7">
        <v>7</v>
      </c>
      <c r="AB44" s="293">
        <v>0.13500000000000001</v>
      </c>
    </row>
    <row r="45" spans="1:28">
      <c r="A45" s="12" t="s">
        <v>19</v>
      </c>
      <c r="B45" s="12">
        <v>32</v>
      </c>
      <c r="C45" s="3">
        <v>49</v>
      </c>
      <c r="D45" s="4">
        <v>5765.73</v>
      </c>
      <c r="E45" s="14">
        <v>115.55</v>
      </c>
      <c r="F45" s="7">
        <v>22</v>
      </c>
      <c r="G45" s="294">
        <v>0.44900000000000001</v>
      </c>
      <c r="H45" s="3">
        <v>0</v>
      </c>
      <c r="I45" s="19">
        <v>0</v>
      </c>
      <c r="J45" s="3">
        <v>1</v>
      </c>
      <c r="K45" s="295">
        <v>0.02</v>
      </c>
      <c r="L45" s="4">
        <v>104</v>
      </c>
      <c r="M45" s="7">
        <v>10</v>
      </c>
      <c r="N45" s="296">
        <v>0.20399999999999999</v>
      </c>
      <c r="O45" s="12" t="s">
        <v>19</v>
      </c>
      <c r="P45" s="12">
        <v>32</v>
      </c>
      <c r="Q45" s="310">
        <f t="shared" si="1"/>
        <v>58.8</v>
      </c>
      <c r="R45" s="4">
        <f t="shared" si="2"/>
        <v>6918.8759999999993</v>
      </c>
      <c r="S45" s="14">
        <v>115.55</v>
      </c>
      <c r="T45" s="7">
        <v>22</v>
      </c>
      <c r="U45" s="294">
        <v>0.44900000000000001</v>
      </c>
      <c r="V45" s="3">
        <v>0</v>
      </c>
      <c r="W45" s="19">
        <v>0</v>
      </c>
      <c r="X45" s="3">
        <v>1</v>
      </c>
      <c r="Y45" s="295">
        <v>0.02</v>
      </c>
      <c r="Z45" s="4">
        <f t="shared" si="3"/>
        <v>110.39</v>
      </c>
      <c r="AA45" s="7">
        <v>10</v>
      </c>
      <c r="AB45" s="296">
        <v>0.20399999999999999</v>
      </c>
    </row>
    <row r="46" spans="1:28">
      <c r="A46" s="2" t="s">
        <v>19</v>
      </c>
      <c r="B46" s="2">
        <v>606</v>
      </c>
      <c r="C46" s="3">
        <v>36</v>
      </c>
      <c r="D46" s="4">
        <v>4127.91</v>
      </c>
      <c r="E46" s="5">
        <v>114.11</v>
      </c>
      <c r="F46" s="7">
        <v>16.5</v>
      </c>
      <c r="G46" s="45">
        <v>0.45800000000000002</v>
      </c>
      <c r="H46" s="3">
        <v>2</v>
      </c>
      <c r="I46" s="297">
        <v>5.6000000000000001E-2</v>
      </c>
      <c r="J46" s="3">
        <v>0</v>
      </c>
      <c r="K46" s="24">
        <v>0</v>
      </c>
      <c r="L46" s="4">
        <v>20</v>
      </c>
      <c r="M46" s="7">
        <v>9</v>
      </c>
      <c r="N46" s="155">
        <v>0.25</v>
      </c>
      <c r="O46" s="2" t="s">
        <v>19</v>
      </c>
      <c r="P46" s="2">
        <v>606</v>
      </c>
      <c r="Q46" s="310">
        <f t="shared" si="1"/>
        <v>43.2</v>
      </c>
      <c r="R46" s="4">
        <f t="shared" si="2"/>
        <v>4953.4920000000002</v>
      </c>
      <c r="S46" s="5">
        <v>114.11</v>
      </c>
      <c r="T46" s="7">
        <v>16.5</v>
      </c>
      <c r="U46" s="45">
        <v>0.45800000000000002</v>
      </c>
      <c r="V46" s="3">
        <v>2</v>
      </c>
      <c r="W46" s="297">
        <v>5.6000000000000001E-2</v>
      </c>
      <c r="X46" s="3">
        <v>0</v>
      </c>
      <c r="Y46" s="24">
        <v>0</v>
      </c>
      <c r="Z46" s="4">
        <f t="shared" si="3"/>
        <v>26.39</v>
      </c>
      <c r="AA46" s="7">
        <v>9</v>
      </c>
      <c r="AB46" s="155">
        <v>0.25</v>
      </c>
    </row>
    <row r="47" spans="1:28">
      <c r="A47" s="12" t="s">
        <v>20</v>
      </c>
      <c r="B47" s="12">
        <v>8</v>
      </c>
      <c r="C47" s="3">
        <v>44</v>
      </c>
      <c r="D47" s="4">
        <v>5319.83</v>
      </c>
      <c r="E47" s="14">
        <v>119.83</v>
      </c>
      <c r="F47" s="7">
        <v>20</v>
      </c>
      <c r="G47" s="253">
        <v>0.45500000000000002</v>
      </c>
      <c r="H47" s="3">
        <v>0</v>
      </c>
      <c r="I47" s="19">
        <v>0</v>
      </c>
      <c r="J47" s="3">
        <v>0</v>
      </c>
      <c r="K47" s="19">
        <v>0</v>
      </c>
      <c r="L47" s="4">
        <v>47.5</v>
      </c>
      <c r="M47" s="7">
        <v>8</v>
      </c>
      <c r="N47" s="298">
        <v>0.182</v>
      </c>
      <c r="O47" s="12" t="s">
        <v>20</v>
      </c>
      <c r="P47" s="12">
        <v>8</v>
      </c>
      <c r="Q47" s="310">
        <f t="shared" si="1"/>
        <v>52.8</v>
      </c>
      <c r="R47" s="4">
        <f t="shared" si="2"/>
        <v>6383.7960000000003</v>
      </c>
      <c r="S47" s="14">
        <v>119.83</v>
      </c>
      <c r="T47" s="7">
        <v>20</v>
      </c>
      <c r="U47" s="253">
        <v>0.45500000000000002</v>
      </c>
      <c r="V47" s="3">
        <v>0</v>
      </c>
      <c r="W47" s="19">
        <v>0</v>
      </c>
      <c r="X47" s="3">
        <v>0</v>
      </c>
      <c r="Y47" s="19">
        <v>0</v>
      </c>
      <c r="Z47" s="4">
        <f t="shared" si="3"/>
        <v>53.89</v>
      </c>
      <c r="AA47" s="7">
        <v>8</v>
      </c>
      <c r="AB47" s="298">
        <v>0.182</v>
      </c>
    </row>
    <row r="48" spans="1:28">
      <c r="A48" s="2" t="s">
        <v>20</v>
      </c>
      <c r="B48" s="2">
        <v>10</v>
      </c>
      <c r="C48" s="3">
        <v>28</v>
      </c>
      <c r="D48" s="4">
        <v>4070.52</v>
      </c>
      <c r="E48" s="5">
        <v>144.94999999999999</v>
      </c>
      <c r="F48" s="7">
        <v>16</v>
      </c>
      <c r="G48" s="146">
        <v>0.57099999999999995</v>
      </c>
      <c r="H48" s="3">
        <v>3</v>
      </c>
      <c r="I48" s="299">
        <v>0.107</v>
      </c>
      <c r="J48" s="3">
        <v>0</v>
      </c>
      <c r="K48" s="24">
        <v>0</v>
      </c>
      <c r="L48" s="4">
        <v>12</v>
      </c>
      <c r="M48" s="7">
        <v>10</v>
      </c>
      <c r="N48" s="300">
        <v>0.35699999999999998</v>
      </c>
      <c r="O48" s="2" t="s">
        <v>20</v>
      </c>
      <c r="P48" s="2">
        <v>10</v>
      </c>
      <c r="Q48" s="310">
        <f t="shared" si="1"/>
        <v>33.6</v>
      </c>
      <c r="R48" s="4">
        <f t="shared" si="2"/>
        <v>4884.6239999999998</v>
      </c>
      <c r="S48" s="5">
        <v>144.94999999999999</v>
      </c>
      <c r="T48" s="7">
        <v>16</v>
      </c>
      <c r="U48" s="146">
        <v>0.57099999999999995</v>
      </c>
      <c r="V48" s="3">
        <v>3</v>
      </c>
      <c r="W48" s="299">
        <v>0.107</v>
      </c>
      <c r="X48" s="3">
        <v>0</v>
      </c>
      <c r="Y48" s="24">
        <v>0</v>
      </c>
      <c r="Z48" s="4">
        <f t="shared" si="3"/>
        <v>18.39</v>
      </c>
      <c r="AA48" s="7">
        <v>10</v>
      </c>
      <c r="AB48" s="300">
        <v>0.35699999999999998</v>
      </c>
    </row>
    <row r="49" spans="1:28">
      <c r="A49" s="12" t="s">
        <v>20</v>
      </c>
      <c r="B49" s="12">
        <v>12</v>
      </c>
      <c r="C49" s="3">
        <v>23</v>
      </c>
      <c r="D49" s="4">
        <v>2800.6</v>
      </c>
      <c r="E49" s="14">
        <v>120.46</v>
      </c>
      <c r="F49" s="7">
        <v>6</v>
      </c>
      <c r="G49" s="301">
        <v>0.26100000000000001</v>
      </c>
      <c r="H49" s="3">
        <v>0</v>
      </c>
      <c r="I49" s="19">
        <v>0</v>
      </c>
      <c r="J49" s="3">
        <v>0</v>
      </c>
      <c r="K49" s="19">
        <v>0</v>
      </c>
      <c r="L49" s="4">
        <v>30</v>
      </c>
      <c r="M49" s="7">
        <v>6</v>
      </c>
      <c r="N49" s="57">
        <v>0.26100000000000001</v>
      </c>
      <c r="O49" s="12" t="s">
        <v>20</v>
      </c>
      <c r="P49" s="12">
        <v>12</v>
      </c>
      <c r="Q49" s="310">
        <f t="shared" si="1"/>
        <v>27.6</v>
      </c>
      <c r="R49" s="4">
        <f t="shared" si="2"/>
        <v>3360.72</v>
      </c>
      <c r="S49" s="14">
        <v>120.46</v>
      </c>
      <c r="T49" s="7">
        <v>6</v>
      </c>
      <c r="U49" s="301">
        <v>0.26100000000000001</v>
      </c>
      <c r="V49" s="3">
        <v>0</v>
      </c>
      <c r="W49" s="19">
        <v>0</v>
      </c>
      <c r="X49" s="3">
        <v>0</v>
      </c>
      <c r="Y49" s="19">
        <v>0</v>
      </c>
      <c r="Z49" s="4">
        <f t="shared" si="3"/>
        <v>36.39</v>
      </c>
      <c r="AA49" s="7">
        <v>6</v>
      </c>
      <c r="AB49" s="57">
        <v>0.26100000000000001</v>
      </c>
    </row>
    <row r="50" spans="1:28">
      <c r="A50" s="2" t="s">
        <v>20</v>
      </c>
      <c r="B50" s="2">
        <v>13</v>
      </c>
      <c r="C50" s="3">
        <v>35</v>
      </c>
      <c r="D50" s="4">
        <v>4169.0200000000004</v>
      </c>
      <c r="E50" s="5">
        <v>118.49</v>
      </c>
      <c r="F50" s="7">
        <v>14.5</v>
      </c>
      <c r="G50" s="302">
        <v>0.41399999999999998</v>
      </c>
      <c r="H50" s="3">
        <v>1</v>
      </c>
      <c r="I50" s="105">
        <v>2.9000000000000001E-2</v>
      </c>
      <c r="J50" s="3">
        <v>0</v>
      </c>
      <c r="K50" s="24">
        <v>0</v>
      </c>
      <c r="L50" s="4">
        <v>22</v>
      </c>
      <c r="M50" s="7">
        <v>5</v>
      </c>
      <c r="N50" s="183">
        <v>0.14299999999999999</v>
      </c>
      <c r="O50" s="2" t="s">
        <v>20</v>
      </c>
      <c r="P50" s="2">
        <v>13</v>
      </c>
      <c r="Q50" s="310">
        <f t="shared" si="1"/>
        <v>42</v>
      </c>
      <c r="R50" s="4">
        <f t="shared" si="2"/>
        <v>5002.8240000000005</v>
      </c>
      <c r="S50" s="5">
        <v>118.49</v>
      </c>
      <c r="T50" s="7">
        <v>14.5</v>
      </c>
      <c r="U50" s="302">
        <v>0.41399999999999998</v>
      </c>
      <c r="V50" s="3">
        <v>1</v>
      </c>
      <c r="W50" s="105">
        <v>2.9000000000000001E-2</v>
      </c>
      <c r="X50" s="3">
        <v>0</v>
      </c>
      <c r="Y50" s="24">
        <v>0</v>
      </c>
      <c r="Z50" s="4">
        <f t="shared" si="3"/>
        <v>28.39</v>
      </c>
      <c r="AA50" s="7">
        <v>5</v>
      </c>
      <c r="AB50" s="183">
        <v>0.14299999999999999</v>
      </c>
    </row>
    <row r="51" spans="1:28">
      <c r="A51" s="12" t="s">
        <v>20</v>
      </c>
      <c r="B51" s="12">
        <v>31</v>
      </c>
      <c r="C51" s="3">
        <v>43</v>
      </c>
      <c r="D51" s="4">
        <v>5028.2</v>
      </c>
      <c r="E51" s="14">
        <v>116.41</v>
      </c>
      <c r="F51" s="7">
        <v>9</v>
      </c>
      <c r="G51" s="303">
        <v>0.20899999999999999</v>
      </c>
      <c r="H51" s="3">
        <v>2</v>
      </c>
      <c r="I51" s="15">
        <v>4.7E-2</v>
      </c>
      <c r="J51" s="3">
        <v>0</v>
      </c>
      <c r="K51" s="19">
        <v>0</v>
      </c>
      <c r="L51" s="4">
        <v>22.5</v>
      </c>
      <c r="M51" s="7">
        <v>16</v>
      </c>
      <c r="N51" s="304">
        <v>0.372</v>
      </c>
      <c r="O51" s="12" t="s">
        <v>20</v>
      </c>
      <c r="P51" s="12">
        <v>31</v>
      </c>
      <c r="Q51" s="310">
        <f t="shared" si="1"/>
        <v>51.6</v>
      </c>
      <c r="R51" s="4">
        <f t="shared" si="2"/>
        <v>6033.84</v>
      </c>
      <c r="S51" s="14">
        <v>116.41</v>
      </c>
      <c r="T51" s="7">
        <v>9</v>
      </c>
      <c r="U51" s="303">
        <v>0.20899999999999999</v>
      </c>
      <c r="V51" s="3">
        <v>2</v>
      </c>
      <c r="W51" s="15">
        <v>4.7E-2</v>
      </c>
      <c r="X51" s="3">
        <v>0</v>
      </c>
      <c r="Y51" s="19">
        <v>0</v>
      </c>
      <c r="Z51" s="4">
        <f t="shared" si="3"/>
        <v>28.89</v>
      </c>
      <c r="AA51" s="7">
        <v>16</v>
      </c>
      <c r="AB51" s="304">
        <v>0.372</v>
      </c>
    </row>
    <row r="52" spans="1:28">
      <c r="A52" s="2" t="s">
        <v>20</v>
      </c>
      <c r="B52" s="2">
        <v>92</v>
      </c>
      <c r="C52" s="3">
        <v>42</v>
      </c>
      <c r="D52" s="4">
        <v>5652.56</v>
      </c>
      <c r="E52" s="5">
        <v>133.72999999999999</v>
      </c>
      <c r="F52" s="7">
        <v>25.5</v>
      </c>
      <c r="G52" s="176">
        <v>0.60699999999999998</v>
      </c>
      <c r="H52" s="3">
        <v>4</v>
      </c>
      <c r="I52" s="305">
        <v>9.5000000000000001E-2</v>
      </c>
      <c r="J52" s="3">
        <v>0</v>
      </c>
      <c r="K52" s="24">
        <v>0</v>
      </c>
      <c r="L52" s="4">
        <v>36.11</v>
      </c>
      <c r="M52" s="7">
        <v>7</v>
      </c>
      <c r="N52" s="248">
        <v>0.16700000000000001</v>
      </c>
      <c r="O52" s="2" t="s">
        <v>20</v>
      </c>
      <c r="P52" s="2">
        <v>92</v>
      </c>
      <c r="Q52" s="310">
        <f t="shared" si="1"/>
        <v>50.4</v>
      </c>
      <c r="R52" s="4">
        <f t="shared" si="2"/>
        <v>6783.0720000000001</v>
      </c>
      <c r="S52" s="5">
        <v>133.72999999999999</v>
      </c>
      <c r="T52" s="7">
        <v>25.5</v>
      </c>
      <c r="U52" s="176">
        <v>0.60699999999999998</v>
      </c>
      <c r="V52" s="3">
        <v>4</v>
      </c>
      <c r="W52" s="305">
        <v>9.5000000000000001E-2</v>
      </c>
      <c r="X52" s="3">
        <v>0</v>
      </c>
      <c r="Y52" s="24">
        <v>0</v>
      </c>
      <c r="Z52" s="4">
        <f t="shared" si="3"/>
        <v>42.5</v>
      </c>
      <c r="AA52" s="7">
        <v>7</v>
      </c>
      <c r="AB52" s="248">
        <v>0.16700000000000001</v>
      </c>
    </row>
    <row r="53" spans="1:28">
      <c r="A53" s="12" t="s">
        <v>20</v>
      </c>
      <c r="B53" s="12">
        <v>116</v>
      </c>
      <c r="C53" s="3">
        <v>29</v>
      </c>
      <c r="D53" s="4">
        <v>3781.59</v>
      </c>
      <c r="E53" s="14">
        <v>129.94999999999999</v>
      </c>
      <c r="F53" s="7">
        <v>15</v>
      </c>
      <c r="G53" s="306">
        <v>0.51700000000000002</v>
      </c>
      <c r="H53" s="3">
        <v>1</v>
      </c>
      <c r="I53" s="307">
        <v>3.4000000000000002E-2</v>
      </c>
      <c r="J53" s="3">
        <v>0</v>
      </c>
      <c r="K53" s="149">
        <v>0</v>
      </c>
      <c r="L53" s="4">
        <v>13.02</v>
      </c>
      <c r="M53" s="7">
        <v>4</v>
      </c>
      <c r="N53" s="308">
        <v>0.13800000000000001</v>
      </c>
      <c r="O53" s="12" t="s">
        <v>20</v>
      </c>
      <c r="P53" s="12">
        <v>116</v>
      </c>
      <c r="Q53" s="310">
        <f t="shared" si="1"/>
        <v>34.799999999999997</v>
      </c>
      <c r="R53" s="4">
        <f t="shared" si="2"/>
        <v>4537.9080000000004</v>
      </c>
      <c r="S53" s="14">
        <v>129.94999999999999</v>
      </c>
      <c r="T53" s="7">
        <v>15</v>
      </c>
      <c r="U53" s="306">
        <v>0.51700000000000002</v>
      </c>
      <c r="V53" s="3">
        <v>1</v>
      </c>
      <c r="W53" s="307">
        <v>3.4000000000000002E-2</v>
      </c>
      <c r="X53" s="3">
        <v>0</v>
      </c>
      <c r="Y53" s="149">
        <v>0</v>
      </c>
      <c r="Z53" s="4">
        <f t="shared" si="3"/>
        <v>19.41</v>
      </c>
      <c r="AA53" s="7">
        <v>4</v>
      </c>
      <c r="AB53" s="308">
        <v>0.13800000000000001</v>
      </c>
    </row>
    <row r="54" spans="1:28">
      <c r="A54" s="2" t="s">
        <v>20</v>
      </c>
      <c r="B54" s="2">
        <v>870</v>
      </c>
      <c r="C54" s="3">
        <v>15</v>
      </c>
      <c r="D54" s="4">
        <v>1675.74</v>
      </c>
      <c r="E54" s="5">
        <v>111.72</v>
      </c>
      <c r="F54" s="7">
        <v>1</v>
      </c>
      <c r="G54" s="309">
        <v>6.7000000000000004E-2</v>
      </c>
      <c r="H54" s="3">
        <v>0</v>
      </c>
      <c r="I54" s="24">
        <v>0</v>
      </c>
      <c r="J54" s="3">
        <v>0</v>
      </c>
      <c r="K54" s="24">
        <v>0</v>
      </c>
      <c r="L54" s="4">
        <v>0</v>
      </c>
      <c r="M54" s="7">
        <v>4</v>
      </c>
      <c r="N54" s="84">
        <v>0.26700000000000002</v>
      </c>
      <c r="O54" s="2" t="s">
        <v>20</v>
      </c>
      <c r="P54" s="2">
        <v>870</v>
      </c>
      <c r="Q54" s="310">
        <f t="shared" si="1"/>
        <v>18</v>
      </c>
      <c r="R54" s="4">
        <f t="shared" si="2"/>
        <v>2010.8879999999999</v>
      </c>
      <c r="S54" s="5">
        <v>111.72</v>
      </c>
      <c r="T54" s="7">
        <v>1</v>
      </c>
      <c r="U54" s="309">
        <v>6.7000000000000004E-2</v>
      </c>
      <c r="V54" s="3">
        <v>0</v>
      </c>
      <c r="W54" s="24">
        <v>0</v>
      </c>
      <c r="X54" s="3">
        <v>0</v>
      </c>
      <c r="Y54" s="24">
        <v>0</v>
      </c>
      <c r="Z54" s="4">
        <f t="shared" si="3"/>
        <v>6.39</v>
      </c>
      <c r="AA54" s="7">
        <v>4</v>
      </c>
      <c r="AB54" s="84">
        <v>0.26700000000000002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12pm</vt:lpstr>
      <vt:lpstr>230pm </vt:lpstr>
      <vt:lpstr>5pm</vt:lpstr>
      <vt:lpstr>8pm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ONeill</dc:creator>
  <cp:lastModifiedBy>Kelly ONeill</cp:lastModifiedBy>
  <dcterms:created xsi:type="dcterms:W3CDTF">2025-10-15T17:12:29Z</dcterms:created>
  <dcterms:modified xsi:type="dcterms:W3CDTF">2025-12-12T01:52:42Z</dcterms:modified>
</cp:coreProperties>
</file>