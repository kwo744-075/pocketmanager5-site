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dx365.sharepoint.com/sites/TheGulfCoastRegion-GulfCoastDM/Shared Documents/Gulf Coast DM/Recognition/"/>
    </mc:Choice>
  </mc:AlternateContent>
  <xr:revisionPtr revIDLastSave="0" documentId="8_{15A8E057-DAF4-46D9-9454-413FCF5EFB39}" xr6:coauthVersionLast="47" xr6:coauthVersionMax="47" xr10:uidLastSave="{00000000-0000-0000-0000-000000000000}"/>
  <bookViews>
    <workbookView xWindow="-110" yWindow="-110" windowWidth="19420" windowHeight="10300" firstSheet="12" activeTab="12" xr2:uid="{00000000-000D-0000-FFFF-FFFF00000000}"/>
  </bookViews>
  <sheets>
    <sheet name="Dashboard" sheetId="10" r:id="rId1"/>
    <sheet name="Repeaters" sheetId="12" r:id="rId2"/>
    <sheet name="P1" sheetId="4" r:id="rId3"/>
    <sheet name="p2" sheetId="5" r:id="rId4"/>
    <sheet name="P3" sheetId="6" r:id="rId5"/>
    <sheet name="p3 DM" sheetId="2" r:id="rId6"/>
    <sheet name="P4" sheetId="11" r:id="rId7"/>
    <sheet name="p4 DM" sheetId="13" r:id="rId8"/>
    <sheet name="P5" sheetId="14" r:id="rId9"/>
    <sheet name="P5 DM" sheetId="15" r:id="rId10"/>
    <sheet name="P6" sheetId="17" r:id="rId11"/>
    <sheet name="P6 DM" sheetId="16" r:id="rId12"/>
    <sheet name="P7" sheetId="19" r:id="rId13"/>
    <sheet name="P7 DM (2)" sheetId="20" r:id="rId14"/>
    <sheet name="P8 DM" sheetId="18" r:id="rId15"/>
    <sheet name="P9 DM (2)" sheetId="24" r:id="rId16"/>
    <sheet name="P10" sheetId="22" r:id="rId17"/>
  </sheets>
  <definedNames>
    <definedName name="_xlnm.Print_Area" localSheetId="6">'P4'!$A$1:$H$34</definedName>
    <definedName name="_xlnm.Print_Area" localSheetId="8">'P5'!$A$1:$H$35</definedName>
    <definedName name="_xlnm.Print_Area" localSheetId="10">'P6'!$A$1:$G$35</definedName>
    <definedName name="_xlnm.Print_Area" localSheetId="12">'P7'!$A$1:$G$35</definedName>
    <definedName name="Slicer_Your_Name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9" l="1"/>
  <c r="P8" i="19"/>
  <c r="O8" i="19"/>
  <c r="N8" i="19"/>
  <c r="M8" i="19"/>
  <c r="L8" i="19"/>
  <c r="K8" i="19"/>
  <c r="J8" i="19"/>
  <c r="Q13" i="17"/>
  <c r="K8" i="17"/>
  <c r="L8" i="17"/>
  <c r="M8" i="17"/>
  <c r="N8" i="17"/>
  <c r="O8" i="17"/>
  <c r="P8" i="17"/>
  <c r="J8" i="17"/>
  <c r="C3" i="12"/>
  <c r="C4" i="12" a="1"/>
  <c r="C4" i="12"/>
  <c r="C5" i="12" a="1"/>
  <c r="C5" i="12"/>
  <c r="C6" i="12" a="1"/>
  <c r="C6" i="12"/>
  <c r="C7" i="12" a="1"/>
  <c r="C7" i="12"/>
  <c r="C8" i="12" a="1"/>
  <c r="C8" i="12"/>
  <c r="C9" i="12" a="1"/>
  <c r="C9" i="12"/>
  <c r="C10" i="12" a="1"/>
  <c r="C10" i="12"/>
  <c r="C11" i="12" a="1"/>
  <c r="C11" i="12"/>
  <c r="C12" i="12" a="1"/>
  <c r="C12" i="12"/>
  <c r="C13" i="12" a="1"/>
  <c r="C13" i="12"/>
  <c r="C14" i="12" a="1"/>
  <c r="C14" i="12"/>
  <c r="C15" i="12" a="1"/>
  <c r="C15" i="12"/>
  <c r="C16" i="12" a="1"/>
  <c r="C16" i="12"/>
  <c r="C17" i="12" a="1"/>
  <c r="C17" i="12"/>
  <c r="C18" i="12" a="1"/>
  <c r="C18" i="12"/>
  <c r="C19" i="12" a="1"/>
  <c r="C19" i="12"/>
  <c r="C20" i="12" a="1"/>
  <c r="C20" i="12"/>
  <c r="C21" i="12" a="1"/>
  <c r="C21" i="12"/>
  <c r="C22" i="12" a="1"/>
  <c r="C22" i="12"/>
  <c r="C23" i="12" a="1"/>
  <c r="C23" i="12"/>
  <c r="C24" i="12" a="1"/>
  <c r="C24" i="12"/>
  <c r="C25" i="12" a="1"/>
  <c r="C25" i="12"/>
  <c r="C26" i="12" a="1"/>
  <c r="C26" i="12"/>
  <c r="C27" i="12" a="1"/>
  <c r="C27" i="12"/>
  <c r="C28" i="12" a="1"/>
  <c r="C28" i="12"/>
  <c r="C29" i="12" a="1"/>
  <c r="C29" i="12"/>
  <c r="C30" i="12" a="1"/>
  <c r="C30" i="12"/>
  <c r="C31" i="12" a="1"/>
  <c r="C31" i="12"/>
  <c r="C32" i="12" a="1"/>
  <c r="C32" i="12"/>
  <c r="C33" i="12" a="1"/>
  <c r="C33" i="12"/>
  <c r="C34" i="12" a="1"/>
  <c r="C34" i="12"/>
  <c r="C35" i="12" a="1"/>
  <c r="C35" i="12"/>
  <c r="B4" i="12" a="1"/>
  <c r="B4" i="12"/>
  <c r="B5" i="12" a="1"/>
  <c r="B5" i="12"/>
  <c r="B6" i="12" a="1"/>
  <c r="B6" i="12"/>
  <c r="B7" i="12" a="1"/>
  <c r="B7" i="12"/>
  <c r="B8" i="12" a="1"/>
  <c r="B8" i="12"/>
  <c r="B9" i="12" a="1"/>
  <c r="B9" i="12"/>
  <c r="B10" i="12" a="1"/>
  <c r="B10" i="12"/>
  <c r="B11" i="12" a="1"/>
  <c r="B11" i="12"/>
  <c r="B12" i="12" a="1"/>
  <c r="B12" i="12"/>
  <c r="B13" i="12" a="1"/>
  <c r="B13" i="12"/>
  <c r="B14" i="12" a="1"/>
  <c r="B14" i="12"/>
  <c r="B15" i="12" a="1"/>
  <c r="B15" i="12"/>
  <c r="B16" i="12" a="1"/>
  <c r="B16" i="12"/>
  <c r="B17" i="12" a="1"/>
  <c r="B17" i="12"/>
  <c r="B18" i="12" a="1"/>
  <c r="B18" i="12"/>
  <c r="B19" i="12" a="1"/>
  <c r="B19" i="12"/>
  <c r="B20" i="12" a="1"/>
  <c r="B20" i="12"/>
  <c r="B21" i="12" a="1"/>
  <c r="B21" i="12"/>
  <c r="B22" i="12" a="1"/>
  <c r="B22" i="12"/>
  <c r="B23" i="12" a="1"/>
  <c r="B23" i="12"/>
  <c r="B24" i="12" a="1"/>
  <c r="B24" i="12"/>
  <c r="B25" i="12" a="1"/>
  <c r="B25" i="12"/>
  <c r="B26" i="12" a="1"/>
  <c r="B26" i="12"/>
  <c r="B27" i="12" a="1"/>
  <c r="B27" i="12"/>
  <c r="B28" i="12" a="1"/>
  <c r="B28" i="12"/>
  <c r="B29" i="12" a="1"/>
  <c r="B29" i="12"/>
  <c r="B30" i="12" a="1"/>
  <c r="B30" i="12"/>
  <c r="B31" i="12" a="1"/>
  <c r="B31" i="12"/>
  <c r="B32" i="12" a="1"/>
  <c r="B32" i="12"/>
  <c r="B33" i="12" a="1"/>
  <c r="B33" i="12"/>
  <c r="B34" i="12" a="1"/>
  <c r="B34" i="12"/>
  <c r="B35" i="12" a="1"/>
  <c r="B35" i="12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B16" i="10"/>
  <c r="Q12" i="10"/>
  <c r="E27" i="10"/>
  <c r="D27" i="10"/>
  <c r="D28" i="10" s="1"/>
  <c r="C27" i="10"/>
  <c r="B27" i="10"/>
  <c r="B28" i="10" s="1"/>
  <c r="C11" i="10"/>
  <c r="O11" i="10" s="1"/>
  <c r="B11" i="10"/>
  <c r="N11" i="10" s="1"/>
  <c r="C10" i="10"/>
  <c r="O10" i="10" s="1"/>
  <c r="B10" i="10"/>
  <c r="N10" i="10" s="1"/>
  <c r="C9" i="10"/>
  <c r="O9" i="10" s="1"/>
  <c r="B9" i="10"/>
  <c r="N9" i="10" s="1"/>
  <c r="C8" i="10"/>
  <c r="O8" i="10" s="1"/>
  <c r="B8" i="10"/>
  <c r="N8" i="10" s="1"/>
  <c r="C7" i="10"/>
  <c r="O7" i="10" s="1"/>
  <c r="B7" i="10"/>
  <c r="N7" i="10" s="1"/>
  <c r="C6" i="10"/>
  <c r="O6" i="10" s="1"/>
  <c r="B6" i="10"/>
  <c r="N6" i="10" s="1"/>
  <c r="C5" i="10"/>
  <c r="O5" i="10" s="1"/>
  <c r="B5" i="10"/>
  <c r="N5" i="10" s="1"/>
  <c r="N12" i="10" s="1"/>
  <c r="I12" i="10"/>
  <c r="H12" i="10"/>
  <c r="E12" i="10"/>
  <c r="D12" i="10"/>
  <c r="C12" i="10"/>
  <c r="B12" i="10"/>
  <c r="H13" i="10"/>
  <c r="D13" i="10"/>
  <c r="B13" i="10"/>
  <c r="C14" i="10" s="1"/>
  <c r="G12" i="10"/>
  <c r="G27" i="10"/>
  <c r="F27" i="10"/>
  <c r="F28" i="10" s="1"/>
  <c r="F12" i="10"/>
  <c r="F13" i="10" s="1"/>
  <c r="D28" i="6"/>
  <c r="D29" i="6"/>
  <c r="D34" i="6"/>
  <c r="D27" i="6"/>
  <c r="C28" i="6"/>
  <c r="C29" i="6"/>
  <c r="C30" i="6"/>
  <c r="C31" i="6"/>
  <c r="C32" i="6"/>
  <c r="D30" i="6"/>
  <c r="C33" i="6"/>
  <c r="D33" i="6"/>
  <c r="C27" i="6"/>
  <c r="B28" i="6"/>
  <c r="B29" i="6"/>
  <c r="B30" i="6"/>
  <c r="B31" i="6"/>
  <c r="B32" i="6"/>
  <c r="B33" i="6"/>
  <c r="B34" i="6"/>
  <c r="D31" i="6"/>
  <c r="B27" i="6"/>
  <c r="A32" i="6"/>
  <c r="A33" i="6"/>
  <c r="C34" i="6"/>
  <c r="D32" i="6"/>
  <c r="A28" i="6"/>
  <c r="A29" i="6"/>
  <c r="A30" i="6"/>
  <c r="A31" i="6"/>
  <c r="A27" i="6"/>
  <c r="N11" i="6"/>
  <c r="N16" i="6"/>
  <c r="H20" i="6"/>
  <c r="I20" i="6"/>
  <c r="J20" i="6"/>
  <c r="K20" i="6"/>
  <c r="L20" i="6"/>
  <c r="M20" i="6"/>
  <c r="G20" i="6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O12" i="10" l="1"/>
  <c r="R5" i="10"/>
  <c r="R6" i="10"/>
  <c r="R7" i="10"/>
  <c r="R8" i="10"/>
  <c r="R9" i="10"/>
  <c r="R10" i="10"/>
  <c r="R11" i="10"/>
  <c r="R12" i="10"/>
  <c r="N13" i="10"/>
  <c r="N14" i="10" s="1"/>
  <c r="N20" i="6"/>
  <c r="A27" i="2"/>
  <c r="A28" i="2" s="1"/>
  <c r="A29" i="2" s="1"/>
  <c r="A30" i="2" s="1"/>
  <c r="A31" i="2" s="1"/>
  <c r="Q13" i="10" l="1"/>
  <c r="O14" i="10"/>
  <c r="A32" i="2"/>
  <c r="A33" i="2" s="1"/>
  <c r="A34" i="2" s="1"/>
  <c r="A35" i="2" s="1"/>
  <c r="S14" i="10" l="1"/>
  <c r="Q1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<sst xmlns="http://schemas.openxmlformats.org/spreadsheetml/2006/main" count="3122" uniqueCount="1105">
  <si>
    <t xml:space="preserve">Gulf Goast Region Recognition Dashboard </t>
  </si>
  <si>
    <t>Quarter 1</t>
  </si>
  <si>
    <t>Quarter 2</t>
  </si>
  <si>
    <t>Quarter 3</t>
  </si>
  <si>
    <t>Quarter 4</t>
  </si>
  <si>
    <t xml:space="preserve">YTD </t>
  </si>
  <si>
    <t xml:space="preserve">Achievers Results </t>
  </si>
  <si>
    <t>YOUR HeartBeat</t>
  </si>
  <si>
    <t xml:space="preserve">Per Employee </t>
  </si>
  <si>
    <t xml:space="preserve">Per Shop </t>
  </si>
  <si>
    <t xml:space="preserve">KPI Award </t>
  </si>
  <si>
    <t>DM awards</t>
  </si>
  <si>
    <t>Baton Rouge North</t>
  </si>
  <si>
    <t>Baton Rouge South</t>
  </si>
  <si>
    <t>Gulf Coast North</t>
  </si>
  <si>
    <t>Gulf Coast West</t>
  </si>
  <si>
    <t>Lafayette</t>
  </si>
  <si>
    <t>NOLA North</t>
  </si>
  <si>
    <t>NOLA South</t>
  </si>
  <si>
    <t xml:space="preserve">Region Totals </t>
  </si>
  <si>
    <t>Region HeartBeat</t>
  </si>
  <si>
    <t xml:space="preserve">Region Heartbeat </t>
  </si>
  <si>
    <t xml:space="preserve">Heart Beats </t>
  </si>
  <si>
    <t>per Employee</t>
  </si>
  <si>
    <t>Q1</t>
  </si>
  <si>
    <t>Period 1</t>
  </si>
  <si>
    <t>Period 2</t>
  </si>
  <si>
    <t>Period 3</t>
  </si>
  <si>
    <t>Q2</t>
  </si>
  <si>
    <t>Period 4</t>
  </si>
  <si>
    <t>Period 5</t>
  </si>
  <si>
    <t>Period 6</t>
  </si>
  <si>
    <t xml:space="preserve">Region </t>
  </si>
  <si>
    <t>Q3</t>
  </si>
  <si>
    <t>Period 7</t>
  </si>
  <si>
    <t>Period 8</t>
  </si>
  <si>
    <t>Period 9</t>
  </si>
  <si>
    <t>Q4</t>
  </si>
  <si>
    <t>Period 10</t>
  </si>
  <si>
    <t>Period 11</t>
  </si>
  <si>
    <t>Period 12</t>
  </si>
  <si>
    <t xml:space="preserve">YTD Regional winners </t>
  </si>
  <si>
    <t>#</t>
  </si>
  <si>
    <t xml:space="preserve">Employee Name </t>
  </si>
  <si>
    <r>
      <rPr>
        <sz val="31"/>
        <color theme="0"/>
        <rFont val="Comic Sans MS"/>
        <family val="4"/>
      </rPr>
      <t xml:space="preserve">  Gulf Coast Region</t>
    </r>
    <r>
      <rPr>
        <sz val="31"/>
        <color theme="1"/>
        <rFont val="Comic Sans MS"/>
        <family val="4"/>
      </rPr>
      <t xml:space="preserve"> Period 1 Winners</t>
    </r>
  </si>
  <si>
    <t>KPI</t>
  </si>
  <si>
    <t>Qualifier</t>
  </si>
  <si>
    <t>Name</t>
  </si>
  <si>
    <t xml:space="preserve">Shop </t>
  </si>
  <si>
    <t>Over ALL</t>
  </si>
  <si>
    <t>All 3s or below are omitted</t>
  </si>
  <si>
    <t>Kyler Pierre</t>
  </si>
  <si>
    <t>NPS</t>
  </si>
  <si>
    <t>85% or better Tie goes to survey count</t>
  </si>
  <si>
    <t>Colby Smith</t>
  </si>
  <si>
    <t>Email Collection</t>
  </si>
  <si>
    <t>highest email 50 changes min.</t>
  </si>
  <si>
    <t>Pmix</t>
  </si>
  <si>
    <t>highest pmix 50 changes min.</t>
  </si>
  <si>
    <t>Amanda Herbert</t>
  </si>
  <si>
    <t>Big 4</t>
  </si>
  <si>
    <t xml:space="preserve">Highest overall 50 changes min. </t>
  </si>
  <si>
    <t>Cory Brathbury</t>
  </si>
  <si>
    <t xml:space="preserve">Bay Time </t>
  </si>
  <si>
    <t>Blake Theriot</t>
  </si>
  <si>
    <t>Total Oil Changes</t>
  </si>
  <si>
    <t>Min of 50 to qualify</t>
  </si>
  <si>
    <t>Scott Tillis</t>
  </si>
  <si>
    <t xml:space="preserve">Net ARO </t>
  </si>
  <si>
    <t>Highest over all 50 changes min</t>
  </si>
  <si>
    <t>Michael Martinez</t>
  </si>
  <si>
    <t xml:space="preserve">Coolants </t>
  </si>
  <si>
    <t>Jason Thompson</t>
  </si>
  <si>
    <t>Discounts</t>
  </si>
  <si>
    <t>Lowest discounts overall 50 changes min.</t>
  </si>
  <si>
    <t>Blake Matte</t>
  </si>
  <si>
    <t>Cars vs bud</t>
  </si>
  <si>
    <t>Highest overall % over budget</t>
  </si>
  <si>
    <t>cars vs comp</t>
  </si>
  <si>
    <t>Highest overall over % over Comp cars</t>
  </si>
  <si>
    <t xml:space="preserve">sales vs budget </t>
  </si>
  <si>
    <t>sales vs comp</t>
  </si>
  <si>
    <t>Highest overall % over Comp</t>
  </si>
  <si>
    <t xml:space="preserve">Claims by district </t>
  </si>
  <si>
    <t>NA</t>
  </si>
  <si>
    <t xml:space="preserve">Claims by shop </t>
  </si>
  <si>
    <t xml:space="preserve">District Manager Awards </t>
  </si>
  <si>
    <t xml:space="preserve">Most Improved </t>
  </si>
  <si>
    <t xml:space="preserve">District Manager Selection </t>
  </si>
  <si>
    <t xml:space="preserve">Best Audits </t>
  </si>
  <si>
    <t xml:space="preserve">Best Visits </t>
  </si>
  <si>
    <t xml:space="preserve">Turnover </t>
  </si>
  <si>
    <t xml:space="preserve">Compliance </t>
  </si>
  <si>
    <r>
      <rPr>
        <sz val="25"/>
        <color theme="0"/>
        <rFont val="Comic Sans MS"/>
        <family val="4"/>
      </rPr>
      <t xml:space="preserve">          Gulf Coast Region  </t>
    </r>
    <r>
      <rPr>
        <sz val="25"/>
        <color theme="1"/>
        <rFont val="Comic Sans MS"/>
        <family val="4"/>
      </rPr>
      <t xml:space="preserve"> Period 2 Winners</t>
    </r>
  </si>
  <si>
    <t>TOP KPIs</t>
  </si>
  <si>
    <t>Shop Winner</t>
  </si>
  <si>
    <t xml:space="preserve">Over ALL Top TECH </t>
  </si>
  <si>
    <t xml:space="preserve">Ranked overall NPS 85% or better </t>
  </si>
  <si>
    <t>Jessica Simmions 5.0</t>
  </si>
  <si>
    <t>Power Ranker #1</t>
  </si>
  <si>
    <t xml:space="preserve">Rank in top 3 for period on power ranking </t>
  </si>
  <si>
    <t>Steven Strickland</t>
  </si>
  <si>
    <t>Shop 12</t>
  </si>
  <si>
    <t>Power Ranker #2</t>
  </si>
  <si>
    <t xml:space="preserve">Anthony Loyal </t>
  </si>
  <si>
    <t xml:space="preserve">Shop 448 </t>
  </si>
  <si>
    <t>Power Ranker #3</t>
  </si>
  <si>
    <t>Mason Champagne</t>
  </si>
  <si>
    <t>Shop 26</t>
  </si>
  <si>
    <t>Ronald Santos 100%</t>
  </si>
  <si>
    <t>100 %Shop 12</t>
  </si>
  <si>
    <t>Jessica Simmions 92%</t>
  </si>
  <si>
    <t>86% Shop 31</t>
  </si>
  <si>
    <t>Amanda Hebert 99%</t>
  </si>
  <si>
    <t>98.3% Shop 6</t>
  </si>
  <si>
    <t>Thaij James Shop 113%</t>
  </si>
  <si>
    <t>117.1% Shop 843</t>
  </si>
  <si>
    <t>Blake Theriot 385</t>
  </si>
  <si>
    <t>Carl Arnold $171.62</t>
  </si>
  <si>
    <t>$175.44 Shop 843</t>
  </si>
  <si>
    <t>Jason Thompson 29%</t>
  </si>
  <si>
    <t>22% Shop 17</t>
  </si>
  <si>
    <t>Thaij James Shop $6.19</t>
  </si>
  <si>
    <t>4.2% Shop 720</t>
  </si>
  <si>
    <t>Differentials</t>
  </si>
  <si>
    <t>Shop with the highest overall Differential %</t>
  </si>
  <si>
    <t>Kirby Swan</t>
  </si>
  <si>
    <t xml:space="preserve"> 7.3% Shop 843</t>
  </si>
  <si>
    <t>Cars vs Budget</t>
  </si>
  <si>
    <t xml:space="preserve">Heather Roberts </t>
  </si>
  <si>
    <t>+180 Shop 865</t>
  </si>
  <si>
    <t>Loren Parfait</t>
  </si>
  <si>
    <t>+135 Shop 116</t>
  </si>
  <si>
    <t>Brandon Vega</t>
  </si>
  <si>
    <t>+$5429 Shop 92</t>
  </si>
  <si>
    <t>+43.9% Shop 865</t>
  </si>
  <si>
    <t xml:space="preserve">District Maanger Awards </t>
  </si>
  <si>
    <t>Kirby Swan Shop # 843</t>
  </si>
  <si>
    <t>Desi White Shop #832</t>
  </si>
  <si>
    <t>Dimitri Clark Shop #8</t>
  </si>
  <si>
    <t>Barnell Tatum Shop #11</t>
  </si>
  <si>
    <t>Clyde Williamson Shop #717</t>
  </si>
  <si>
    <t>Dee Kirst Shop #282</t>
  </si>
  <si>
    <t>Joe Billiot Shop #20</t>
  </si>
  <si>
    <t>Brandon Vega Shop #92</t>
  </si>
  <si>
    <t>Dekotah Coley Shop #641</t>
  </si>
  <si>
    <t>Miguel Alix Shop #4</t>
  </si>
  <si>
    <t>Ash Wilcox Shop #14</t>
  </si>
  <si>
    <t>Anthony Loyal Shop # 448</t>
  </si>
  <si>
    <t>Christian Broussard Shop #531</t>
  </si>
  <si>
    <t>Taylor harris Shop #2</t>
  </si>
  <si>
    <t>Anthony Mury Shop #24</t>
  </si>
  <si>
    <r>
      <rPr>
        <sz val="25"/>
        <color rgb="FFFFFFFF"/>
        <rFont val="Comic Sans MS"/>
      </rPr>
      <t xml:space="preserve">          Gulf Coast Region  </t>
    </r>
    <r>
      <rPr>
        <sz val="25"/>
        <color rgb="FF000000"/>
        <rFont val="Comic Sans MS"/>
      </rPr>
      <t xml:space="preserve"> Period 3 Winners</t>
    </r>
  </si>
  <si>
    <t>Top Tech Over ALL</t>
  </si>
  <si>
    <t xml:space="preserve">District Manager instructions </t>
  </si>
  <si>
    <t>Anthony McCarthy Shop 4</t>
  </si>
  <si>
    <t>Shop 448</t>
  </si>
  <si>
    <t xml:space="preserve">Look to see how many slots you have and go to "tab" P3 DM to fill in your awards </t>
  </si>
  <si>
    <t>Shop 116</t>
  </si>
  <si>
    <t xml:space="preserve">Slots for D.M awards </t>
  </si>
  <si>
    <t xml:space="preserve">Top Shop </t>
  </si>
  <si>
    <t>Heather Roberts</t>
  </si>
  <si>
    <t>Shop 865  + 25.98</t>
  </si>
  <si>
    <t>Shop 865 +25.98</t>
  </si>
  <si>
    <t xml:space="preserve">Correct Name and spelling for all your shop winners &amp; confirm still employed </t>
  </si>
  <si>
    <t>Shop 865 + 42.4%</t>
  </si>
  <si>
    <t>Shop and Tech KPI Winners</t>
  </si>
  <si>
    <t>Shop 865 25.5%</t>
  </si>
  <si>
    <t xml:space="preserve">Top Tech </t>
  </si>
  <si>
    <t>Lauren Witty Shop 12</t>
  </si>
  <si>
    <t>Shop 12 100%</t>
  </si>
  <si>
    <t>Devin Lepine -Shop 26</t>
  </si>
  <si>
    <t>Shop 26 76%</t>
  </si>
  <si>
    <t xml:space="preserve">Donald </t>
  </si>
  <si>
    <t xml:space="preserve">Kelly </t>
  </si>
  <si>
    <t>Garrett</t>
  </si>
  <si>
    <t xml:space="preserve">highest pmix 75 changes min. total Changes Break Tie </t>
  </si>
  <si>
    <t>Dyniesha Johnson - Shop 22</t>
  </si>
  <si>
    <t xml:space="preserve"> Shop 832 98.1%</t>
  </si>
  <si>
    <t xml:space="preserve">Total DM given </t>
  </si>
  <si>
    <t>Shop 843 - 80.1%</t>
  </si>
  <si>
    <t>Dyniesha Johnson- Shop 22</t>
  </si>
  <si>
    <t xml:space="preserve">Shop 12 - $162.21 </t>
  </si>
  <si>
    <t>Corey Washington - Shop 31</t>
  </si>
  <si>
    <t>Shop 19 - 14.1%</t>
  </si>
  <si>
    <t>Michael Raffety - Shop 641</t>
  </si>
  <si>
    <t>Shop 641 6.1%</t>
  </si>
  <si>
    <t xml:space="preserve">Christian Broussard </t>
  </si>
  <si>
    <t>Shop 531 6.8%</t>
  </si>
  <si>
    <t xml:space="preserve">District Manger Awards </t>
  </si>
  <si>
    <t>Period 3 District Manager Winners</t>
  </si>
  <si>
    <t>Shop #</t>
  </si>
  <si>
    <t xml:space="preserve">Position </t>
  </si>
  <si>
    <t>Given for</t>
  </si>
  <si>
    <t xml:space="preserve">Your Name </t>
  </si>
  <si>
    <t>PPT cmpt</t>
  </si>
  <si>
    <t xml:space="preserve">Dee Kirst </t>
  </si>
  <si>
    <t>SM</t>
  </si>
  <si>
    <t xml:space="preserve">company Contest Winner </t>
  </si>
  <si>
    <t xml:space="preserve">Kelly O'Neill </t>
  </si>
  <si>
    <t>Kenneth Elliot</t>
  </si>
  <si>
    <t>Missy's Weekend Contest</t>
  </si>
  <si>
    <t>Brandon Lange</t>
  </si>
  <si>
    <t xml:space="preserve">Christian Broussrd </t>
  </si>
  <si>
    <t xml:space="preserve">KPI Quartly Trends </t>
  </si>
  <si>
    <t xml:space="preserve">Desi White </t>
  </si>
  <si>
    <t xml:space="preserve">SM </t>
  </si>
  <si>
    <t>KPIs , sales &amp; cars</t>
  </si>
  <si>
    <t>Q1 #1 Shop District Ranking</t>
  </si>
  <si>
    <t>Donald Roy</t>
  </si>
  <si>
    <t>Clyde Williamson</t>
  </si>
  <si>
    <t>DMIT Graduate</t>
  </si>
  <si>
    <t>Percy Jones</t>
  </si>
  <si>
    <t>Brand Standards Execution</t>
  </si>
  <si>
    <t>Carl Arnold</t>
  </si>
  <si>
    <t>ASM</t>
  </si>
  <si>
    <t>Employee W/ Highest NPS - BRN</t>
  </si>
  <si>
    <t xml:space="preserve">Donald Roy </t>
  </si>
  <si>
    <t>Jamaryon Tatney</t>
  </si>
  <si>
    <t>Tech</t>
  </si>
  <si>
    <t>Q1 KPIS W/ Most Service Writes</t>
  </si>
  <si>
    <t>Barnell Tatum</t>
  </si>
  <si>
    <t>#1 in KPIs / Sales / Diffs</t>
  </si>
  <si>
    <t>Garrett Gee</t>
  </si>
  <si>
    <t>Sharwood Harrison</t>
  </si>
  <si>
    <t>Big-4 and Coolants</t>
  </si>
  <si>
    <t>Shawn Goodman</t>
  </si>
  <si>
    <t>Cars vs PY &amp; #1 Fuel Filters</t>
  </si>
  <si>
    <t>Jay Caston</t>
  </si>
  <si>
    <t>#1 NPS</t>
  </si>
  <si>
    <t>#1 P-Mix / #2 Coolants</t>
  </si>
  <si>
    <t>Devin Lepine</t>
  </si>
  <si>
    <t>Big-4 / Coolants / NPS</t>
  </si>
  <si>
    <t>Darrell Vaughn</t>
  </si>
  <si>
    <t>#1 Cars vs Budget and Comp</t>
  </si>
  <si>
    <t>James Cranch</t>
  </si>
  <si>
    <t xml:space="preserve">Cory Brathbury </t>
  </si>
  <si>
    <t>Highest PMix, Big 4, Coolants and Diffs</t>
  </si>
  <si>
    <t>Dimitri Clark</t>
  </si>
  <si>
    <t>Highest Fuel Filter %</t>
  </si>
  <si>
    <t>Largest Sales Beat</t>
  </si>
  <si>
    <t>No Reported claims or complaints</t>
  </si>
  <si>
    <t>Matthew McCarter</t>
  </si>
  <si>
    <t>Thaij James</t>
  </si>
  <si>
    <t>CT</t>
  </si>
  <si>
    <t>Highest Big 4/ coolant</t>
  </si>
  <si>
    <t xml:space="preserve">                    Des Batiste</t>
  </si>
  <si>
    <t xml:space="preserve">Kerry Malveaux </t>
  </si>
  <si>
    <t>Des Batiste</t>
  </si>
  <si>
    <t>Matthew Guillott</t>
  </si>
  <si>
    <t>Brandin Cormier</t>
  </si>
  <si>
    <t>Highest Net sales Variance</t>
  </si>
  <si>
    <t>Ali Abdullahi</t>
  </si>
  <si>
    <t>100% inventory compliance</t>
  </si>
  <si>
    <t>Taylor Harris</t>
  </si>
  <si>
    <t>Training Compliance 100%</t>
  </si>
  <si>
    <t>Giovanni Morris</t>
  </si>
  <si>
    <t>2 weeks into roll, hitting car budget</t>
  </si>
  <si>
    <t>James Schuster</t>
  </si>
  <si>
    <t>Highest Big 4 in district 85%</t>
  </si>
  <si>
    <t>Highest Net ARO at $150.29</t>
  </si>
  <si>
    <t>Christopher Webster</t>
  </si>
  <si>
    <t xml:space="preserve">Highest ARO $128.47,Big4 61.5%,FF 35.8% in District </t>
  </si>
  <si>
    <t xml:space="preserve">Cole </t>
  </si>
  <si>
    <t xml:space="preserve">Jason Wallmuth </t>
  </si>
  <si>
    <t>Best District Email Collection - 73%</t>
  </si>
  <si>
    <t xml:space="preserve">Dalton Harrington </t>
  </si>
  <si>
    <t xml:space="preserve">Going the extra mile </t>
  </si>
  <si>
    <r>
      <rPr>
        <sz val="25"/>
        <color rgb="FFFFFFFF"/>
        <rFont val="Comic Sans MS"/>
      </rPr>
      <t xml:space="preserve">          Gulf Coast Region  </t>
    </r>
    <r>
      <rPr>
        <sz val="25"/>
        <color rgb="FF000000"/>
        <rFont val="Comic Sans MS"/>
      </rPr>
      <t xml:space="preserve"> </t>
    </r>
    <r>
      <rPr>
        <sz val="25"/>
        <color rgb="FFFF0000"/>
        <rFont val="Comic Sans MS"/>
      </rPr>
      <t>Period 4 W</t>
    </r>
    <r>
      <rPr>
        <sz val="25"/>
        <color rgb="FF000000"/>
        <rFont val="Comic Sans MS"/>
      </rPr>
      <t>inners</t>
    </r>
  </si>
  <si>
    <t xml:space="preserve">Top Tech / Shop </t>
  </si>
  <si>
    <t>Over ALL (TOP TECH)</t>
  </si>
  <si>
    <t>Jessica Simonis</t>
  </si>
  <si>
    <t>Shop 280</t>
  </si>
  <si>
    <t>Shop 11</t>
  </si>
  <si>
    <t xml:space="preserve">Look to see how many slots you have and go to "tab" P4 DM to fill in your awards </t>
  </si>
  <si>
    <t xml:space="preserve">Clyde Williamson </t>
  </si>
  <si>
    <t>Shop 717</t>
  </si>
  <si>
    <t>Shop 865 + 160 cars</t>
  </si>
  <si>
    <t>Shop 865 + 44.8%</t>
  </si>
  <si>
    <t>Anthony Loyal</t>
  </si>
  <si>
    <t>Shop 448 +$38,620</t>
  </si>
  <si>
    <t>Shop 865 + 53.1%</t>
  </si>
  <si>
    <t>Amanda Hebert</t>
  </si>
  <si>
    <t># 865            100%</t>
  </si>
  <si>
    <t>Shop 865 100% / 54 surveys</t>
  </si>
  <si>
    <t>Cory Washington</t>
  </si>
  <si>
    <t>#31                     91%</t>
  </si>
  <si>
    <t>Diogenes Fresh</t>
  </si>
  <si>
    <t>Shop 31    90%</t>
  </si>
  <si>
    <t xml:space="preserve">#830 100%/ 155 changes </t>
  </si>
  <si>
    <t>Michael Parhams</t>
  </si>
  <si>
    <t>Shop 283   98 %</t>
  </si>
  <si>
    <t>Des</t>
  </si>
  <si>
    <t>brandon</t>
  </si>
  <si>
    <t>james</t>
  </si>
  <si>
    <t>Natiqua Johnson</t>
  </si>
  <si>
    <t>#18           116.5%</t>
  </si>
  <si>
    <t>Shop 11 79.7%</t>
  </si>
  <si>
    <t>Isaiah Davis</t>
  </si>
  <si>
    <t xml:space="preserve">#865                  723 changes </t>
  </si>
  <si>
    <t>#641 $170.53 161 changes</t>
  </si>
  <si>
    <t>Shop 11 157.19</t>
  </si>
  <si>
    <t xml:space="preserve">David Shaw  </t>
  </si>
  <si>
    <t>#29                      24%</t>
  </si>
  <si>
    <t>Shop 11 15.2%</t>
  </si>
  <si>
    <t>Austin Cuevas</t>
  </si>
  <si>
    <t>#6                    $7.50</t>
  </si>
  <si>
    <t>Shop 641 6.3%</t>
  </si>
  <si>
    <t>Shop 283 6.1%</t>
  </si>
  <si>
    <t>Rocke Chan</t>
  </si>
  <si>
    <t>Robert Mitchell</t>
  </si>
  <si>
    <t>Christian B</t>
  </si>
  <si>
    <t xml:space="preserve">Thaij James </t>
  </si>
  <si>
    <t>Chris Webster</t>
  </si>
  <si>
    <t>Kelsie Flintroy</t>
  </si>
  <si>
    <t xml:space="preserve">Lance Green </t>
  </si>
  <si>
    <t xml:space="preserve">Blaze Miller </t>
  </si>
  <si>
    <t xml:space="preserve">Natiqua Johnson </t>
  </si>
  <si>
    <t>Clyde Williamson IV</t>
  </si>
  <si>
    <t>Jordan Bryant</t>
  </si>
  <si>
    <t xml:space="preserve">Kirby Swan </t>
  </si>
  <si>
    <t>Clarence Ray</t>
  </si>
  <si>
    <t xml:space="preserve">Carl Arnold </t>
  </si>
  <si>
    <t>Will Torns</t>
  </si>
  <si>
    <t>Brelle Lewis</t>
  </si>
  <si>
    <t>Djuan Flemings</t>
  </si>
  <si>
    <t>Raquel Carmadelle</t>
  </si>
  <si>
    <t>Rydell Washington</t>
  </si>
  <si>
    <t>Ash Wilcox</t>
  </si>
  <si>
    <t>Claudell McDonald</t>
  </si>
  <si>
    <t>Period 4 District Manager Winners</t>
  </si>
  <si>
    <t>Antonio G</t>
  </si>
  <si>
    <t>100 % NPS period 4</t>
  </si>
  <si>
    <t xml:space="preserve">Kelly ONeill </t>
  </si>
  <si>
    <t>Highest District big 4 p4 58.3%</t>
  </si>
  <si>
    <t>Highest Diif % #1 District #2 Region P4 &amp; Highest FF % 57.1%</t>
  </si>
  <si>
    <t>Highest District NPS</t>
  </si>
  <si>
    <t>TOP performing ASM on KPIs P4</t>
  </si>
  <si>
    <t>Highest ARO for the District P4</t>
  </si>
  <si>
    <t>Highest Sales Beat P4</t>
  </si>
  <si>
    <t>400% Fuel Filters</t>
  </si>
  <si>
    <t>Acting SM</t>
  </si>
  <si>
    <t>Highest District NPS P4</t>
  </si>
  <si>
    <t>Most Improved P3 to P4</t>
  </si>
  <si>
    <t>Big-4 at 60.9% and 11.8% Coolants</t>
  </si>
  <si>
    <t>Top district Fuel Filters at 47.6%</t>
  </si>
  <si>
    <t>Highest big 4 in district P4(106%)</t>
  </si>
  <si>
    <t>Lowest discount in district for P4(4.6%)</t>
  </si>
  <si>
    <t>Best NPS in district in P4 (95%)</t>
  </si>
  <si>
    <t>Most Improved ASM P4</t>
  </si>
  <si>
    <t>96% Inventory Compliance</t>
  </si>
  <si>
    <t>5.00 Employee Performance Score</t>
  </si>
  <si>
    <t>Amazing training and development</t>
  </si>
  <si>
    <t>Lead Tech</t>
  </si>
  <si>
    <t>Amazing results less than 2 months in!</t>
  </si>
  <si>
    <t>Huge Improvement on shop results</t>
  </si>
  <si>
    <t>100% NPS with 10 surveys!</t>
  </si>
  <si>
    <t>$150.59 T/A on 338 write ups</t>
  </si>
  <si>
    <t>Out of shop training SM's in 954 and 847</t>
  </si>
  <si>
    <t>Cole Couvillion</t>
  </si>
  <si>
    <t>Best KPIs</t>
  </si>
  <si>
    <t>95.2% Spoke with Manager and 89.2% NPS</t>
  </si>
  <si>
    <t>90.7% Email Collection</t>
  </si>
  <si>
    <t>Highest Fuel filter % 34%</t>
  </si>
  <si>
    <t>Highest Coolant %</t>
  </si>
  <si>
    <t>Hightest ARO $188.26</t>
  </si>
  <si>
    <t xml:space="preserve"> Nola South Employee of the Month!</t>
  </si>
  <si>
    <t>Gulf Coast Region  Period 5 Winners</t>
  </si>
  <si>
    <t>Logan Mooty</t>
  </si>
  <si>
    <t>Shop 865</t>
  </si>
  <si>
    <t>Shop 32</t>
  </si>
  <si>
    <t>Tameka Lewis</t>
  </si>
  <si>
    <t>Shop 870</t>
  </si>
  <si>
    <t>Christopher Wentworth</t>
  </si>
  <si>
    <t>Shop 847</t>
  </si>
  <si>
    <t>Shop 865 +106 cars</t>
  </si>
  <si>
    <t>Shop 448 + 109 cars 11.9%</t>
  </si>
  <si>
    <t>Shop 448 +$23,086  / +22.6%</t>
  </si>
  <si>
    <t>Shop 847 +$9,47  / 42.7%</t>
  </si>
  <si>
    <t xml:space="preserve">All Require 80% min NPS </t>
  </si>
  <si>
    <t># 865            25/100%</t>
  </si>
  <si>
    <t xml:space="preserve">Shop 870 100% </t>
  </si>
  <si>
    <t>#728                     91%</t>
  </si>
  <si>
    <t>Shop 32      89%</t>
  </si>
  <si>
    <t>Chan Herndon</t>
  </si>
  <si>
    <t xml:space="preserve">#26  98.86% </t>
  </si>
  <si>
    <t>Shop 531   97.6 %</t>
  </si>
  <si>
    <t>Herman Flintroy</t>
  </si>
  <si>
    <t>#448           133/118.56%</t>
  </si>
  <si>
    <t>Shop 32 /68.8%</t>
  </si>
  <si>
    <t>Brandon Place</t>
  </si>
  <si>
    <t>#21</t>
  </si>
  <si>
    <t xml:space="preserve">Wadee Hodges </t>
  </si>
  <si>
    <t>#22  $171.08  125 changes</t>
  </si>
  <si>
    <t>Shop 11  / $149.97</t>
  </si>
  <si>
    <t>Joe Jeanfreau</t>
  </si>
  <si>
    <t>#14              22.5%</t>
  </si>
  <si>
    <t>Shop 19 13.9%</t>
  </si>
  <si>
    <t>#728                  $9.0</t>
  </si>
  <si>
    <t>Kevin Sartin</t>
  </si>
  <si>
    <t>Shop 17 / 7.2%</t>
  </si>
  <si>
    <t>Shop 531 4.7%</t>
  </si>
  <si>
    <t xml:space="preserve">Donations </t>
  </si>
  <si>
    <t xml:space="preserve">Highest Donations </t>
  </si>
  <si>
    <t>Shop 31 $609</t>
  </si>
  <si>
    <t xml:space="preserve">Brandon Vega </t>
  </si>
  <si>
    <t>Shop 92 $1850.50</t>
  </si>
  <si>
    <t>James Long</t>
  </si>
  <si>
    <t>Highest Performance Score</t>
  </si>
  <si>
    <t xml:space="preserve">Calin Labbe </t>
  </si>
  <si>
    <t>LT</t>
  </si>
  <si>
    <t>100% NPS Most Surveys</t>
  </si>
  <si>
    <t>Highest Sales Beat Baton Rouge North</t>
  </si>
  <si>
    <t>100% NPS 826 Oil Changes</t>
  </si>
  <si>
    <t>Noah Jourdan</t>
  </si>
  <si>
    <t>Promoted to Lead Tech</t>
  </si>
  <si>
    <t>Hayden Smith</t>
  </si>
  <si>
    <t>Promoted to ASM</t>
  </si>
  <si>
    <t>Joe Billiot</t>
  </si>
  <si>
    <t>District NPS Leader</t>
  </si>
  <si>
    <t>Kevin Arthur</t>
  </si>
  <si>
    <t>Big-4 and Coolant Record</t>
  </si>
  <si>
    <t>District Leader in Sales Comp</t>
  </si>
  <si>
    <t>Big-4 and Coolant Performance</t>
  </si>
  <si>
    <t>Training New SM's</t>
  </si>
  <si>
    <t>Ryan White</t>
  </si>
  <si>
    <t>Maintained 64% Big 4 as a store with SM out</t>
  </si>
  <si>
    <t>Jessie Clemons</t>
  </si>
  <si>
    <t xml:space="preserve">Joseph Duplechain </t>
  </si>
  <si>
    <t>Most Improved</t>
  </si>
  <si>
    <t>Keandre Broussard</t>
  </si>
  <si>
    <t>Customer Service Manic  (17 surveys 100%)</t>
  </si>
  <si>
    <t xml:space="preserve">Sam Crochet </t>
  </si>
  <si>
    <t>Highest Donations per Car ($1.23)</t>
  </si>
  <si>
    <t xml:space="preserve">Cyler David </t>
  </si>
  <si>
    <t>Highest Coolant (28.9%)</t>
  </si>
  <si>
    <t>Bryant Barthelemy</t>
  </si>
  <si>
    <t>Highest ARO ($150.72</t>
  </si>
  <si>
    <t>Hailey Higginbotham</t>
  </si>
  <si>
    <t>100% NPS on 15 Surveys</t>
  </si>
  <si>
    <t>4.8 Employee Performance Score</t>
  </si>
  <si>
    <t>Cameron Kern</t>
  </si>
  <si>
    <t>Highest Differential % (6.2%)</t>
  </si>
  <si>
    <t>Lauren Witty</t>
  </si>
  <si>
    <t xml:space="preserve">87% Big 4 </t>
  </si>
  <si>
    <t>James Bourdier</t>
  </si>
  <si>
    <t>6.3% Differential</t>
  </si>
  <si>
    <t>Employee of the Month</t>
  </si>
  <si>
    <t>Gulf Coast Region  Period 6 Winners</t>
  </si>
  <si>
    <t xml:space="preserve">District </t>
  </si>
  <si>
    <t>Nola S</t>
  </si>
  <si>
    <t>Shop 12 - Cory Brathbury</t>
  </si>
  <si>
    <t>GCW</t>
  </si>
  <si>
    <t>Shop 919 - Chris Webster</t>
  </si>
  <si>
    <t>Nola s</t>
  </si>
  <si>
    <t>Shop 13 - Mike Dear</t>
  </si>
  <si>
    <t>865 - Heather Roberts</t>
  </si>
  <si>
    <t>Shop 870 - Tameka Lewis</t>
  </si>
  <si>
    <t>NOLA N</t>
  </si>
  <si>
    <t>Shop 32 Giovanni Morris</t>
  </si>
  <si>
    <t>District</t>
  </si>
  <si>
    <t>Shop</t>
  </si>
  <si>
    <t xml:space="preserve">Result </t>
  </si>
  <si>
    <t>Shop 847 Chris Wentworth</t>
  </si>
  <si>
    <t>11 / 100%</t>
  </si>
  <si>
    <t>LAF</t>
  </si>
  <si>
    <t xml:space="preserve">Shop 728 Blaze Miller </t>
  </si>
  <si>
    <t>Shop 283 Team</t>
  </si>
  <si>
    <t>Shop 720 Kadarius Moss</t>
  </si>
  <si>
    <t xml:space="preserve">Fuel Filters </t>
  </si>
  <si>
    <t>BRN</t>
  </si>
  <si>
    <t>Shop 843</t>
  </si>
  <si>
    <t>NOla N</t>
  </si>
  <si>
    <t>Shop 280 Jessica Simionis</t>
  </si>
  <si>
    <t>Shop 5</t>
  </si>
  <si>
    <t xml:space="preserve">Region recognition PPT </t>
  </si>
  <si>
    <t>Highest Sales Beat - P6</t>
  </si>
  <si>
    <t>Best KPI Performance - P6</t>
  </si>
  <si>
    <t>Elisha Mcgee</t>
  </si>
  <si>
    <t>Highest Fuel Filter % - P6</t>
  </si>
  <si>
    <t>Djuan Fleming</t>
  </si>
  <si>
    <t>Highest Comp Sales - P6</t>
  </si>
  <si>
    <t>District shoutouts - intro movie only</t>
  </si>
  <si>
    <t>District's #1 Power Ranker - P6</t>
  </si>
  <si>
    <t>District's Highest Donations - P6</t>
  </si>
  <si>
    <t xml:space="preserve">Diana Webb </t>
  </si>
  <si>
    <t xml:space="preserve">Highest Employee Score P6 </t>
  </si>
  <si>
    <t xml:space="preserve">Highest NPS w/ Most Oil Changes </t>
  </si>
  <si>
    <t>Jeremy Barrett</t>
  </si>
  <si>
    <t>100% Prem Oil - P6</t>
  </si>
  <si>
    <t>Tionna Hodges</t>
  </si>
  <si>
    <t>Highest ARO - P6</t>
  </si>
  <si>
    <t>Allonzo Clark</t>
  </si>
  <si>
    <t>Highest Donations - P6</t>
  </si>
  <si>
    <t>Tanner Billings</t>
  </si>
  <si>
    <t>Lowest Discounts - P6</t>
  </si>
  <si>
    <t xml:space="preserve">Tionna Hodges </t>
  </si>
  <si>
    <t>Highest Coolant % - P6</t>
  </si>
  <si>
    <t xml:space="preserve">Tech </t>
  </si>
  <si>
    <t>Highest Big 4 - P6</t>
  </si>
  <si>
    <t>Kerry Malveaux</t>
  </si>
  <si>
    <t xml:space="preserve">Des Batiste </t>
  </si>
  <si>
    <t xml:space="preserve">Keith Sonnier </t>
  </si>
  <si>
    <t>Kadarius Moss</t>
  </si>
  <si>
    <t xml:space="preserve">Deion williams </t>
  </si>
  <si>
    <t>Lead</t>
  </si>
  <si>
    <t>Employee of the month P6</t>
  </si>
  <si>
    <t>Kelly ONeill</t>
  </si>
  <si>
    <t xml:space="preserve">Rocke Chan </t>
  </si>
  <si>
    <t>#1 district Power ranker</t>
  </si>
  <si>
    <t>Best KPIs Sweep P6</t>
  </si>
  <si>
    <t xml:space="preserve">Dragana Kirst </t>
  </si>
  <si>
    <t xml:space="preserve">District Support </t>
  </si>
  <si>
    <t xml:space="preserve">Kiley Clifton </t>
  </si>
  <si>
    <t>Most improved shop p6</t>
  </si>
  <si>
    <t xml:space="preserve">Kelsie Flintroy </t>
  </si>
  <si>
    <t xml:space="preserve">Lead </t>
  </si>
  <si>
    <t xml:space="preserve">Best ARO &amp; Big 4 District - P6 </t>
  </si>
  <si>
    <t xml:space="preserve">Highest Email Collection </t>
  </si>
  <si>
    <t>Xavier G</t>
  </si>
  <si>
    <t>CTT</t>
  </si>
  <si>
    <t>Highest Pmix P6</t>
  </si>
  <si>
    <t>Glenn V</t>
  </si>
  <si>
    <t xml:space="preserve">ASM </t>
  </si>
  <si>
    <t>Highest NPS P6</t>
  </si>
  <si>
    <t>Russell Chambers</t>
  </si>
  <si>
    <t xml:space="preserve">Natiquia Johnson </t>
  </si>
  <si>
    <t>Promotions</t>
  </si>
  <si>
    <t>Highest Spoke With Manager</t>
  </si>
  <si>
    <t>Mike Dear</t>
  </si>
  <si>
    <t>Most Google Reviews (43)</t>
  </si>
  <si>
    <t>5.0 Google Score</t>
  </si>
  <si>
    <t>Matt McCarter</t>
  </si>
  <si>
    <t>Highest Car count beat</t>
  </si>
  <si>
    <t>Kai Stanley</t>
  </si>
  <si>
    <t>Top Sales vs Budget</t>
  </si>
  <si>
    <t>11 &amp; 26</t>
  </si>
  <si>
    <t>Top ARO $147.47</t>
  </si>
  <si>
    <t>Top Coolants 11.9%</t>
  </si>
  <si>
    <t>Top Big-4 63.9%</t>
  </si>
  <si>
    <t>Terrence Douglas</t>
  </si>
  <si>
    <t>Top NPS 85%</t>
  </si>
  <si>
    <t>Big-4 Performance 93.2%</t>
  </si>
  <si>
    <t>Big-4 Performance 90.7%</t>
  </si>
  <si>
    <t>$137.19 T/A</t>
  </si>
  <si>
    <t>Rocky Carmadelle</t>
  </si>
  <si>
    <t>55% Fuel Filters</t>
  </si>
  <si>
    <t>4.6 Employee Performance Score</t>
  </si>
  <si>
    <t>Highest T/A in district $153</t>
  </si>
  <si>
    <t>Justin Smith</t>
  </si>
  <si>
    <t>100% NPS 12 surveys</t>
  </si>
  <si>
    <t>94% Big 4 on 233 writes</t>
  </si>
  <si>
    <t>Helping Hand with District</t>
  </si>
  <si>
    <t>Lake Charles Team</t>
  </si>
  <si>
    <t>Techs</t>
  </si>
  <si>
    <t>Big-4 Performance 69.8%</t>
  </si>
  <si>
    <t>Top NPS Performance 96.4% on 54 Surveys</t>
  </si>
  <si>
    <t>Chris Wentworth</t>
  </si>
  <si>
    <t>Top Sales vs Budget +26.5%</t>
  </si>
  <si>
    <t>employee top spot</t>
  </si>
  <si>
    <t xml:space="preserve">Shop Top Spot </t>
  </si>
  <si>
    <t>Region Winner Top ARO $175.85</t>
  </si>
  <si>
    <t>P7 Highest Comp Sales - District</t>
  </si>
  <si>
    <t xml:space="preserve">P7 90% Spoke W/ Manager - 81% NPS </t>
  </si>
  <si>
    <t>Davion C</t>
  </si>
  <si>
    <t xml:space="preserve">Region Winner Top Diffs @ 10% on 186 Changes </t>
  </si>
  <si>
    <t>Philip Ziegler</t>
  </si>
  <si>
    <t>Region Winner Best Big 4 @ 62.4%</t>
  </si>
  <si>
    <t>Region Winner Top FF @ 60%</t>
  </si>
  <si>
    <t>Region Winner Top Coolants @ 13.2%</t>
  </si>
  <si>
    <t>Disrict Power Ranker #1</t>
  </si>
  <si>
    <t xml:space="preserve">Davion Coleman </t>
  </si>
  <si>
    <t xml:space="preserve">District Winner Highest NPS 100% </t>
  </si>
  <si>
    <t xml:space="preserve">Xavier Goldman </t>
  </si>
  <si>
    <t>District Employee Of The Month</t>
  </si>
  <si>
    <t>District Winner Big-4 58.6%</t>
  </si>
  <si>
    <t>District Winner Coolants 10.2%</t>
  </si>
  <si>
    <t>Anthony Mury</t>
  </si>
  <si>
    <t>Highest Qty. Diffs: 70</t>
  </si>
  <si>
    <t>Best overall Performance</t>
  </si>
  <si>
    <t>District Winner Fuel Filters: 43.5%</t>
  </si>
  <si>
    <t>District Winner Sales vs Budget</t>
  </si>
  <si>
    <t>District Winner NPS: 92.3%</t>
  </si>
  <si>
    <t xml:space="preserve">Trivia Slide </t>
  </si>
  <si>
    <t>Region Winner Best Discounts @ 4.6%</t>
  </si>
  <si>
    <t>Dylan Cormier</t>
  </si>
  <si>
    <t>Region Winner Top Oil Changes @ 461</t>
  </si>
  <si>
    <t>Brian Reyes</t>
  </si>
  <si>
    <t>Region Winner Best Discounts @ 7.4 %</t>
  </si>
  <si>
    <t>Lakamion Franklin</t>
  </si>
  <si>
    <t>Most Consistent on GSG</t>
  </si>
  <si>
    <t xml:space="preserve">Joseph Duplchein </t>
  </si>
  <si>
    <t>Top Big 4 in District 106%</t>
  </si>
  <si>
    <t xml:space="preserve">Best in Region </t>
  </si>
  <si>
    <t>Employee of the Month P7</t>
  </si>
  <si>
    <t>Region Winner Top Tech @ 4.8</t>
  </si>
  <si>
    <t xml:space="preserve">Region Winner Top NPS 100% 18 Surveys </t>
  </si>
  <si>
    <t>Jessie Clemmons</t>
  </si>
  <si>
    <t xml:space="preserve">Region Winner Big 4 99% on 152 Changes </t>
  </si>
  <si>
    <t xml:space="preserve">Region Winner Best Pmix @ 99% on 319 changes </t>
  </si>
  <si>
    <t>Region Winner Best Email @ 92%</t>
  </si>
  <si>
    <t>Chris (Webby) Webster</t>
  </si>
  <si>
    <t>Regional Power Ranker #1</t>
  </si>
  <si>
    <t>Region Winner Best Pmix @ 96.7%</t>
  </si>
  <si>
    <t xml:space="preserve">Region Winner Top NPS @ 96.6% w/ 58 Surveys </t>
  </si>
  <si>
    <t xml:space="preserve">Region Winner Top Email Collection </t>
  </si>
  <si>
    <t>Regional Power Ranker #2</t>
  </si>
  <si>
    <t>Miguel Alix</t>
  </si>
  <si>
    <t>Regional Power Ranker #3</t>
  </si>
  <si>
    <t>Region Winner Top Diffs @ 4.4%</t>
  </si>
  <si>
    <t>Cleatus Penn</t>
  </si>
  <si>
    <t>Top Big 4 in District 86%</t>
  </si>
  <si>
    <t>Jerome Johnson</t>
  </si>
  <si>
    <t>100% NPS on 12 Surveys</t>
  </si>
  <si>
    <t xml:space="preserve">93.1% NPS </t>
  </si>
  <si>
    <t>Darius Joseph</t>
  </si>
  <si>
    <t>Region Winner Top Coolant @ 25% on 220 Changes</t>
  </si>
  <si>
    <t xml:space="preserve">James Cranch </t>
  </si>
  <si>
    <t>Region Winner TOP ARO $142.87</t>
  </si>
  <si>
    <t>9.9 Survey Speed</t>
  </si>
  <si>
    <t>Most Google Reviews (58)</t>
  </si>
  <si>
    <t>Chance Griffin</t>
  </si>
  <si>
    <t>Most Surveys with 100% NPS</t>
  </si>
  <si>
    <t>Collis Chatman/Bailey Deason</t>
  </si>
  <si>
    <t>Highest Spoke with Mgr %</t>
  </si>
  <si>
    <t>other recognition you want to give goes below here</t>
  </si>
  <si>
    <t xml:space="preserve">Birthdays </t>
  </si>
  <si>
    <t xml:space="preserve">Anny </t>
  </si>
  <si>
    <t xml:space="preserve">David Sparrow </t>
  </si>
  <si>
    <t>August Birthday</t>
  </si>
  <si>
    <t xml:space="preserve">Name </t>
  </si>
  <si>
    <t>Keon Baylock</t>
  </si>
  <si>
    <t>Cody Doyle</t>
  </si>
  <si>
    <t>Caden Bailey</t>
  </si>
  <si>
    <t>Kit Kleinpeter</t>
  </si>
  <si>
    <t xml:space="preserve">Leonard Johnson </t>
  </si>
  <si>
    <t>Happy Birthday!</t>
  </si>
  <si>
    <t xml:space="preserve">Kelly oneill </t>
  </si>
  <si>
    <t>Keith Sonnier</t>
  </si>
  <si>
    <t>Tyler Landry</t>
  </si>
  <si>
    <t>Promotion To Shop Manager</t>
  </si>
  <si>
    <t>Kaleb Davis</t>
  </si>
  <si>
    <t>Cody Domangue</t>
  </si>
  <si>
    <t>Jamerro Robinson</t>
  </si>
  <si>
    <t>Cedano, Arriel</t>
  </si>
  <si>
    <t>Englade, Nathan</t>
  </si>
  <si>
    <t>Nicholas Velara</t>
  </si>
  <si>
    <t>Cade Munivez</t>
  </si>
  <si>
    <t>Happy Anniversary!</t>
  </si>
  <si>
    <t>Arzel Cedano</t>
  </si>
  <si>
    <t>Bailey Deason</t>
  </si>
  <si>
    <t>Lucas Howard</t>
  </si>
  <si>
    <t>Nazyin Smith</t>
  </si>
  <si>
    <t>Jamal Peck</t>
  </si>
  <si>
    <t>Summer Weddingfeld</t>
  </si>
  <si>
    <t>District Helping Hand @ 283</t>
  </si>
  <si>
    <t>District Helping Hand @ 954</t>
  </si>
  <si>
    <t>Happy Anniversary! 2 Years!</t>
  </si>
  <si>
    <t>Lube Tech</t>
  </si>
  <si>
    <t>Happy Anniversary! 3 Years</t>
  </si>
  <si>
    <t>Happy Anniversary!  3 Years</t>
  </si>
  <si>
    <t>Happy Anniversary!  2 Years</t>
  </si>
  <si>
    <t>Happy Anniversary!  1 Year</t>
  </si>
  <si>
    <t>Anniversaries</t>
  </si>
  <si>
    <t>Region Winner Highest ARO $198.30 / 157 changes</t>
  </si>
  <si>
    <t>Raydrick Sterling</t>
  </si>
  <si>
    <t xml:space="preserve">Region winner Lowest Discounts </t>
  </si>
  <si>
    <t>Region Winner Highest Diff @ 10%</t>
  </si>
  <si>
    <t>Ali Abdullahi (2 years)</t>
  </si>
  <si>
    <t>Region Winner Highest Comp Sales @ 33.8%</t>
  </si>
  <si>
    <t>Calvin Singer</t>
  </si>
  <si>
    <t>Claudell McDonald (1 year)</t>
  </si>
  <si>
    <t>Region Winner Power Ranker #3</t>
  </si>
  <si>
    <t>Tre Brown</t>
  </si>
  <si>
    <t>Blaze Cole (2 years)</t>
  </si>
  <si>
    <t xml:space="preserve">Clyde Williamson IV &amp; 717 </t>
  </si>
  <si>
    <t>District Highest Donations .84 Cent per Car</t>
  </si>
  <si>
    <t>Lyzeal Marshall</t>
  </si>
  <si>
    <t>Tyler Brand (3 years)</t>
  </si>
  <si>
    <t xml:space="preserve">Best NPS 100% / 100% Spoke W Manager </t>
  </si>
  <si>
    <t>Emily Bradford</t>
  </si>
  <si>
    <t>Marco Acosta (3 years)</t>
  </si>
  <si>
    <t>Region Winner Highest Big 4 %</t>
  </si>
  <si>
    <t>Jamal Johnson</t>
  </si>
  <si>
    <t>Keandre Broussard (1 year)</t>
  </si>
  <si>
    <t>Region Winner Highest Coolant % 15.7%</t>
  </si>
  <si>
    <t>DM</t>
  </si>
  <si>
    <t>Brandon Vega (4 Years)</t>
  </si>
  <si>
    <t>District Winner #1 Power Ranker</t>
  </si>
  <si>
    <t>Tyler Gilbert</t>
  </si>
  <si>
    <t>Wade Lafont (3 Years)</t>
  </si>
  <si>
    <t>District Winner Highest Coolant @ 14%</t>
  </si>
  <si>
    <t>Jerry Clark</t>
  </si>
  <si>
    <t>Thomas Hogan (2 Years)</t>
  </si>
  <si>
    <t>District Winner Highest Big4 @ 81%</t>
  </si>
  <si>
    <t>Tyler Milton</t>
  </si>
  <si>
    <t>Dimitri Clark (2 Years)</t>
  </si>
  <si>
    <t>District Winner - Sales Comp 17.7% &amp; budget beat by 38 cars</t>
  </si>
  <si>
    <t>Darrell Vaughn (1 Year)</t>
  </si>
  <si>
    <t>District Winner Highest Big4 @ 62.1%</t>
  </si>
  <si>
    <t>James Bourdier (1 Year)</t>
  </si>
  <si>
    <t>#1 Power Rank</t>
  </si>
  <si>
    <t>Wade Lafont</t>
  </si>
  <si>
    <t>Scott Tillis (5 yrs)</t>
  </si>
  <si>
    <t>Best NPS: 93.3%</t>
  </si>
  <si>
    <t>John Broussard Jr</t>
  </si>
  <si>
    <t>Nate Nulia (1 yr)</t>
  </si>
  <si>
    <t>Jarod Waters</t>
  </si>
  <si>
    <t>Highest Diffs - 5.9%</t>
  </si>
  <si>
    <t>Ray Brown (2 yrs)</t>
  </si>
  <si>
    <t xml:space="preserve">Highest Car Count: 1,911 </t>
  </si>
  <si>
    <t>Marla Miller</t>
  </si>
  <si>
    <t>Kirby Swan (2 years)</t>
  </si>
  <si>
    <t>#1 Fuel Filters: 39%</t>
  </si>
  <si>
    <t>Jerremy Talbot</t>
  </si>
  <si>
    <t>Barnell Tatum and Sharwood Harrison</t>
  </si>
  <si>
    <t>26/11</t>
  </si>
  <si>
    <t>#1 in Coolants: 11%</t>
  </si>
  <si>
    <t>Nathan Arbuckle</t>
  </si>
  <si>
    <t>#1 Big-4: 64.8%</t>
  </si>
  <si>
    <t>Region Winner Best Discounts @ 6.8%</t>
  </si>
  <si>
    <t xml:space="preserve">Brian Reyes </t>
  </si>
  <si>
    <t xml:space="preserve">Most Improved Shop </t>
  </si>
  <si>
    <t>#1 in Power Rank in District</t>
  </si>
  <si>
    <t xml:space="preserve">Region Clubs </t>
  </si>
  <si>
    <t xml:space="preserve">Jessica Smionis </t>
  </si>
  <si>
    <t xml:space="preserve">100% drink score </t>
  </si>
  <si>
    <t>Tevin Archon</t>
  </si>
  <si>
    <t>Shop Donations $2k Club</t>
  </si>
  <si>
    <t>NPS - 100%</t>
  </si>
  <si>
    <t>Yarr</t>
  </si>
  <si>
    <t>Region Winner Highest Coolant % 23%</t>
  </si>
  <si>
    <t xml:space="preserve">Amount </t>
  </si>
  <si>
    <t>Region Winner Email Collection @ 78%</t>
  </si>
  <si>
    <t>Shop 4 - Miguel Alix</t>
  </si>
  <si>
    <t>Region Winner Highest Budget Sales @ $13,287</t>
  </si>
  <si>
    <t>Shop 92 - Brandon Vega</t>
  </si>
  <si>
    <t>Region Winner Best Cars Vs Budget @ +117</t>
  </si>
  <si>
    <t>5 - Terrence Douglas</t>
  </si>
  <si>
    <t>Region Winner Cars Vs LY @ +142</t>
  </si>
  <si>
    <t>6 - Ali Abdullahi</t>
  </si>
  <si>
    <t>Region Winner Power Ranker #1</t>
  </si>
  <si>
    <t>Helping Hand Training New SM @ 283</t>
  </si>
  <si>
    <t>Shop Donations $5k Club</t>
  </si>
  <si>
    <t xml:space="preserve">Region Winner Highest NPS @100% on 16 Surveys </t>
  </si>
  <si>
    <t>96% Spoke with Manager and Drink %</t>
  </si>
  <si>
    <t>Highest FF % @ 84.6%</t>
  </si>
  <si>
    <t>Region Winner Highest Diffs @ 4.7%</t>
  </si>
  <si>
    <t>Region Winner Power Ranker #2</t>
  </si>
  <si>
    <t>Owen Hebert</t>
  </si>
  <si>
    <t>P8 Employee of the Month</t>
  </si>
  <si>
    <t>Travis Jordan</t>
  </si>
  <si>
    <t>73% Big 4 and $144 T/A</t>
  </si>
  <si>
    <t>Region Winner Best NPS @ 100% w/26 surveys</t>
  </si>
  <si>
    <t>Bronze Hero $250</t>
  </si>
  <si>
    <t>Silver Hero $500</t>
  </si>
  <si>
    <t>Golden Hero $750</t>
  </si>
  <si>
    <t>Platinum Hero $1000</t>
  </si>
  <si>
    <t>Quan Butler</t>
  </si>
  <si>
    <t xml:space="preserve">Region Winner Highest NPS @100% on 20 Surveys </t>
  </si>
  <si>
    <t>Region Winner Highest ARO @ $144.77</t>
  </si>
  <si>
    <t>Jesse Clemmons</t>
  </si>
  <si>
    <t>Chance (Doodle) Griffin</t>
  </si>
  <si>
    <t>Region Winner TOP TECH W/ 4.8</t>
  </si>
  <si>
    <t>Region Winner Highest Big 4% 124%</t>
  </si>
  <si>
    <t>Blake Theriot (Shop 92)</t>
  </si>
  <si>
    <t>Mike Dear Jr.</t>
  </si>
  <si>
    <t>Most Surveys in district (71) @ 92%</t>
  </si>
  <si>
    <t>Ronald Santos</t>
  </si>
  <si>
    <t>Most google Reviews with 5.0 (43)</t>
  </si>
  <si>
    <t xml:space="preserve">other awards here only </t>
  </si>
  <si>
    <t>Simon Pulido (Shop 92)</t>
  </si>
  <si>
    <t>Dee Funchess</t>
  </si>
  <si>
    <t>Courtney Jackson</t>
  </si>
  <si>
    <t>John Broussard Jr (Shop 92)</t>
  </si>
  <si>
    <t>Trey Davis (Shop 92)</t>
  </si>
  <si>
    <t>Terrance Kemp</t>
  </si>
  <si>
    <t>Jeremy Talbot</t>
  </si>
  <si>
    <t>Nathan Burlson (Shop 10)</t>
  </si>
  <si>
    <t>Tyler Brand</t>
  </si>
  <si>
    <t>Raymond Brown</t>
  </si>
  <si>
    <t>Jaymes Marshall</t>
  </si>
  <si>
    <t>Justin Jackson (Shop 31)</t>
  </si>
  <si>
    <t xml:space="preserve">David Shaw </t>
  </si>
  <si>
    <t>DaQuan Wiggins (Shop 92)</t>
  </si>
  <si>
    <t>Dylan Peters</t>
  </si>
  <si>
    <t>Adam Abadie</t>
  </si>
  <si>
    <t>Cory Brathbury (Shop 12)</t>
  </si>
  <si>
    <t>Jamal Peck (Shop 10)</t>
  </si>
  <si>
    <t>Ian Goebel</t>
  </si>
  <si>
    <t>Treyvon King</t>
  </si>
  <si>
    <t>Jared Mayeux</t>
  </si>
  <si>
    <t>Charley Weeks</t>
  </si>
  <si>
    <t>Anthony Walker</t>
  </si>
  <si>
    <t>Joshua Strother</t>
  </si>
  <si>
    <t>Paris Williams</t>
  </si>
  <si>
    <t>Joshua Hoard</t>
  </si>
  <si>
    <t>Dalton Herrington</t>
  </si>
  <si>
    <t>Rob Fonzo</t>
  </si>
  <si>
    <t>Quan Butler (Shop 13)</t>
  </si>
  <si>
    <t>Debbie Donaldson</t>
  </si>
  <si>
    <t>Matthew Alfred</t>
  </si>
  <si>
    <t>Abram Halley</t>
  </si>
  <si>
    <t xml:space="preserve">Welcome to the Team </t>
  </si>
  <si>
    <t>Region Winner Highest ARO $198.81</t>
  </si>
  <si>
    <t xml:space="preserve">Raydrick Sterling Termed </t>
  </si>
  <si>
    <t>Region Winner Lowest Discounts @ 2 %</t>
  </si>
  <si>
    <t>Dragana Kirst</t>
  </si>
  <si>
    <t xml:space="preserve">Rocke Chan 1 year </t>
  </si>
  <si>
    <t>Region Winner Highest Diff % @ 13% w/ 120 changes</t>
  </si>
  <si>
    <t>Kiley Clifton</t>
  </si>
  <si>
    <t>Davion Coleman 1 year</t>
  </si>
  <si>
    <t>Region Winner Lowest Discounts @ 5.3 %</t>
  </si>
  <si>
    <t>Ray Brown</t>
  </si>
  <si>
    <t>Jakoby Davis 1 year</t>
  </si>
  <si>
    <t>Erroll Lane</t>
  </si>
  <si>
    <t>Region Winner Highest Comp Sales @ 52.9%</t>
  </si>
  <si>
    <t>Brandon Smith</t>
  </si>
  <si>
    <t>Kevin Arthur (14yrs)</t>
  </si>
  <si>
    <t>Triston Snyder</t>
  </si>
  <si>
    <t>Region Winner Highest Car Comp @ 30%</t>
  </si>
  <si>
    <t>Devin Lepine (2yrs)</t>
  </si>
  <si>
    <t>Maya Ledet</t>
  </si>
  <si>
    <t>Kiffy Robinson</t>
  </si>
  <si>
    <t>Camron Weeden (1yr)</t>
  </si>
  <si>
    <t>Dylan Guidry</t>
  </si>
  <si>
    <t>Region Winner Highest Fuel Filters @ 75%</t>
  </si>
  <si>
    <t>Will Sours</t>
  </si>
  <si>
    <t>Dameian McDonald (2yrs)</t>
  </si>
  <si>
    <t>Nathaniel Quinones</t>
  </si>
  <si>
    <t>Leonard Johnson</t>
  </si>
  <si>
    <t>District Winner Highest Big4% @ 63.3%</t>
  </si>
  <si>
    <t>Dameian McDonald</t>
  </si>
  <si>
    <t>Tionna Hodges (1 yr)</t>
  </si>
  <si>
    <t>Hudson Crotchet</t>
  </si>
  <si>
    <t>District Winner Highest ARO @ $128.58</t>
  </si>
  <si>
    <t>Djuan Fleming (3yrs)</t>
  </si>
  <si>
    <t>Saeed Jamison</t>
  </si>
  <si>
    <t xml:space="preserve">District Winner Highest Sales comp (11.8%) &amp; Budegt (3.4%) P9 </t>
  </si>
  <si>
    <t>Breyden Magyar</t>
  </si>
  <si>
    <t>Kenneth Elliot(4 years)</t>
  </si>
  <si>
    <t>Trae Dakin</t>
  </si>
  <si>
    <t>District Winner Highest Coolant % @ 8.8%</t>
  </si>
  <si>
    <t>James Achee</t>
  </si>
  <si>
    <t>Arselle Cameron(2 years)</t>
  </si>
  <si>
    <t>Glenn Vann</t>
  </si>
  <si>
    <t>District Winner Employee of the Month P9</t>
  </si>
  <si>
    <t>Jay Bryant(1 year)</t>
  </si>
  <si>
    <t>District Winner Highest ARO @ $142.11</t>
  </si>
  <si>
    <t xml:space="preserve">Kasey Williams (2 Years) </t>
  </si>
  <si>
    <t>Region Winner highest Big4% @ 69.5%</t>
  </si>
  <si>
    <t>Torrence Vance</t>
  </si>
  <si>
    <t>Jarod Water</t>
  </si>
  <si>
    <t xml:space="preserve">Region Winner Highest Diff % @ 6.6% </t>
  </si>
  <si>
    <t>NPS 95.5%</t>
  </si>
  <si>
    <t>Trey King</t>
  </si>
  <si>
    <t>50% Fuel Filters</t>
  </si>
  <si>
    <t>Highest Car count w/65.7% Big-4</t>
  </si>
  <si>
    <t>Tommy Lee Valerio</t>
  </si>
  <si>
    <t>Best Sales vs Budget +2.5%</t>
  </si>
  <si>
    <t>Paul Wilson</t>
  </si>
  <si>
    <t>Jonathan Coleman</t>
  </si>
  <si>
    <t>Jerome Jackson</t>
  </si>
  <si>
    <t xml:space="preserve">Region Winner Most FF sold </t>
  </si>
  <si>
    <t>Josiyah Charles</t>
  </si>
  <si>
    <t>Region Winner Highest Pmix @ 99% w/232 changes</t>
  </si>
  <si>
    <t>Landry, Tyler</t>
  </si>
  <si>
    <t>Last Reported Claim over 90 days ago</t>
  </si>
  <si>
    <t>McCarter, Matthew</t>
  </si>
  <si>
    <t>Ty'Aaron Jenkins</t>
  </si>
  <si>
    <t>Highest Coolant 11%</t>
  </si>
  <si>
    <t>Voisin, Ernest Junior</t>
  </si>
  <si>
    <t xml:space="preserve">Jerome Jackson </t>
  </si>
  <si>
    <t>Highest Diffs 12%</t>
  </si>
  <si>
    <t>Breaux, Chance</t>
  </si>
  <si>
    <t xml:space="preserve">Tevin Archon </t>
  </si>
  <si>
    <t xml:space="preserve">15 surveys 100% NPS </t>
  </si>
  <si>
    <t>Pulido, Simon</t>
  </si>
  <si>
    <t>Quinones, Nathaniel</t>
  </si>
  <si>
    <t>Region Winner Highest NPS @ 100% W/26 surveys</t>
  </si>
  <si>
    <t>Region Winner Highest Pmix @ 98.5%</t>
  </si>
  <si>
    <t>Michael Rapp</t>
  </si>
  <si>
    <t>Region Winner Highest ARO @ $149.50</t>
  </si>
  <si>
    <t>Jason Wallmuth</t>
  </si>
  <si>
    <t>Region Winner Highest Email Collection @ 79%</t>
  </si>
  <si>
    <t>Region Winner Highest sales Budget Beat P9 @ 15.7%</t>
  </si>
  <si>
    <t>Heather Robberts</t>
  </si>
  <si>
    <t>Region Winner Highest cars budget Beat P9 @ +45 cars</t>
  </si>
  <si>
    <t>Region Winner power Ranker #1</t>
  </si>
  <si>
    <t>Chris Wentworth &amp; Michael Rapp</t>
  </si>
  <si>
    <t>847 &amp; 954</t>
  </si>
  <si>
    <t>Training Vidor Crew/ Shop Setup</t>
  </si>
  <si>
    <t>Region Winner Highest Coolant Exchange @ 25%</t>
  </si>
  <si>
    <t>Steven Cole</t>
  </si>
  <si>
    <t>Region Winner Highest Email Collection @ 89%</t>
  </si>
  <si>
    <t>11% coolants and 10% differentials on 324 writes!</t>
  </si>
  <si>
    <t>109% Big 4 on over 150 writes!</t>
  </si>
  <si>
    <t>89% NPS as a shop!</t>
  </si>
  <si>
    <t>100% NPS on 10 surveys!</t>
  </si>
  <si>
    <t>Corey Washington</t>
  </si>
  <si>
    <t>Region Winner Most Oil Changes @ 357 w/ $140.63</t>
  </si>
  <si>
    <t>Shop Donations $4k Club</t>
  </si>
  <si>
    <t>Region Winner Highest Coolant Exchange @ 15.5%</t>
  </si>
  <si>
    <t>6- Ali Abdullahi</t>
  </si>
  <si>
    <t>Shop 282</t>
  </si>
  <si>
    <t>Trey Davis</t>
  </si>
  <si>
    <t>Region Winner Highest Big 4% @ 119% on 203 changes</t>
  </si>
  <si>
    <t>Nathan Burleson</t>
  </si>
  <si>
    <t>Region Winner Highest Donations P9 @ $527.50</t>
  </si>
  <si>
    <t>31 Diogenes Fresh</t>
  </si>
  <si>
    <t>Shop 531</t>
  </si>
  <si>
    <t>Highest Diff % 233 Writes 12%</t>
  </si>
  <si>
    <t>14 - Joe Jeanfreau</t>
  </si>
  <si>
    <t xml:space="preserve">Chance (Doodle) Griffin </t>
  </si>
  <si>
    <t>Most surveys at 100% NPS (20)</t>
  </si>
  <si>
    <t>919 - Chris Webster</t>
  </si>
  <si>
    <t>Shop 599</t>
  </si>
  <si>
    <t>10 -Matthew McCarter</t>
  </si>
  <si>
    <t>Shop 999</t>
  </si>
  <si>
    <t>Highest Donations Per Car $.92</t>
  </si>
  <si>
    <t>116 - Darrell Vaughn</t>
  </si>
  <si>
    <t>Highest District ARO - $139.97</t>
  </si>
  <si>
    <t xml:space="preserve">2- Taylor Harris </t>
  </si>
  <si>
    <t>Highest District NPS - 80%</t>
  </si>
  <si>
    <t>13 - Michael Dear Jr.</t>
  </si>
  <si>
    <t>Shop 4- Miguel Alix</t>
  </si>
  <si>
    <t>606- Rocky Carmadelle</t>
  </si>
  <si>
    <t xml:space="preserve">32- James Schuster </t>
  </si>
  <si>
    <t>Bryson Trahan</t>
  </si>
  <si>
    <t>Melody Weeks</t>
  </si>
  <si>
    <t>Darrell Carter</t>
  </si>
  <si>
    <t>Justin Jackson</t>
  </si>
  <si>
    <t>Simon Pulido</t>
  </si>
  <si>
    <t>Darryl Coney</t>
  </si>
  <si>
    <t xml:space="preserve">Jay Bryant </t>
  </si>
  <si>
    <t>Koi Taylor</t>
  </si>
  <si>
    <t>Helping Hand Training 283 SM</t>
  </si>
  <si>
    <t>Jarrel Carter</t>
  </si>
  <si>
    <t>Helping Hand with Vidor Autodata</t>
  </si>
  <si>
    <t>Joseph Russell</t>
  </si>
  <si>
    <t>Hailey Higginbothom</t>
  </si>
  <si>
    <t>Daquan Wiggins</t>
  </si>
  <si>
    <t>Jacob Falgout</t>
  </si>
  <si>
    <t>Robert Fonzo</t>
  </si>
  <si>
    <t>Brittany Ebey</t>
  </si>
  <si>
    <t>Dejontay Wings</t>
  </si>
  <si>
    <t>Christopher McMaster</t>
  </si>
  <si>
    <t>Bobby Paddio</t>
  </si>
  <si>
    <t>Joseph Ward</t>
  </si>
  <si>
    <t>William Washington</t>
  </si>
  <si>
    <t>Chance Breaux</t>
  </si>
  <si>
    <t>Matthew Desandro</t>
  </si>
  <si>
    <t>David Shaw</t>
  </si>
  <si>
    <t>Samuel Crochet</t>
  </si>
  <si>
    <t>Tyler Johnson</t>
  </si>
  <si>
    <t>Marco Acosta</t>
  </si>
  <si>
    <t>Talib Harris</t>
  </si>
  <si>
    <t>Calin Labbe</t>
  </si>
  <si>
    <t>Chelsea Daniels</t>
  </si>
  <si>
    <t>Breanna Bechtol</t>
  </si>
  <si>
    <t>Jaspreon Archie</t>
  </si>
  <si>
    <t>Jersey Prejean</t>
  </si>
  <si>
    <t>Alejandro Nunez</t>
  </si>
  <si>
    <t>Oscar Galicia</t>
  </si>
  <si>
    <t>Adrian Hayes</t>
  </si>
  <si>
    <t>Joseph Clark</t>
  </si>
  <si>
    <t>Joseph Duplechain</t>
  </si>
  <si>
    <t>Johnell Smith</t>
  </si>
  <si>
    <t>Isaiah Coleman</t>
  </si>
  <si>
    <t>Gage Sonnier</t>
  </si>
  <si>
    <t>Region Winner ARO @ $204.00 w/ 160 Changes</t>
  </si>
  <si>
    <t xml:space="preserve">Blaine Gilmore </t>
  </si>
  <si>
    <t>Lube</t>
  </si>
  <si>
    <t xml:space="preserve">Region winner Best Discounts @ $8.53 per car </t>
  </si>
  <si>
    <t xml:space="preserve">Kadarius Moss </t>
  </si>
  <si>
    <t>Kasey Williams (2 Years)</t>
  </si>
  <si>
    <t xml:space="preserve">Darrius Vallery </t>
  </si>
  <si>
    <t>District's Highest ARO $140</t>
  </si>
  <si>
    <t>Barnell Tatum (2 Yrs)</t>
  </si>
  <si>
    <t>Amar Johnson</t>
  </si>
  <si>
    <t>District's Highest Fuel Filters 52%</t>
  </si>
  <si>
    <t>Nathan Arbuckle (1yr)</t>
  </si>
  <si>
    <t xml:space="preserve">Brennen Cole </t>
  </si>
  <si>
    <t>District Highest Coolant 39%</t>
  </si>
  <si>
    <t>Garcia-Jimenez, Tito</t>
  </si>
  <si>
    <t>Hayden Smith (1yr)</t>
  </si>
  <si>
    <t>Robinson, Khobe</t>
  </si>
  <si>
    <t xml:space="preserve">Dejontay Wings </t>
  </si>
  <si>
    <t xml:space="preserve">District Highest NPS 100% </t>
  </si>
  <si>
    <t>Miguel Alix (5 years)</t>
  </si>
  <si>
    <t>Sonnier, Gage</t>
  </si>
  <si>
    <t>District Helping Hand</t>
  </si>
  <si>
    <t>Robert Mitchell (1 year)</t>
  </si>
  <si>
    <t>Anderson, Travon</t>
  </si>
  <si>
    <t>District Winner Highest Big4 @ 58.9%</t>
  </si>
  <si>
    <t>Xavier Golden 1- Year</t>
  </si>
  <si>
    <t>Whaley, Sidney</t>
  </si>
  <si>
    <t xml:space="preserve">Philip Ziegler </t>
  </si>
  <si>
    <t>District Winner Highest Coolant % P10 @ 8.9%</t>
  </si>
  <si>
    <t>District Winner Highest Differentials P10 @ 4%</t>
  </si>
  <si>
    <t>Guerin, Adriek</t>
  </si>
  <si>
    <t>District Winner Highest ARO P10 @ $130.28</t>
  </si>
  <si>
    <t>Banks, Terrance</t>
  </si>
  <si>
    <t>District Winner  - Employee of the Month P10</t>
  </si>
  <si>
    <t>Raven Williams</t>
  </si>
  <si>
    <t>Cobb, Aaron</t>
  </si>
  <si>
    <t xml:space="preserve">Charles Jones </t>
  </si>
  <si>
    <t>District Winner Highest ARO P10 @ $166.68</t>
  </si>
  <si>
    <t>Michael Juneau</t>
  </si>
  <si>
    <t>Gordon, Dragean</t>
  </si>
  <si>
    <t>Ashland Gilliam</t>
  </si>
  <si>
    <t>District Winner Best NPS P10 @ 100%</t>
  </si>
  <si>
    <t>Malcom Moreau</t>
  </si>
  <si>
    <t>Henry, Michael</t>
  </si>
  <si>
    <t>Region Winner Power Ranker # 3</t>
  </si>
  <si>
    <t>Marlon McDonaald</t>
  </si>
  <si>
    <t>Region Winner ARO @ $155.91</t>
  </si>
  <si>
    <t>Blake Dunaway</t>
  </si>
  <si>
    <t>Region winner Top Differentials @ 6.2%</t>
  </si>
  <si>
    <t>#1 District Fuel Filters 61.5%</t>
  </si>
  <si>
    <t>Brandon Harris</t>
  </si>
  <si>
    <t>#1 District NPS 88.9%</t>
  </si>
  <si>
    <t>Jarod Waters / Justin Husser</t>
  </si>
  <si>
    <t>Overall: Big-4 56.8%, 13.4% Coolants, $142.75 ARO, 2.7% Diffs, 94.9% P-Mix</t>
  </si>
  <si>
    <t>Kevin Arthur / Scott Tillis</t>
  </si>
  <si>
    <t>Highest Qty. Cars (2,079) with 61.9% Big-4 and $128.97 ARO</t>
  </si>
  <si>
    <t>JoJo Ward</t>
  </si>
  <si>
    <t xml:space="preserve">Region Winner NPS 100% w/ 25 surveys </t>
  </si>
  <si>
    <t xml:space="preserve">Region Winner BIG4 @ 101% w/311 changes </t>
  </si>
  <si>
    <t>Ali Bradberry</t>
  </si>
  <si>
    <t xml:space="preserve">Shantell Pickney </t>
  </si>
  <si>
    <t>Promoted to SM</t>
  </si>
  <si>
    <t xml:space="preserve">Austin Hager </t>
  </si>
  <si>
    <t>Lynda Laforge</t>
  </si>
  <si>
    <t>Helping Hand</t>
  </si>
  <si>
    <t xml:space="preserve">EOM for October </t>
  </si>
  <si>
    <t>Jordan Savoy</t>
  </si>
  <si>
    <t>15.4% coolant</t>
  </si>
  <si>
    <t>Region Winner Power Ranker # 1</t>
  </si>
  <si>
    <t>Region Winner Cars vs Comp @ 9%</t>
  </si>
  <si>
    <t>Region Winner Car vs Budget @ 25 %</t>
  </si>
  <si>
    <t>Region Winner Sales vs Budget @ 29.3%</t>
  </si>
  <si>
    <t>Region Winner 100 % NPS w/ 15 Surveys</t>
  </si>
  <si>
    <t>Chloe Hamilton</t>
  </si>
  <si>
    <t>Region winner Email Collection @ 94%</t>
  </si>
  <si>
    <t>Region Winner Email Collection @ 79 %</t>
  </si>
  <si>
    <t>Region Winner PMix @ 99%</t>
  </si>
  <si>
    <t>Region Winner Pmix @ 98.3%</t>
  </si>
  <si>
    <t>Region winner Fuel Filters @ 76.9%</t>
  </si>
  <si>
    <t>Region Winner Big4 @ 84.2%</t>
  </si>
  <si>
    <t>Region winner Coolants  15.4%</t>
  </si>
  <si>
    <t>Holding down vacant shop</t>
  </si>
  <si>
    <t>Jesse Clemons</t>
  </si>
  <si>
    <t>Region Winner Power Ranker # 2</t>
  </si>
  <si>
    <t xml:space="preserve">Justin Smith </t>
  </si>
  <si>
    <t>Region Winner Coolants @ 21%</t>
  </si>
  <si>
    <t>Region Winner Top Donations @ $499.50</t>
  </si>
  <si>
    <t>Highest District NPS 85.5% 62 Surveys</t>
  </si>
  <si>
    <t>Highest District Spoke with Manager 93%</t>
  </si>
  <si>
    <t>District Highest Differentials 7%</t>
  </si>
  <si>
    <t>Accepted for DMIT</t>
  </si>
  <si>
    <t>New Shop Opening!</t>
  </si>
  <si>
    <t>Promotion to ASM!</t>
  </si>
  <si>
    <t>Region Winner Top Donations P10 $2137.00</t>
  </si>
  <si>
    <t>Ernie Voisen</t>
  </si>
  <si>
    <t>Highest District ARO ($138.76)</t>
  </si>
  <si>
    <t>Highest District Coolants (11.2%)</t>
  </si>
  <si>
    <t>10 - Matthew McCarter</t>
  </si>
  <si>
    <t>Shop 6- Ali Abdullahi</t>
  </si>
  <si>
    <t>Michael Dear Jr</t>
  </si>
  <si>
    <t>Highest District NPS 97.5% on 40 surveys</t>
  </si>
  <si>
    <t>919 - Vacant</t>
  </si>
  <si>
    <t>Shop 31 - Diogenes Fresh</t>
  </si>
  <si>
    <t>118 Writes at 100% Big 4</t>
  </si>
  <si>
    <t>Most surveys at 100% NPS (14)</t>
  </si>
  <si>
    <t>Anthony Loyal / Phillip Ziegler</t>
  </si>
  <si>
    <t>P10 Employee of the Month!</t>
  </si>
  <si>
    <t>13 - Mike Dear Jr.</t>
  </si>
  <si>
    <t>32 - James Schuster</t>
  </si>
  <si>
    <t>2 - Taylor Harris</t>
  </si>
  <si>
    <t>606 - Rocky Carmadelle</t>
  </si>
  <si>
    <t>11 - Sharwood Harrison</t>
  </si>
  <si>
    <t>1 -</t>
  </si>
  <si>
    <t>599 Blaze Miller</t>
  </si>
  <si>
    <t>15 - Kit Kleinpeter</t>
  </si>
  <si>
    <t>Michael Jeanfreau</t>
  </si>
  <si>
    <t>Thomas Hogan</t>
  </si>
  <si>
    <t>Warren Rivers</t>
  </si>
  <si>
    <t>Courtney Turner</t>
  </si>
  <si>
    <t>Matthew James</t>
  </si>
  <si>
    <t>Lane Fisher</t>
  </si>
  <si>
    <t>Kaidon Danos</t>
  </si>
  <si>
    <t>Jermicah Lee</t>
  </si>
  <si>
    <t>Justin Benedik</t>
  </si>
  <si>
    <t>Garome Collins</t>
  </si>
  <si>
    <t>Drew Oubre</t>
  </si>
  <si>
    <t>Jason Ravain</t>
  </si>
  <si>
    <t>Nicolas Varela</t>
  </si>
  <si>
    <t>Tyler Jones</t>
  </si>
  <si>
    <t>Arriel Cedano</t>
  </si>
  <si>
    <t>David Sparrow</t>
  </si>
  <si>
    <t>Blaine Gilmore</t>
  </si>
  <si>
    <t>Alejandro Roberto Ruiz</t>
  </si>
  <si>
    <t>Blayne Gaspard</t>
  </si>
  <si>
    <t>Benjamin Songy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</si>
</sst>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"/>
    <numFmt numFmtId="165" formatCode="&quot;$&quot;#,##0.00"/>
  </numFmts>
  <fonts count="9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36"/>
      <color theme="1"/>
      <name val="Bernard MT Condensed"/>
      <family val="1"/>
    </font>
    <font>
      <sz val="9"/>
      <color theme="1"/>
      <name val="Calibri"/>
      <family val="2"/>
      <scheme val="minor"/>
    </font>
    <font>
      <sz val="31"/>
      <color theme="1"/>
      <name val="Comic Sans MS"/>
      <family val="4"/>
    </font>
    <font>
      <sz val="31"/>
      <color theme="0"/>
      <name val="Comic Sans MS"/>
      <family val="4"/>
    </font>
    <font>
      <b/>
      <sz val="14"/>
      <color theme="1"/>
      <name val="Calibri"/>
      <family val="2"/>
      <scheme val="minor"/>
    </font>
    <font>
      <sz val="25"/>
      <color theme="1"/>
      <name val="Comic Sans MS"/>
      <family val="4"/>
    </font>
    <font>
      <sz val="25"/>
      <color theme="0"/>
      <name val="Comic Sans MS"/>
      <family val="4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</font>
    <font>
      <b/>
      <sz val="22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3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25"/>
      <color rgb="FFFFFFFF"/>
      <name val="Comic Sans MS"/>
    </font>
    <font>
      <sz val="25"/>
      <color rgb="FF000000"/>
      <name val="Comic Sans MS"/>
    </font>
    <font>
      <sz val="25"/>
      <color theme="1"/>
      <name val="Comic Sans MS"/>
    </font>
    <font>
      <b/>
      <sz val="14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b/>
      <sz val="24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18"/>
      <color rgb="FFFFFFFF"/>
      <name val="Aptos Narrow"/>
      <family val="2"/>
    </font>
    <font>
      <sz val="14"/>
      <color rgb="FFFFFFFF"/>
      <name val="Aptos Narrow"/>
      <family val="2"/>
    </font>
    <font>
      <b/>
      <sz val="20"/>
      <color rgb="FF000000"/>
      <name val="Aptos Narrow"/>
      <family val="2"/>
    </font>
    <font>
      <sz val="9"/>
      <color rgb="FF000000"/>
      <name val="Calibri"/>
      <family val="2"/>
    </font>
    <font>
      <b/>
      <sz val="14"/>
      <color rgb="FF000000"/>
      <name val="Aptos Narrow"/>
      <family val="2"/>
    </font>
    <font>
      <sz val="20"/>
      <color rgb="FF000000"/>
      <name val="Aptos Narrow"/>
      <family val="2"/>
    </font>
    <font>
      <sz val="12"/>
      <color rgb="FF000000"/>
      <name val="Aptos Narrow"/>
      <family val="2"/>
    </font>
    <font>
      <sz val="20"/>
      <color rgb="FFFFFFFF"/>
      <name val="Aptos Narrow"/>
      <family val="2"/>
    </font>
    <font>
      <sz val="8"/>
      <color rgb="FF000000"/>
      <name val="Aptos Narrow"/>
      <family val="2"/>
    </font>
    <font>
      <sz val="16"/>
      <color rgb="FF000000"/>
      <name val="Aptos Narrow"/>
      <family val="2"/>
    </font>
    <font>
      <sz val="18"/>
      <color rgb="FF000000"/>
      <name val="Aptos Narrow"/>
      <family val="2"/>
    </font>
    <font>
      <b/>
      <sz val="14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22"/>
      <color rgb="FFFF0000"/>
      <name val="Aptos Narrow"/>
      <family val="2"/>
    </font>
    <font>
      <sz val="12"/>
      <color rgb="FF000000"/>
      <name val="Calibri"/>
      <family val="2"/>
    </font>
    <font>
      <b/>
      <sz val="16"/>
      <color rgb="FF000000"/>
      <name val="Aptos Narrow"/>
      <family val="2"/>
    </font>
    <font>
      <b/>
      <sz val="13"/>
      <color rgb="FF000000"/>
      <name val="Aptos Narrow"/>
      <family val="2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25"/>
      <color rgb="FFFF0000"/>
      <name val="Comic Sans MS"/>
    </font>
    <font>
      <b/>
      <sz val="10"/>
      <color rgb="FFFFFFFF"/>
      <name val="Aptos Narrow"/>
      <family val="2"/>
    </font>
    <font>
      <sz val="11"/>
      <color theme="1"/>
      <name val="Aptos Narrow"/>
      <family val="2"/>
    </font>
    <font>
      <sz val="11"/>
      <color rgb="FF242424"/>
      <name val="Aptos Narrow"/>
      <charset val="1"/>
    </font>
    <font>
      <sz val="25"/>
      <color theme="0"/>
      <name val="Arial Black"/>
    </font>
    <font>
      <sz val="12"/>
      <color rgb="FFFFFFFF"/>
      <name val="Aptos Narrow"/>
      <family val="2"/>
    </font>
    <font>
      <sz val="24"/>
      <color theme="0"/>
      <name val="Arial Black"/>
    </font>
    <font>
      <sz val="28"/>
      <color theme="1"/>
      <name val="Calibri"/>
      <family val="2"/>
      <scheme val="minor"/>
    </font>
    <font>
      <sz val="18"/>
      <color theme="1"/>
      <name val="Aptos Narrow"/>
      <family val="2"/>
    </font>
    <font>
      <b/>
      <sz val="20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charset val="1"/>
    </font>
    <font>
      <b/>
      <sz val="11"/>
      <color rgb="FF000000"/>
      <name val="Calibri"/>
      <family val="2"/>
      <scheme val="minor"/>
    </font>
    <font>
      <sz val="10"/>
      <color rgb="FF000000"/>
      <name val="Arial"/>
    </font>
    <font>
      <sz val="16"/>
      <color rgb="FF000000"/>
      <name val="Arial"/>
    </font>
    <font>
      <sz val="16"/>
      <color theme="1"/>
      <name val="Arial"/>
    </font>
    <font>
      <sz val="11"/>
      <color rgb="FF000000"/>
      <name val="Calibri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70A8E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F30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3C6E7"/>
        <bgColor rgb="FFB3C6E7"/>
      </patternFill>
    </fill>
    <fill>
      <patternFill patternType="solid">
        <fgColor rgb="FFD9E2F3"/>
        <bgColor rgb="FFD9E2F3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24">
    <xf numFmtId="0" fontId="0" fillId="0" borderId="0" xfId="0"/>
    <xf numFmtId="0" fontId="0" fillId="2" borderId="0" xfId="0" applyFill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0" xfId="0" applyFill="1"/>
    <xf numFmtId="0" fontId="0" fillId="0" borderId="8" xfId="0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shrinkToFit="1"/>
    </xf>
    <xf numFmtId="0" fontId="7" fillId="0" borderId="9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shrinkToFit="1"/>
    </xf>
    <xf numFmtId="49" fontId="10" fillId="2" borderId="9" xfId="0" applyNumberFormat="1" applyFont="1" applyFill="1" applyBorder="1" applyAlignment="1">
      <alignment horizontal="center" shrinkToFit="1"/>
    </xf>
    <xf numFmtId="0" fontId="2" fillId="2" borderId="0" xfId="0" applyFont="1" applyFill="1" applyAlignment="1">
      <alignment horizontal="center"/>
    </xf>
    <xf numFmtId="0" fontId="0" fillId="0" borderId="9" xfId="0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6" fillId="0" borderId="0" xfId="0" applyFont="1" applyAlignment="1">
      <alignment horizontal="center" shrinkToFit="1"/>
    </xf>
    <xf numFmtId="0" fontId="0" fillId="0" borderId="18" xfId="0" applyBorder="1" applyAlignment="1">
      <alignment horizontal="left" vertical="center"/>
    </xf>
    <xf numFmtId="0" fontId="14" fillId="0" borderId="18" xfId="0" applyFont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center" shrinkToFit="1"/>
    </xf>
    <xf numFmtId="0" fontId="10" fillId="0" borderId="18" xfId="0" applyFont="1" applyBorder="1" applyAlignment="1">
      <alignment horizontal="center" shrinkToFit="1"/>
    </xf>
    <xf numFmtId="0" fontId="11" fillId="2" borderId="0" xfId="0" applyFont="1" applyFill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shrinkToFit="1"/>
    </xf>
    <xf numFmtId="49" fontId="10" fillId="2" borderId="20" xfId="0" applyNumberFormat="1" applyFont="1" applyFill="1" applyBorder="1" applyAlignment="1">
      <alignment horizontal="center" shrinkToFit="1"/>
    </xf>
    <xf numFmtId="0" fontId="13" fillId="3" borderId="0" xfId="0" applyFont="1" applyFill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18" fillId="5" borderId="22" xfId="0" applyFont="1" applyFill="1" applyBorder="1"/>
    <xf numFmtId="0" fontId="18" fillId="5" borderId="22" xfId="0" applyFont="1" applyFill="1" applyBorder="1" applyAlignment="1">
      <alignment horizontal="center" vertical="center"/>
    </xf>
    <xf numFmtId="0" fontId="18" fillId="6" borderId="22" xfId="0" applyFont="1" applyFill="1" applyBorder="1"/>
    <xf numFmtId="0" fontId="18" fillId="6" borderId="22" xfId="0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/>
    </xf>
    <xf numFmtId="0" fontId="18" fillId="5" borderId="22" xfId="0" applyFont="1" applyFill="1" applyBorder="1" applyAlignment="1">
      <alignment horizont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49" fontId="23" fillId="2" borderId="20" xfId="0" applyNumberFormat="1" applyFont="1" applyFill="1" applyBorder="1" applyAlignment="1">
      <alignment horizontal="center" shrinkToFit="1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shrinkToFit="1"/>
    </xf>
    <xf numFmtId="0" fontId="0" fillId="0" borderId="22" xfId="0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6" borderId="22" xfId="0" applyFont="1" applyFill="1" applyBorder="1" applyAlignment="1">
      <alignment horizontal="left" vertical="center"/>
    </xf>
    <xf numFmtId="0" fontId="18" fillId="5" borderId="22" xfId="0" applyFont="1" applyFill="1" applyBorder="1" applyAlignment="1">
      <alignment horizontal="left" vertical="center"/>
    </xf>
    <xf numFmtId="0" fontId="18" fillId="6" borderId="2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6" fillId="0" borderId="0" xfId="0" applyFont="1" applyAlignment="1">
      <alignment wrapText="1"/>
    </xf>
    <xf numFmtId="0" fontId="26" fillId="0" borderId="0" xfId="0" applyFont="1"/>
    <xf numFmtId="0" fontId="27" fillId="7" borderId="42" xfId="0" applyFont="1" applyFill="1" applyBorder="1" applyAlignment="1">
      <alignment horizontal="center"/>
    </xf>
    <xf numFmtId="0" fontId="27" fillId="7" borderId="43" xfId="0" applyFont="1" applyFill="1" applyBorder="1" applyAlignment="1">
      <alignment horizontal="center"/>
    </xf>
    <xf numFmtId="0" fontId="27" fillId="7" borderId="44" xfId="0" applyFont="1" applyFill="1" applyBorder="1" applyAlignment="1">
      <alignment horizontal="center"/>
    </xf>
    <xf numFmtId="0" fontId="27" fillId="0" borderId="42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29" fillId="0" borderId="48" xfId="0" applyFont="1" applyBorder="1" applyAlignment="1">
      <alignment horizontal="center"/>
    </xf>
    <xf numFmtId="0" fontId="29" fillId="0" borderId="49" xfId="0" applyFont="1" applyBorder="1" applyAlignment="1">
      <alignment horizontal="center"/>
    </xf>
    <xf numFmtId="0" fontId="29" fillId="0" borderId="50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18" fillId="6" borderId="22" xfId="0" applyFont="1" applyFill="1" applyBorder="1" applyAlignment="1">
      <alignment horizontal="center" vertical="center" indent="1"/>
    </xf>
    <xf numFmtId="0" fontId="18" fillId="6" borderId="22" xfId="0" applyFont="1" applyFill="1" applyBorder="1" applyAlignment="1">
      <alignment horizontal="center" indent="1"/>
    </xf>
    <xf numFmtId="0" fontId="18" fillId="5" borderId="22" xfId="0" applyFont="1" applyFill="1" applyBorder="1" applyAlignment="1">
      <alignment horizontal="center" indent="1"/>
    </xf>
    <xf numFmtId="0" fontId="29" fillId="0" borderId="9" xfId="0" applyFont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27" fillId="0" borderId="30" xfId="0" applyFont="1" applyBorder="1" applyAlignment="1">
      <alignment horizontal="left" vertical="center"/>
    </xf>
    <xf numFmtId="0" fontId="27" fillId="0" borderId="32" xfId="0" applyFont="1" applyBorder="1" applyAlignment="1">
      <alignment horizontal="left" vertical="center"/>
    </xf>
    <xf numFmtId="0" fontId="0" fillId="3" borderId="40" xfId="0" applyFill="1" applyBorder="1" applyAlignment="1">
      <alignment horizontal="center" wrapText="1"/>
    </xf>
    <xf numFmtId="0" fontId="0" fillId="10" borderId="22" xfId="0" applyFill="1" applyBorder="1" applyAlignment="1">
      <alignment horizontal="center" wrapText="1"/>
    </xf>
    <xf numFmtId="0" fontId="0" fillId="11" borderId="22" xfId="0" applyFill="1" applyBorder="1" applyAlignment="1">
      <alignment horizontal="center" wrapText="1"/>
    </xf>
    <xf numFmtId="0" fontId="0" fillId="12" borderId="22" xfId="0" applyFill="1" applyBorder="1" applyAlignment="1">
      <alignment horizontal="center" wrapText="1"/>
    </xf>
    <xf numFmtId="0" fontId="0" fillId="13" borderId="22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wrapText="1"/>
    </xf>
    <xf numFmtId="0" fontId="0" fillId="15" borderId="41" xfId="0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10" fillId="0" borderId="9" xfId="0" applyFont="1" applyBorder="1" applyAlignment="1">
      <alignment horizontal="center" wrapText="1" shrinkToFit="1"/>
    </xf>
    <xf numFmtId="49" fontId="10" fillId="0" borderId="9" xfId="0" applyNumberFormat="1" applyFont="1" applyBorder="1" applyAlignment="1">
      <alignment horizontal="center" wrapText="1" shrinkToFit="1"/>
    </xf>
    <xf numFmtId="0" fontId="25" fillId="0" borderId="9" xfId="0" applyFont="1" applyBorder="1" applyAlignment="1">
      <alignment horizontal="center" wrapText="1" shrinkToFit="1"/>
    </xf>
    <xf numFmtId="0" fontId="30" fillId="0" borderId="9" xfId="0" applyFont="1" applyBorder="1" applyAlignment="1">
      <alignment horizontal="center" wrapText="1" shrinkToFit="1"/>
    </xf>
    <xf numFmtId="0" fontId="31" fillId="0" borderId="9" xfId="0" applyFont="1" applyBorder="1" applyAlignment="1">
      <alignment horizontal="center" shrinkToFit="1"/>
    </xf>
    <xf numFmtId="0" fontId="31" fillId="0" borderId="34" xfId="0" applyFont="1" applyBorder="1" applyAlignment="1">
      <alignment horizontal="center" shrinkToFit="1"/>
    </xf>
    <xf numFmtId="49" fontId="31" fillId="0" borderId="31" xfId="0" applyNumberFormat="1" applyFont="1" applyBorder="1" applyAlignment="1">
      <alignment horizontal="center" shrinkToFit="1"/>
    </xf>
    <xf numFmtId="49" fontId="31" fillId="0" borderId="35" xfId="0" applyNumberFormat="1" applyFont="1" applyBorder="1" applyAlignment="1">
      <alignment horizontal="center" shrinkToFit="1"/>
    </xf>
    <xf numFmtId="0" fontId="16" fillId="0" borderId="0" xfId="0" applyFont="1" applyAlignment="1">
      <alignment horizontal="center" wrapText="1" shrinkToFit="1"/>
    </xf>
    <xf numFmtId="0" fontId="0" fillId="0" borderId="0" xfId="0" applyAlignment="1">
      <alignment horizontal="center" wrapText="1" indent="1"/>
    </xf>
    <xf numFmtId="0" fontId="32" fillId="16" borderId="54" xfId="0" applyFont="1" applyFill="1" applyBorder="1" applyAlignment="1">
      <alignment horizontal="center" vertical="center" wrapText="1"/>
    </xf>
    <xf numFmtId="0" fontId="32" fillId="16" borderId="55" xfId="0" applyFont="1" applyFill="1" applyBorder="1" applyAlignment="1">
      <alignment horizontal="center" vertical="center" wrapText="1"/>
    </xf>
    <xf numFmtId="0" fontId="33" fillId="8" borderId="56" xfId="0" applyFont="1" applyFill="1" applyBorder="1" applyAlignment="1">
      <alignment horizontal="left" wrapText="1"/>
    </xf>
    <xf numFmtId="164" fontId="34" fillId="8" borderId="57" xfId="0" applyNumberFormat="1" applyFont="1" applyFill="1" applyBorder="1" applyAlignment="1">
      <alignment horizontal="center"/>
    </xf>
    <xf numFmtId="164" fontId="34" fillId="8" borderId="41" xfId="0" applyNumberFormat="1" applyFont="1" applyFill="1" applyBorder="1" applyAlignment="1">
      <alignment horizontal="center" vertical="center"/>
    </xf>
    <xf numFmtId="0" fontId="33" fillId="0" borderId="56" xfId="0" applyFont="1" applyBorder="1" applyAlignment="1">
      <alignment horizontal="left" wrapText="1"/>
    </xf>
    <xf numFmtId="164" fontId="34" fillId="0" borderId="57" xfId="0" applyNumberFormat="1" applyFont="1" applyBorder="1" applyAlignment="1">
      <alignment horizontal="center"/>
    </xf>
    <xf numFmtId="164" fontId="34" fillId="0" borderId="41" xfId="0" applyNumberFormat="1" applyFont="1" applyBorder="1" applyAlignment="1">
      <alignment horizontal="center" vertical="center"/>
    </xf>
    <xf numFmtId="0" fontId="33" fillId="8" borderId="56" xfId="0" applyFont="1" applyFill="1" applyBorder="1" applyAlignment="1">
      <alignment horizontal="left" vertical="center" wrapText="1"/>
    </xf>
    <xf numFmtId="0" fontId="33" fillId="0" borderId="56" xfId="0" applyFont="1" applyBorder="1" applyAlignment="1">
      <alignment horizontal="left" vertical="center" wrapText="1"/>
    </xf>
    <xf numFmtId="0" fontId="33" fillId="8" borderId="58" xfId="0" applyFont="1" applyFill="1" applyBorder="1" applyAlignment="1">
      <alignment horizontal="left" vertical="center" wrapText="1"/>
    </xf>
    <xf numFmtId="0" fontId="38" fillId="0" borderId="0" xfId="0" applyFont="1"/>
    <xf numFmtId="1" fontId="27" fillId="8" borderId="40" xfId="0" applyNumberFormat="1" applyFont="1" applyFill="1" applyBorder="1" applyAlignment="1">
      <alignment horizontal="center"/>
    </xf>
    <xf numFmtId="1" fontId="27" fillId="8" borderId="57" xfId="0" applyNumberFormat="1" applyFont="1" applyFill="1" applyBorder="1" applyAlignment="1">
      <alignment horizontal="center"/>
    </xf>
    <xf numFmtId="1" fontId="27" fillId="8" borderId="41" xfId="0" applyNumberFormat="1" applyFont="1" applyFill="1" applyBorder="1" applyAlignment="1">
      <alignment horizontal="center" vertical="center"/>
    </xf>
    <xf numFmtId="1" fontId="27" fillId="0" borderId="40" xfId="0" applyNumberFormat="1" applyFont="1" applyBorder="1" applyAlignment="1">
      <alignment horizontal="center"/>
    </xf>
    <xf numFmtId="1" fontId="27" fillId="0" borderId="57" xfId="0" applyNumberFormat="1" applyFont="1" applyBorder="1" applyAlignment="1">
      <alignment horizontal="center"/>
    </xf>
    <xf numFmtId="1" fontId="27" fillId="0" borderId="41" xfId="0" applyNumberFormat="1" applyFont="1" applyBorder="1" applyAlignment="1">
      <alignment horizontal="center" vertical="center"/>
    </xf>
    <xf numFmtId="1" fontId="27" fillId="8" borderId="40" xfId="0" applyNumberFormat="1" applyFont="1" applyFill="1" applyBorder="1" applyAlignment="1">
      <alignment horizontal="center" vertical="center"/>
    </xf>
    <xf numFmtId="1" fontId="27" fillId="8" borderId="57" xfId="0" applyNumberFormat="1" applyFont="1" applyFill="1" applyBorder="1" applyAlignment="1">
      <alignment horizontal="center" vertical="center"/>
    </xf>
    <xf numFmtId="1" fontId="27" fillId="0" borderId="40" xfId="0" applyNumberFormat="1" applyFont="1" applyBorder="1" applyAlignment="1">
      <alignment horizontal="center" vertical="center"/>
    </xf>
    <xf numFmtId="1" fontId="27" fillId="0" borderId="57" xfId="0" applyNumberFormat="1" applyFont="1" applyBorder="1" applyAlignment="1">
      <alignment horizontal="center" vertical="center"/>
    </xf>
    <xf numFmtId="1" fontId="27" fillId="8" borderId="41" xfId="0" applyNumberFormat="1" applyFont="1" applyFill="1" applyBorder="1" applyAlignment="1">
      <alignment horizontal="center" indent="1"/>
    </xf>
    <xf numFmtId="1" fontId="27" fillId="8" borderId="41" xfId="0" applyNumberFormat="1" applyFont="1" applyFill="1" applyBorder="1" applyAlignment="1">
      <alignment horizontal="center"/>
    </xf>
    <xf numFmtId="1" fontId="27" fillId="0" borderId="41" xfId="0" applyNumberFormat="1" applyFont="1" applyBorder="1" applyAlignment="1">
      <alignment horizontal="center" indent="1"/>
    </xf>
    <xf numFmtId="1" fontId="27" fillId="0" borderId="41" xfId="0" applyNumberFormat="1" applyFont="1" applyBorder="1" applyAlignment="1">
      <alignment horizontal="center"/>
    </xf>
    <xf numFmtId="0" fontId="33" fillId="8" borderId="54" xfId="0" applyFont="1" applyFill="1" applyBorder="1" applyAlignment="1">
      <alignment horizontal="left" vertical="center" wrapText="1"/>
    </xf>
    <xf numFmtId="164" fontId="34" fillId="8" borderId="65" xfId="0" applyNumberFormat="1" applyFont="1" applyFill="1" applyBorder="1" applyAlignment="1">
      <alignment horizontal="center"/>
    </xf>
    <xf numFmtId="164" fontId="34" fillId="8" borderId="66" xfId="0" applyNumberFormat="1" applyFont="1" applyFill="1" applyBorder="1" applyAlignment="1">
      <alignment horizontal="center" vertical="center"/>
    </xf>
    <xf numFmtId="0" fontId="33" fillId="0" borderId="54" xfId="0" applyFont="1" applyBorder="1" applyAlignment="1">
      <alignment horizontal="left" vertical="center" wrapText="1"/>
    </xf>
    <xf numFmtId="1" fontId="27" fillId="0" borderId="66" xfId="0" applyNumberFormat="1" applyFont="1" applyBorder="1" applyAlignment="1">
      <alignment horizontal="center" vertical="center"/>
    </xf>
    <xf numFmtId="0" fontId="27" fillId="10" borderId="59" xfId="0" applyFont="1" applyFill="1" applyBorder="1" applyAlignment="1">
      <alignment horizontal="right"/>
    </xf>
    <xf numFmtId="164" fontId="35" fillId="10" borderId="61" xfId="0" applyNumberFormat="1" applyFont="1" applyFill="1" applyBorder="1" applyAlignment="1">
      <alignment horizontal="center" wrapText="1"/>
    </xf>
    <xf numFmtId="164" fontId="34" fillId="10" borderId="60" xfId="0" applyNumberFormat="1" applyFont="1" applyFill="1" applyBorder="1" applyAlignment="1">
      <alignment horizontal="center"/>
    </xf>
    <xf numFmtId="1" fontId="29" fillId="8" borderId="22" xfId="0" applyNumberFormat="1" applyFont="1" applyFill="1" applyBorder="1" applyAlignment="1">
      <alignment horizontal="center"/>
    </xf>
    <xf numFmtId="1" fontId="27" fillId="0" borderId="22" xfId="0" applyNumberFormat="1" applyFont="1" applyBorder="1" applyAlignment="1">
      <alignment horizontal="center"/>
    </xf>
    <xf numFmtId="1" fontId="27" fillId="0" borderId="22" xfId="0" applyNumberFormat="1" applyFont="1" applyBorder="1" applyAlignment="1">
      <alignment horizontal="center" vertical="center"/>
    </xf>
    <xf numFmtId="1" fontId="27" fillId="8" borderId="22" xfId="0" applyNumberFormat="1" applyFont="1" applyFill="1" applyBorder="1" applyAlignment="1">
      <alignment horizontal="center"/>
    </xf>
    <xf numFmtId="1" fontId="27" fillId="8" borderId="22" xfId="0" applyNumberFormat="1" applyFont="1" applyFill="1" applyBorder="1" applyAlignment="1">
      <alignment horizontal="center" vertical="center"/>
    </xf>
    <xf numFmtId="1" fontId="27" fillId="8" borderId="41" xfId="0" applyNumberFormat="1" applyFont="1" applyFill="1" applyBorder="1" applyAlignment="1">
      <alignment horizontal="center" vertical="center" indent="1"/>
    </xf>
    <xf numFmtId="1" fontId="27" fillId="0" borderId="41" xfId="0" applyNumberFormat="1" applyFont="1" applyBorder="1" applyAlignment="1">
      <alignment horizontal="center" vertical="center" indent="1"/>
    </xf>
    <xf numFmtId="1" fontId="27" fillId="0" borderId="64" xfId="0" applyNumberFormat="1" applyFont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7" fillId="0" borderId="65" xfId="0" applyNumberFormat="1" applyFont="1" applyBorder="1" applyAlignment="1">
      <alignment horizontal="center" vertical="center"/>
    </xf>
    <xf numFmtId="0" fontId="27" fillId="8" borderId="40" xfId="0" applyFont="1" applyFill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164" fontId="27" fillId="0" borderId="22" xfId="0" applyNumberFormat="1" applyFont="1" applyBorder="1" applyAlignment="1">
      <alignment horizontal="center" vertical="center"/>
    </xf>
    <xf numFmtId="1" fontId="13" fillId="0" borderId="22" xfId="0" applyNumberFormat="1" applyFont="1" applyBorder="1" applyAlignment="1">
      <alignment horizontal="center"/>
    </xf>
    <xf numFmtId="0" fontId="48" fillId="0" borderId="0" xfId="0" applyFont="1"/>
    <xf numFmtId="0" fontId="46" fillId="0" borderId="51" xfId="0" applyFont="1" applyBorder="1"/>
    <xf numFmtId="164" fontId="46" fillId="0" borderId="52" xfId="0" applyNumberFormat="1" applyFont="1" applyBorder="1"/>
    <xf numFmtId="0" fontId="48" fillId="0" borderId="42" xfId="0" applyFont="1" applyBorder="1" applyAlignment="1">
      <alignment horizontal="center" wrapText="1"/>
    </xf>
    <xf numFmtId="0" fontId="48" fillId="0" borderId="44" xfId="0" applyFont="1" applyBorder="1" applyAlignment="1">
      <alignment horizontal="center"/>
    </xf>
    <xf numFmtId="164" fontId="27" fillId="0" borderId="41" xfId="0" applyNumberFormat="1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 wrapText="1"/>
    </xf>
    <xf numFmtId="0" fontId="48" fillId="0" borderId="43" xfId="0" applyFont="1" applyBorder="1" applyAlignment="1">
      <alignment horizontal="center" vertical="center"/>
    </xf>
    <xf numFmtId="0" fontId="48" fillId="0" borderId="44" xfId="0" applyFont="1" applyBorder="1" applyAlignment="1">
      <alignment horizontal="center" vertical="center"/>
    </xf>
    <xf numFmtId="1" fontId="39" fillId="0" borderId="71" xfId="0" applyNumberFormat="1" applyFont="1" applyBorder="1" applyAlignment="1">
      <alignment horizontal="center" wrapText="1"/>
    </xf>
    <xf numFmtId="0" fontId="1" fillId="0" borderId="0" xfId="0" applyFont="1"/>
    <xf numFmtId="0" fontId="31" fillId="3" borderId="51" xfId="0" applyFont="1" applyFill="1" applyBorder="1" applyAlignment="1">
      <alignment horizontal="left" wrapText="1"/>
    </xf>
    <xf numFmtId="0" fontId="0" fillId="8" borderId="22" xfId="0" applyFill="1" applyBorder="1"/>
    <xf numFmtId="1" fontId="0" fillId="8" borderId="22" xfId="0" applyNumberFormat="1" applyFill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8" borderId="41" xfId="0" applyFill="1" applyBorder="1"/>
    <xf numFmtId="0" fontId="0" fillId="0" borderId="41" xfId="0" applyBorder="1"/>
    <xf numFmtId="0" fontId="18" fillId="5" borderId="0" xfId="0" applyFont="1" applyFill="1"/>
    <xf numFmtId="0" fontId="50" fillId="4" borderId="23" xfId="0" applyFont="1" applyFill="1" applyBorder="1" applyAlignment="1">
      <alignment horizontal="center" vertical="center"/>
    </xf>
    <xf numFmtId="0" fontId="50" fillId="4" borderId="72" xfId="0" applyFont="1" applyFill="1" applyBorder="1" applyAlignment="1">
      <alignment horizontal="center" vertical="center"/>
    </xf>
    <xf numFmtId="49" fontId="18" fillId="5" borderId="22" xfId="0" applyNumberFormat="1" applyFont="1" applyFill="1" applyBorder="1" applyAlignment="1">
      <alignment wrapText="1"/>
    </xf>
    <xf numFmtId="0" fontId="18" fillId="6" borderId="22" xfId="0" applyFont="1" applyFill="1" applyBorder="1" applyAlignment="1">
      <alignment horizontal="center" vertical="center" wrapText="1"/>
    </xf>
    <xf numFmtId="0" fontId="51" fillId="0" borderId="0" xfId="0" applyFont="1"/>
    <xf numFmtId="0" fontId="56" fillId="0" borderId="0" xfId="0" applyFont="1"/>
    <xf numFmtId="0" fontId="55" fillId="0" borderId="18" xfId="0" applyFont="1" applyBorder="1" applyAlignment="1">
      <alignment wrapText="1"/>
    </xf>
    <xf numFmtId="0" fontId="60" fillId="0" borderId="40" xfId="0" applyFont="1" applyBorder="1" applyAlignment="1">
      <alignment wrapText="1"/>
    </xf>
    <xf numFmtId="0" fontId="60" fillId="0" borderId="22" xfId="0" applyFont="1" applyBorder="1" applyAlignment="1">
      <alignment wrapText="1"/>
    </xf>
    <xf numFmtId="0" fontId="60" fillId="0" borderId="41" xfId="0" applyFont="1" applyBorder="1" applyAlignment="1">
      <alignment wrapText="1"/>
    </xf>
    <xf numFmtId="0" fontId="56" fillId="0" borderId="18" xfId="0" applyFont="1" applyBorder="1"/>
    <xf numFmtId="0" fontId="51" fillId="18" borderId="40" xfId="0" applyFont="1" applyFill="1" applyBorder="1" applyAlignment="1">
      <alignment wrapText="1"/>
    </xf>
    <xf numFmtId="0" fontId="51" fillId="21" borderId="22" xfId="0" applyFont="1" applyFill="1" applyBorder="1" applyAlignment="1">
      <alignment wrapText="1"/>
    </xf>
    <xf numFmtId="0" fontId="51" fillId="22" borderId="22" xfId="0" applyFont="1" applyFill="1" applyBorder="1" applyAlignment="1">
      <alignment wrapText="1"/>
    </xf>
    <xf numFmtId="0" fontId="51" fillId="23" borderId="22" xfId="0" applyFont="1" applyFill="1" applyBorder="1" applyAlignment="1">
      <alignment wrapText="1"/>
    </xf>
    <xf numFmtId="0" fontId="51" fillId="24" borderId="22" xfId="0" applyFont="1" applyFill="1" applyBorder="1" applyAlignment="1">
      <alignment wrapText="1"/>
    </xf>
    <xf numFmtId="0" fontId="51" fillId="25" borderId="22" xfId="0" applyFont="1" applyFill="1" applyBorder="1" applyAlignment="1">
      <alignment wrapText="1"/>
    </xf>
    <xf numFmtId="0" fontId="51" fillId="26" borderId="41" xfId="0" applyFont="1" applyFill="1" applyBorder="1" applyAlignment="1">
      <alignment wrapText="1"/>
    </xf>
    <xf numFmtId="0" fontId="58" fillId="0" borderId="0" xfId="0" applyFont="1" applyAlignment="1">
      <alignment wrapText="1"/>
    </xf>
    <xf numFmtId="0" fontId="58" fillId="0" borderId="0" xfId="0" applyFont="1"/>
    <xf numFmtId="0" fontId="51" fillId="0" borderId="45" xfId="0" applyFont="1" applyBorder="1" applyAlignment="1">
      <alignment wrapText="1"/>
    </xf>
    <xf numFmtId="0" fontId="51" fillId="0" borderId="46" xfId="0" applyFont="1" applyBorder="1" applyAlignment="1">
      <alignment wrapText="1"/>
    </xf>
    <xf numFmtId="0" fontId="64" fillId="17" borderId="9" xfId="0" applyFont="1" applyFill="1" applyBorder="1" applyAlignment="1">
      <alignment wrapText="1"/>
    </xf>
    <xf numFmtId="0" fontId="51" fillId="0" borderId="18" xfId="0" applyFont="1" applyBorder="1"/>
    <xf numFmtId="0" fontId="69" fillId="0" borderId="9" xfId="0" applyFont="1" applyBorder="1" applyAlignment="1">
      <alignment horizontal="center" vertical="center" wrapText="1"/>
    </xf>
    <xf numFmtId="0" fontId="64" fillId="0" borderId="77" xfId="0" applyFont="1" applyBorder="1" applyAlignment="1">
      <alignment horizontal="center" vertical="center" wrapText="1"/>
    </xf>
    <xf numFmtId="0" fontId="64" fillId="17" borderId="77" xfId="0" applyFont="1" applyFill="1" applyBorder="1" applyAlignment="1">
      <alignment horizontal="center" vertical="center"/>
    </xf>
    <xf numFmtId="0" fontId="65" fillId="0" borderId="78" xfId="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wrapText="1"/>
    </xf>
    <xf numFmtId="0" fontId="64" fillId="0" borderId="20" xfId="0" applyFont="1" applyBorder="1" applyAlignment="1">
      <alignment horizontal="center" wrapText="1"/>
    </xf>
    <xf numFmtId="0" fontId="64" fillId="17" borderId="9" xfId="0" applyFont="1" applyFill="1" applyBorder="1" applyAlignment="1">
      <alignment horizontal="center"/>
    </xf>
    <xf numFmtId="0" fontId="64" fillId="0" borderId="9" xfId="0" applyFont="1" applyBorder="1" applyAlignment="1">
      <alignment horizontal="center"/>
    </xf>
    <xf numFmtId="0" fontId="51" fillId="0" borderId="46" xfId="0" applyFont="1" applyBorder="1" applyAlignment="1">
      <alignment horizontal="center" wrapText="1"/>
    </xf>
    <xf numFmtId="0" fontId="51" fillId="0" borderId="47" xfId="0" applyFont="1" applyBorder="1" applyAlignment="1">
      <alignment horizontal="center" wrapText="1"/>
    </xf>
    <xf numFmtId="0" fontId="62" fillId="0" borderId="48" xfId="0" applyFont="1" applyBorder="1" applyAlignment="1">
      <alignment horizontal="center"/>
    </xf>
    <xf numFmtId="0" fontId="62" fillId="0" borderId="49" xfId="0" applyFont="1" applyBorder="1" applyAlignment="1">
      <alignment horizontal="center"/>
    </xf>
    <xf numFmtId="0" fontId="62" fillId="0" borderId="50" xfId="0" applyFont="1" applyBorder="1" applyAlignment="1">
      <alignment horizontal="center"/>
    </xf>
    <xf numFmtId="0" fontId="61" fillId="0" borderId="42" xfId="0" applyFont="1" applyBorder="1" applyAlignment="1">
      <alignment horizontal="center"/>
    </xf>
    <xf numFmtId="0" fontId="61" fillId="0" borderId="43" xfId="0" applyFont="1" applyBorder="1" applyAlignment="1">
      <alignment horizontal="center"/>
    </xf>
    <xf numFmtId="0" fontId="61" fillId="0" borderId="44" xfId="0" applyFont="1" applyBorder="1" applyAlignment="1">
      <alignment horizontal="center"/>
    </xf>
    <xf numFmtId="0" fontId="61" fillId="19" borderId="42" xfId="0" applyFont="1" applyFill="1" applyBorder="1" applyAlignment="1">
      <alignment horizontal="center"/>
    </xf>
    <xf numFmtId="0" fontId="61" fillId="19" borderId="43" xfId="0" applyFont="1" applyFill="1" applyBorder="1" applyAlignment="1">
      <alignment horizontal="center"/>
    </xf>
    <xf numFmtId="0" fontId="61" fillId="19" borderId="44" xfId="0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56" fillId="0" borderId="74" xfId="0" applyFont="1" applyBorder="1"/>
    <xf numFmtId="0" fontId="64" fillId="17" borderId="79" xfId="0" applyFont="1" applyFill="1" applyBorder="1" applyAlignment="1">
      <alignment wrapText="1"/>
    </xf>
    <xf numFmtId="0" fontId="51" fillId="0" borderId="74" xfId="0" applyFont="1" applyBorder="1"/>
    <xf numFmtId="0" fontId="55" fillId="0" borderId="74" xfId="0" applyFont="1" applyBorder="1" applyAlignment="1">
      <alignment wrapText="1"/>
    </xf>
    <xf numFmtId="0" fontId="64" fillId="0" borderId="77" xfId="0" applyFont="1" applyBorder="1" applyAlignment="1">
      <alignment wrapText="1"/>
    </xf>
    <xf numFmtId="0" fontId="51" fillId="27" borderId="22" xfId="0" applyFont="1" applyFill="1" applyBorder="1" applyAlignment="1">
      <alignment wrapText="1"/>
    </xf>
    <xf numFmtId="0" fontId="61" fillId="27" borderId="43" xfId="0" applyFont="1" applyFill="1" applyBorder="1" applyAlignment="1">
      <alignment horizontal="center"/>
    </xf>
    <xf numFmtId="0" fontId="51" fillId="3" borderId="40" xfId="0" applyFont="1" applyFill="1" applyBorder="1" applyAlignment="1">
      <alignment wrapText="1"/>
    </xf>
    <xf numFmtId="0" fontId="61" fillId="3" borderId="42" xfId="0" applyFont="1" applyFill="1" applyBorder="1" applyAlignment="1">
      <alignment horizontal="center"/>
    </xf>
    <xf numFmtId="0" fontId="51" fillId="11" borderId="22" xfId="0" applyFont="1" applyFill="1" applyBorder="1" applyAlignment="1">
      <alignment wrapText="1"/>
    </xf>
    <xf numFmtId="0" fontId="61" fillId="11" borderId="43" xfId="0" applyFont="1" applyFill="1" applyBorder="1" applyAlignment="1">
      <alignment horizontal="center"/>
    </xf>
    <xf numFmtId="0" fontId="51" fillId="28" borderId="22" xfId="0" applyFont="1" applyFill="1" applyBorder="1" applyAlignment="1">
      <alignment wrapText="1"/>
    </xf>
    <xf numFmtId="0" fontId="51" fillId="7" borderId="41" xfId="0" applyFont="1" applyFill="1" applyBorder="1" applyAlignment="1">
      <alignment wrapText="1"/>
    </xf>
    <xf numFmtId="0" fontId="51" fillId="0" borderId="55" xfId="0" applyFont="1" applyBorder="1"/>
    <xf numFmtId="0" fontId="58" fillId="0" borderId="55" xfId="0" applyFont="1" applyBorder="1" applyAlignment="1">
      <alignment wrapText="1"/>
    </xf>
    <xf numFmtId="0" fontId="51" fillId="0" borderId="80" xfId="0" applyFont="1" applyBorder="1"/>
    <xf numFmtId="0" fontId="60" fillId="0" borderId="85" xfId="0" applyFont="1" applyBorder="1" applyAlignment="1">
      <alignment wrapText="1"/>
    </xf>
    <xf numFmtId="0" fontId="60" fillId="0" borderId="86" xfId="0" applyFont="1" applyBorder="1" applyAlignment="1">
      <alignment wrapText="1"/>
    </xf>
    <xf numFmtId="0" fontId="60" fillId="0" borderId="87" xfId="0" applyFont="1" applyBorder="1" applyAlignment="1">
      <alignment wrapText="1"/>
    </xf>
    <xf numFmtId="0" fontId="51" fillId="0" borderId="52" xfId="0" applyFont="1" applyBorder="1"/>
    <xf numFmtId="0" fontId="76" fillId="0" borderId="0" xfId="0" applyFont="1" applyAlignment="1">
      <alignment horizontal="center"/>
    </xf>
    <xf numFmtId="0" fontId="51" fillId="3" borderId="51" xfId="0" applyFont="1" applyFill="1" applyBorder="1" applyAlignment="1">
      <alignment horizontal="center" vertical="center"/>
    </xf>
    <xf numFmtId="0" fontId="51" fillId="0" borderId="75" xfId="0" applyFont="1" applyBorder="1" applyAlignment="1">
      <alignment horizontal="center" vertical="center"/>
    </xf>
    <xf numFmtId="0" fontId="51" fillId="11" borderId="75" xfId="0" applyFont="1" applyFill="1" applyBorder="1" applyAlignment="1">
      <alignment horizontal="center" vertical="center"/>
    </xf>
    <xf numFmtId="0" fontId="51" fillId="27" borderId="75" xfId="0" applyFont="1" applyFill="1" applyBorder="1" applyAlignment="1">
      <alignment horizontal="center" vertical="center"/>
    </xf>
    <xf numFmtId="0" fontId="75" fillId="12" borderId="75" xfId="0" applyFont="1" applyFill="1" applyBorder="1" applyAlignment="1">
      <alignment horizontal="center" vertical="center"/>
    </xf>
    <xf numFmtId="0" fontId="51" fillId="28" borderId="75" xfId="0" applyFont="1" applyFill="1" applyBorder="1" applyAlignment="1">
      <alignment horizontal="center" vertical="center"/>
    </xf>
    <xf numFmtId="0" fontId="51" fillId="7" borderId="75" xfId="0" applyFont="1" applyFill="1" applyBorder="1" applyAlignment="1">
      <alignment horizontal="center" vertical="center"/>
    </xf>
    <xf numFmtId="0" fontId="51" fillId="0" borderId="52" xfId="0" applyFont="1" applyBorder="1" applyAlignment="1">
      <alignment horizontal="center" vertical="center"/>
    </xf>
    <xf numFmtId="0" fontId="69" fillId="0" borderId="78" xfId="0" applyFont="1" applyBorder="1" applyAlignment="1">
      <alignment horizontal="center" vertical="center" wrapText="1"/>
    </xf>
    <xf numFmtId="0" fontId="69" fillId="0" borderId="77" xfId="0" applyFont="1" applyBorder="1" applyAlignment="1">
      <alignment horizontal="center" vertical="center" wrapText="1"/>
    </xf>
    <xf numFmtId="0" fontId="64" fillId="0" borderId="26" xfId="0" applyFont="1" applyBorder="1" applyAlignment="1">
      <alignment horizontal="center" wrapText="1"/>
    </xf>
    <xf numFmtId="0" fontId="64" fillId="0" borderId="59" xfId="0" applyFont="1" applyBorder="1" applyAlignment="1">
      <alignment wrapText="1"/>
    </xf>
    <xf numFmtId="0" fontId="70" fillId="0" borderId="0" xfId="0" applyFont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18" fillId="29" borderId="22" xfId="0" applyFont="1" applyFill="1" applyBorder="1" applyAlignment="1">
      <alignment horizontal="center" vertical="center"/>
    </xf>
    <xf numFmtId="0" fontId="18" fillId="30" borderId="22" xfId="0" applyFont="1" applyFill="1" applyBorder="1" applyAlignment="1">
      <alignment horizontal="center" vertical="center"/>
    </xf>
    <xf numFmtId="0" fontId="18" fillId="30" borderId="22" xfId="0" applyFont="1" applyFill="1" applyBorder="1" applyAlignment="1">
      <alignment horizontal="center"/>
    </xf>
    <xf numFmtId="0" fontId="59" fillId="17" borderId="0" xfId="0" applyFont="1" applyFill="1"/>
    <xf numFmtId="0" fontId="78" fillId="17" borderId="0" xfId="0" applyFont="1" applyFill="1" applyAlignment="1">
      <alignment horizontal="center"/>
    </xf>
    <xf numFmtId="0" fontId="64" fillId="0" borderId="62" xfId="0" applyFont="1" applyBorder="1" applyAlignment="1">
      <alignment horizontal="center"/>
    </xf>
    <xf numFmtId="0" fontId="64" fillId="0" borderId="77" xfId="0" applyFont="1" applyBorder="1" applyAlignment="1">
      <alignment horizontal="center"/>
    </xf>
    <xf numFmtId="0" fontId="64" fillId="0" borderId="74" xfId="0" applyFont="1" applyBorder="1"/>
    <xf numFmtId="0" fontId="64" fillId="0" borderId="0" xfId="0" applyFont="1"/>
    <xf numFmtId="0" fontId="18" fillId="29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5" borderId="22" xfId="0" quotePrefix="1" applyNumberFormat="1" applyFont="1" applyFill="1" applyBorder="1" applyAlignment="1">
      <alignment horizontal="center" vertical="center"/>
    </xf>
    <xf numFmtId="0" fontId="83" fillId="3" borderId="0" xfId="0" applyFont="1" applyFill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indent="1"/>
    </xf>
    <xf numFmtId="0" fontId="84" fillId="0" borderId="0" xfId="0" applyFont="1" applyAlignment="1">
      <alignment horizontal="center"/>
    </xf>
    <xf numFmtId="0" fontId="0" fillId="31" borderId="22" xfId="0" applyFill="1" applyBorder="1" applyAlignment="1">
      <alignment horizontal="center"/>
    </xf>
    <xf numFmtId="0" fontId="18" fillId="31" borderId="22" xfId="0" applyFont="1" applyFill="1" applyBorder="1" applyAlignment="1">
      <alignment horizontal="center"/>
    </xf>
    <xf numFmtId="0" fontId="18" fillId="31" borderId="22" xfId="0" applyFont="1" applyFill="1" applyBorder="1" applyAlignment="1">
      <alignment horizontal="center" vertical="center" wrapText="1"/>
    </xf>
    <xf numFmtId="0" fontId="18" fillId="6" borderId="92" xfId="0" applyFont="1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18" fillId="32" borderId="22" xfId="0" applyFont="1" applyFill="1" applyBorder="1" applyAlignment="1">
      <alignment horizontal="center" vertical="center"/>
    </xf>
    <xf numFmtId="0" fontId="18" fillId="27" borderId="22" xfId="0" applyFont="1" applyFill="1" applyBorder="1" applyAlignment="1">
      <alignment horizontal="center" vertical="center"/>
    </xf>
    <xf numFmtId="0" fontId="18" fillId="33" borderId="22" xfId="0" applyFont="1" applyFill="1" applyBorder="1" applyAlignment="1">
      <alignment horizontal="center"/>
    </xf>
    <xf numFmtId="0" fontId="18" fillId="34" borderId="92" xfId="0" applyFont="1" applyFill="1" applyBorder="1" applyAlignment="1">
      <alignment horizontal="center"/>
    </xf>
    <xf numFmtId="0" fontId="18" fillId="35" borderId="92" xfId="0" applyFont="1" applyFill="1" applyBorder="1" applyAlignment="1">
      <alignment horizontal="center"/>
    </xf>
    <xf numFmtId="0" fontId="18" fillId="35" borderId="22" xfId="0" applyFont="1" applyFill="1" applyBorder="1" applyAlignment="1">
      <alignment horizontal="center"/>
    </xf>
    <xf numFmtId="0" fontId="18" fillId="3" borderId="22" xfId="0" applyFont="1" applyFill="1" applyBorder="1" applyAlignment="1">
      <alignment horizontal="center"/>
    </xf>
    <xf numFmtId="0" fontId="0" fillId="0" borderId="93" xfId="0" applyBorder="1" applyAlignment="1">
      <alignment horizontal="center"/>
    </xf>
    <xf numFmtId="0" fontId="18" fillId="5" borderId="93" xfId="0" applyFont="1" applyFill="1" applyBorder="1" applyAlignment="1">
      <alignment horizontal="center"/>
    </xf>
    <xf numFmtId="0" fontId="18" fillId="5" borderId="93" xfId="0" applyFont="1" applyFill="1" applyBorder="1" applyAlignment="1">
      <alignment horizontal="center" vertical="center" wrapText="1"/>
    </xf>
    <xf numFmtId="0" fontId="18" fillId="5" borderId="94" xfId="0" applyFont="1" applyFill="1" applyBorder="1" applyAlignment="1">
      <alignment horizontal="center"/>
    </xf>
    <xf numFmtId="0" fontId="49" fillId="37" borderId="95" xfId="0" applyFont="1" applyFill="1" applyBorder="1" applyAlignment="1">
      <alignment horizontal="center" vertical="center"/>
    </xf>
    <xf numFmtId="0" fontId="49" fillId="37" borderId="96" xfId="0" applyFont="1" applyFill="1" applyBorder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7" fillId="0" borderId="22" xfId="0" applyFont="1" applyBorder="1" applyAlignment="1">
      <alignment horizontal="center"/>
    </xf>
    <xf numFmtId="0" fontId="27" fillId="0" borderId="93" xfId="0" applyFont="1" applyBorder="1" applyAlignment="1">
      <alignment horizontal="center"/>
    </xf>
    <xf numFmtId="165" fontId="0" fillId="0" borderId="22" xfId="0" applyNumberFormat="1" applyBorder="1"/>
    <xf numFmtId="0" fontId="38" fillId="0" borderId="22" xfId="0" applyFont="1" applyBorder="1" applyAlignment="1">
      <alignment horizontal="center" vertical="center"/>
    </xf>
    <xf numFmtId="165" fontId="38" fillId="0" borderId="22" xfId="0" applyNumberFormat="1" applyFont="1" applyBorder="1" applyAlignment="1">
      <alignment horizontal="center" vertical="center"/>
    </xf>
    <xf numFmtId="0" fontId="85" fillId="7" borderId="22" xfId="0" applyFont="1" applyFill="1" applyBorder="1" applyAlignment="1">
      <alignment horizontal="center"/>
    </xf>
    <xf numFmtId="0" fontId="33" fillId="0" borderId="22" xfId="0" applyFont="1" applyBorder="1"/>
    <xf numFmtId="8" fontId="33" fillId="0" borderId="22" xfId="0" applyNumberFormat="1" applyFont="1" applyBorder="1"/>
    <xf numFmtId="8" fontId="0" fillId="0" borderId="22" xfId="0" applyNumberFormat="1" applyBorder="1"/>
    <xf numFmtId="0" fontId="33" fillId="0" borderId="86" xfId="0" applyFont="1" applyBorder="1"/>
    <xf numFmtId="8" fontId="33" fillId="0" borderId="86" xfId="0" applyNumberFormat="1" applyFont="1" applyBorder="1"/>
    <xf numFmtId="10" fontId="0" fillId="0" borderId="22" xfId="0" applyNumberFormat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84" fillId="0" borderId="0" xfId="0" applyFont="1" applyAlignment="1">
      <alignment horizontal="center" wrapText="1"/>
    </xf>
    <xf numFmtId="0" fontId="18" fillId="7" borderId="2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86" fillId="0" borderId="22" xfId="0" applyFont="1" applyBorder="1"/>
    <xf numFmtId="8" fontId="86" fillId="0" borderId="22" xfId="0" applyNumberFormat="1" applyFont="1" applyBorder="1"/>
    <xf numFmtId="0" fontId="18" fillId="0" borderId="22" xfId="0" applyFont="1" applyBorder="1" applyAlignment="1">
      <alignment horizontal="center"/>
    </xf>
    <xf numFmtId="0" fontId="29" fillId="36" borderId="0" xfId="0" applyFont="1" applyFill="1" applyAlignment="1">
      <alignment horizontal="center"/>
    </xf>
    <xf numFmtId="6" fontId="0" fillId="0" borderId="22" xfId="0" applyNumberFormat="1" applyBorder="1"/>
    <xf numFmtId="0" fontId="87" fillId="0" borderId="22" xfId="0" applyFont="1" applyBorder="1" applyAlignment="1">
      <alignment horizontal="center"/>
    </xf>
    <xf numFmtId="8" fontId="87" fillId="0" borderId="22" xfId="0" applyNumberFormat="1" applyFont="1" applyBorder="1" applyAlignment="1">
      <alignment horizontal="center"/>
    </xf>
    <xf numFmtId="0" fontId="88" fillId="0" borderId="86" xfId="0" applyFont="1" applyBorder="1" applyAlignment="1">
      <alignment horizontal="center" vertical="center"/>
    </xf>
    <xf numFmtId="165" fontId="88" fillId="0" borderId="86" xfId="0" applyNumberFormat="1" applyFont="1" applyBorder="1" applyAlignment="1">
      <alignment horizontal="center" vertical="center"/>
    </xf>
    <xf numFmtId="165" fontId="0" fillId="0" borderId="0" xfId="0" applyNumberFormat="1"/>
    <xf numFmtId="8" fontId="33" fillId="0" borderId="0" xfId="0" applyNumberFormat="1" applyFont="1"/>
    <xf numFmtId="0" fontId="33" fillId="0" borderId="0" xfId="0" applyFont="1" applyAlignment="1">
      <alignment horizontal="center"/>
    </xf>
    <xf numFmtId="0" fontId="86" fillId="38" borderId="99" xfId="0" applyFont="1" applyFill="1" applyBorder="1"/>
    <xf numFmtId="8" fontId="86" fillId="38" borderId="100" xfId="0" applyNumberFormat="1" applyFont="1" applyFill="1" applyBorder="1"/>
    <xf numFmtId="0" fontId="86" fillId="39" borderId="101" xfId="0" applyFont="1" applyFill="1" applyBorder="1"/>
    <xf numFmtId="8" fontId="86" fillId="39" borderId="102" xfId="0" applyNumberFormat="1" applyFont="1" applyFill="1" applyBorder="1"/>
    <xf numFmtId="0" fontId="86" fillId="38" borderId="101" xfId="0" applyFont="1" applyFill="1" applyBorder="1"/>
    <xf numFmtId="8" fontId="86" fillId="38" borderId="102" xfId="0" applyNumberFormat="1" applyFont="1" applyFill="1" applyBorder="1"/>
    <xf numFmtId="0" fontId="86" fillId="39" borderId="99" xfId="0" applyFont="1" applyFill="1" applyBorder="1"/>
    <xf numFmtId="8" fontId="86" fillId="39" borderId="100" xfId="0" applyNumberFormat="1" applyFont="1" applyFill="1" applyBorder="1"/>
    <xf numFmtId="0" fontId="29" fillId="36" borderId="0" xfId="0" applyFont="1" applyFill="1" applyAlignment="1">
      <alignment horizontal="left"/>
    </xf>
    <xf numFmtId="0" fontId="58" fillId="0" borderId="62" xfId="0" applyFont="1" applyBorder="1" applyAlignment="1">
      <alignment horizontal="center"/>
    </xf>
    <xf numFmtId="0" fontId="89" fillId="0" borderId="22" xfId="0" applyFont="1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57" xfId="0" applyBorder="1" applyAlignment="1">
      <alignment horizontal="center" vertical="center" wrapText="1"/>
    </xf>
    <xf numFmtId="0" fontId="0" fillId="0" borderId="57" xfId="0" applyBorder="1" applyAlignment="1">
      <alignment horizontal="center" wrapText="1"/>
    </xf>
    <xf numFmtId="0" fontId="0" fillId="0" borderId="93" xfId="0" applyBorder="1" applyAlignment="1">
      <alignment horizontal="center" vertical="center" indent="1"/>
    </xf>
    <xf numFmtId="0" fontId="0" fillId="0" borderId="93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49" fillId="37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2" fillId="16" borderId="51" xfId="0" applyFont="1" applyFill="1" applyBorder="1" applyAlignment="1">
      <alignment horizontal="center" wrapText="1"/>
    </xf>
    <xf numFmtId="0" fontId="32" fillId="16" borderId="52" xfId="0" applyFont="1" applyFill="1" applyBorder="1" applyAlignment="1">
      <alignment horizontal="center" wrapText="1"/>
    </xf>
    <xf numFmtId="1" fontId="44" fillId="3" borderId="40" xfId="0" applyNumberFormat="1" applyFont="1" applyFill="1" applyBorder="1" applyAlignment="1">
      <alignment horizontal="center"/>
    </xf>
    <xf numFmtId="1" fontId="44" fillId="3" borderId="22" xfId="0" applyNumberFormat="1" applyFont="1" applyFill="1" applyBorder="1" applyAlignment="1">
      <alignment horizontal="center"/>
    </xf>
    <xf numFmtId="1" fontId="44" fillId="3" borderId="41" xfId="0" applyNumberFormat="1" applyFont="1" applyFill="1" applyBorder="1" applyAlignment="1">
      <alignment horizontal="center"/>
    </xf>
    <xf numFmtId="164" fontId="47" fillId="0" borderId="22" xfId="0" applyNumberFormat="1" applyFont="1" applyBorder="1" applyAlignment="1">
      <alignment horizontal="center"/>
    </xf>
    <xf numFmtId="164" fontId="47" fillId="0" borderId="41" xfId="0" applyNumberFormat="1" applyFont="1" applyBorder="1" applyAlignment="1">
      <alignment horizontal="center"/>
    </xf>
    <xf numFmtId="0" fontId="48" fillId="0" borderId="43" xfId="0" applyFont="1" applyBorder="1" applyAlignment="1">
      <alignment horizontal="center"/>
    </xf>
    <xf numFmtId="0" fontId="48" fillId="0" borderId="44" xfId="0" applyFont="1" applyBorder="1" applyAlignment="1">
      <alignment horizontal="center"/>
    </xf>
    <xf numFmtId="2" fontId="46" fillId="0" borderId="40" xfId="0" applyNumberFormat="1" applyFont="1" applyBorder="1" applyAlignment="1">
      <alignment horizontal="center" vertical="center"/>
    </xf>
    <xf numFmtId="2" fontId="46" fillId="0" borderId="22" xfId="0" applyNumberFormat="1" applyFont="1" applyBorder="1" applyAlignment="1">
      <alignment horizontal="center" vertical="center"/>
    </xf>
    <xf numFmtId="0" fontId="48" fillId="0" borderId="42" xfId="0" applyFont="1" applyBorder="1" applyAlignment="1">
      <alignment horizontal="center" wrapText="1"/>
    </xf>
    <xf numFmtId="0" fontId="48" fillId="0" borderId="43" xfId="0" applyFont="1" applyBorder="1" applyAlignment="1">
      <alignment horizontal="center" wrapText="1"/>
    </xf>
    <xf numFmtId="0" fontId="31" fillId="3" borderId="25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42" fillId="16" borderId="46" xfId="0" applyFont="1" applyFill="1" applyBorder="1" applyAlignment="1">
      <alignment horizontal="center" vertical="center" wrapText="1"/>
    </xf>
    <xf numFmtId="0" fontId="42" fillId="16" borderId="22" xfId="0" applyFont="1" applyFill="1" applyBorder="1" applyAlignment="1">
      <alignment horizontal="center" vertical="center" wrapText="1"/>
    </xf>
    <xf numFmtId="0" fontId="42" fillId="16" borderId="47" xfId="0" applyFont="1" applyFill="1" applyBorder="1" applyAlignment="1">
      <alignment horizontal="center" vertical="center" wrapText="1"/>
    </xf>
    <xf numFmtId="0" fontId="42" fillId="16" borderId="41" xfId="0" applyFont="1" applyFill="1" applyBorder="1" applyAlignment="1">
      <alignment horizontal="center" vertical="center" wrapText="1"/>
    </xf>
    <xf numFmtId="0" fontId="45" fillId="16" borderId="0" xfId="0" applyFont="1" applyFill="1" applyAlignment="1">
      <alignment horizontal="center" vertical="center"/>
    </xf>
    <xf numFmtId="0" fontId="36" fillId="16" borderId="62" xfId="0" applyFont="1" applyFill="1" applyBorder="1" applyAlignment="1">
      <alignment horizontal="center" vertical="center"/>
    </xf>
    <xf numFmtId="0" fontId="36" fillId="16" borderId="63" xfId="0" applyFont="1" applyFill="1" applyBorder="1" applyAlignment="1">
      <alignment horizontal="center" vertical="center"/>
    </xf>
    <xf numFmtId="0" fontId="23" fillId="16" borderId="51" xfId="0" applyFont="1" applyFill="1" applyBorder="1" applyAlignment="1">
      <alignment horizontal="center" wrapText="1"/>
    </xf>
    <xf numFmtId="0" fontId="23" fillId="16" borderId="52" xfId="0" applyFont="1" applyFill="1" applyBorder="1" applyAlignment="1">
      <alignment horizontal="center" wrapText="1"/>
    </xf>
    <xf numFmtId="0" fontId="33" fillId="0" borderId="22" xfId="0" applyFont="1" applyBorder="1" applyAlignment="1">
      <alignment horizontal="center" vertical="center" wrapText="1"/>
    </xf>
    <xf numFmtId="0" fontId="33" fillId="8" borderId="22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 wrapText="1"/>
    </xf>
    <xf numFmtId="1" fontId="28" fillId="3" borderId="51" xfId="0" applyNumberFormat="1" applyFont="1" applyFill="1" applyBorder="1" applyAlignment="1">
      <alignment horizontal="center"/>
    </xf>
    <xf numFmtId="1" fontId="28" fillId="3" borderId="52" xfId="0" applyNumberFormat="1" applyFont="1" applyFill="1" applyBorder="1" applyAlignment="1">
      <alignment horizontal="center"/>
    </xf>
    <xf numFmtId="0" fontId="49" fillId="3" borderId="40" xfId="0" applyFont="1" applyFill="1" applyBorder="1" applyAlignment="1">
      <alignment horizontal="center" vertical="center"/>
    </xf>
    <xf numFmtId="0" fontId="49" fillId="3" borderId="42" xfId="0" applyFont="1" applyFill="1" applyBorder="1" applyAlignment="1">
      <alignment horizontal="center" vertical="center"/>
    </xf>
    <xf numFmtId="0" fontId="37" fillId="16" borderId="51" xfId="0" applyFont="1" applyFill="1" applyBorder="1" applyAlignment="1">
      <alignment horizontal="center" vertical="center"/>
    </xf>
    <xf numFmtId="0" fontId="37" fillId="16" borderId="53" xfId="0" applyFont="1" applyFill="1" applyBorder="1" applyAlignment="1">
      <alignment horizontal="center" vertical="center"/>
    </xf>
    <xf numFmtId="0" fontId="36" fillId="16" borderId="51" xfId="0" applyFont="1" applyFill="1" applyBorder="1" applyAlignment="1">
      <alignment horizontal="center" vertical="center"/>
    </xf>
    <xf numFmtId="0" fontId="36" fillId="16" borderId="53" xfId="0" applyFont="1" applyFill="1" applyBorder="1" applyAlignment="1">
      <alignment horizontal="center" vertical="center"/>
    </xf>
    <xf numFmtId="1" fontId="40" fillId="10" borderId="59" xfId="0" applyNumberFormat="1" applyFont="1" applyFill="1" applyBorder="1" applyAlignment="1">
      <alignment horizontal="center" wrapText="1"/>
    </xf>
    <xf numFmtId="1" fontId="40" fillId="10" borderId="67" xfId="0" applyNumberFormat="1" applyFont="1" applyFill="1" applyBorder="1" applyAlignment="1">
      <alignment horizontal="center" wrapText="1"/>
    </xf>
    <xf numFmtId="0" fontId="43" fillId="16" borderId="45" xfId="0" applyFont="1" applyFill="1" applyBorder="1" applyAlignment="1">
      <alignment horizontal="center" vertical="center" wrapText="1"/>
    </xf>
    <xf numFmtId="0" fontId="43" fillId="16" borderId="40" xfId="0" applyFont="1" applyFill="1" applyBorder="1" applyAlignment="1">
      <alignment horizontal="center" vertical="center" wrapText="1"/>
    </xf>
    <xf numFmtId="0" fontId="42" fillId="16" borderId="46" xfId="0" applyFont="1" applyFill="1" applyBorder="1" applyAlignment="1">
      <alignment horizontal="center" wrapText="1"/>
    </xf>
    <xf numFmtId="0" fontId="42" fillId="16" borderId="22" xfId="0" applyFont="1" applyFill="1" applyBorder="1" applyAlignment="1">
      <alignment horizontal="center" wrapText="1"/>
    </xf>
    <xf numFmtId="1" fontId="41" fillId="3" borderId="69" xfId="0" applyNumberFormat="1" applyFont="1" applyFill="1" applyBorder="1" applyAlignment="1">
      <alignment horizontal="center" vertical="center" wrapText="1"/>
    </xf>
    <xf numFmtId="1" fontId="41" fillId="3" borderId="70" xfId="0" applyNumberFormat="1" applyFont="1" applyFill="1" applyBorder="1" applyAlignment="1">
      <alignment horizontal="center" vertical="center" wrapText="1"/>
    </xf>
    <xf numFmtId="0" fontId="36" fillId="16" borderId="54" xfId="0" applyFont="1" applyFill="1" applyBorder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0" fontId="36" fillId="16" borderId="55" xfId="0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center" wrapText="1"/>
    </xf>
    <xf numFmtId="0" fontId="33" fillId="0" borderId="22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7" fillId="9" borderId="0" xfId="0" applyFont="1" applyFill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13" fillId="0" borderId="28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24" fillId="2" borderId="28" xfId="0" applyFont="1" applyFill="1" applyBorder="1" applyAlignment="1">
      <alignment horizontal="center" vertical="center"/>
    </xf>
    <xf numFmtId="0" fontId="24" fillId="2" borderId="36" xfId="0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shrinkToFit="1"/>
    </xf>
    <xf numFmtId="0" fontId="31" fillId="0" borderId="26" xfId="0" applyFont="1" applyBorder="1" applyAlignment="1">
      <alignment horizontal="center" shrinkToFit="1"/>
    </xf>
    <xf numFmtId="0" fontId="23" fillId="2" borderId="28" xfId="0" applyFont="1" applyFill="1" applyBorder="1" applyAlignment="1">
      <alignment horizontal="center" shrinkToFit="1"/>
    </xf>
    <xf numFmtId="0" fontId="23" fillId="2" borderId="36" xfId="0" applyFont="1" applyFill="1" applyBorder="1" applyAlignment="1">
      <alignment horizontal="center" shrinkToFit="1"/>
    </xf>
    <xf numFmtId="0" fontId="20" fillId="17" borderId="0" xfId="0" applyFont="1" applyFill="1" applyAlignment="1">
      <alignment horizontal="center"/>
    </xf>
    <xf numFmtId="0" fontId="70" fillId="0" borderId="0" xfId="0" applyFont="1" applyAlignment="1">
      <alignment horizontal="center" vertical="center"/>
    </xf>
    <xf numFmtId="0" fontId="52" fillId="17" borderId="0" xfId="0" applyFont="1" applyFill="1" applyAlignment="1">
      <alignment horizontal="center"/>
    </xf>
    <xf numFmtId="0" fontId="53" fillId="17" borderId="0" xfId="0" applyFont="1" applyFill="1" applyAlignment="1">
      <alignment horizontal="center"/>
    </xf>
    <xf numFmtId="0" fontId="54" fillId="18" borderId="73" xfId="0" applyFont="1" applyFill="1" applyBorder="1" applyAlignment="1">
      <alignment horizontal="center" wrapText="1"/>
    </xf>
    <xf numFmtId="0" fontId="71" fillId="0" borderId="19" xfId="0" applyFont="1" applyBorder="1" applyAlignment="1">
      <alignment horizontal="center" wrapText="1"/>
    </xf>
    <xf numFmtId="0" fontId="71" fillId="0" borderId="18" xfId="0" applyFont="1" applyBorder="1" applyAlignment="1">
      <alignment horizontal="center" wrapText="1"/>
    </xf>
    <xf numFmtId="0" fontId="56" fillId="0" borderId="51" xfId="0" applyFont="1" applyBorder="1" applyAlignment="1">
      <alignment horizontal="center"/>
    </xf>
    <xf numFmtId="0" fontId="56" fillId="0" borderId="75" xfId="0" applyFont="1" applyBorder="1" applyAlignment="1">
      <alignment horizontal="center"/>
    </xf>
    <xf numFmtId="0" fontId="56" fillId="0" borderId="52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71" fillId="0" borderId="21" xfId="0" applyFont="1" applyBorder="1" applyAlignment="1">
      <alignment horizontal="center" wrapText="1"/>
    </xf>
    <xf numFmtId="0" fontId="71" fillId="0" borderId="74" xfId="0" applyFont="1" applyBorder="1" applyAlignment="1">
      <alignment horizontal="center" wrapText="1"/>
    </xf>
    <xf numFmtId="0" fontId="58" fillId="19" borderId="0" xfId="0" applyFont="1" applyFill="1" applyAlignment="1">
      <alignment wrapText="1"/>
    </xf>
    <xf numFmtId="0" fontId="67" fillId="0" borderId="19" xfId="0" applyFont="1" applyBorder="1" applyAlignment="1">
      <alignment horizontal="center" vertical="center" wrapText="1"/>
    </xf>
    <xf numFmtId="0" fontId="67" fillId="0" borderId="18" xfId="0" applyFont="1" applyBorder="1" applyAlignment="1">
      <alignment horizontal="center" vertical="center" wrapText="1"/>
    </xf>
    <xf numFmtId="0" fontId="56" fillId="0" borderId="21" xfId="0" applyFont="1" applyBorder="1" applyAlignment="1">
      <alignment horizontal="center"/>
    </xf>
    <xf numFmtId="0" fontId="56" fillId="0" borderId="74" xfId="0" applyFont="1" applyBorder="1" applyAlignment="1">
      <alignment horizontal="center"/>
    </xf>
    <xf numFmtId="0" fontId="56" fillId="0" borderId="54" xfId="0" applyFont="1" applyBorder="1" applyAlignment="1">
      <alignment horizontal="center"/>
    </xf>
    <xf numFmtId="0" fontId="56" fillId="0" borderId="55" xfId="0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6" fillId="0" borderId="18" xfId="0" applyFont="1" applyBorder="1" applyAlignment="1">
      <alignment horizontal="center"/>
    </xf>
    <xf numFmtId="0" fontId="58" fillId="20" borderId="0" xfId="0" applyFont="1" applyFill="1" applyAlignment="1">
      <alignment wrapText="1"/>
    </xf>
    <xf numFmtId="0" fontId="63" fillId="17" borderId="19" xfId="0" applyFont="1" applyFill="1" applyBorder="1" applyAlignment="1">
      <alignment vertical="center"/>
    </xf>
    <xf numFmtId="0" fontId="63" fillId="17" borderId="18" xfId="0" applyFont="1" applyFill="1" applyBorder="1" applyAlignment="1">
      <alignment vertical="center"/>
    </xf>
    <xf numFmtId="0" fontId="63" fillId="17" borderId="19" xfId="0" applyFont="1" applyFill="1" applyBorder="1" applyAlignment="1">
      <alignment horizontal="center"/>
    </xf>
    <xf numFmtId="0" fontId="63" fillId="17" borderId="18" xfId="0" applyFont="1" applyFill="1" applyBorder="1" applyAlignment="1">
      <alignment horizontal="center"/>
    </xf>
    <xf numFmtId="0" fontId="63" fillId="17" borderId="59" xfId="0" applyFont="1" applyFill="1" applyBorder="1" applyAlignment="1">
      <alignment horizontal="center"/>
    </xf>
    <xf numFmtId="0" fontId="63" fillId="17" borderId="67" xfId="0" applyFont="1" applyFill="1" applyBorder="1" applyAlignment="1">
      <alignment horizontal="center"/>
    </xf>
    <xf numFmtId="0" fontId="72" fillId="0" borderId="19" xfId="0" applyFont="1" applyBorder="1" applyAlignment="1">
      <alignment horizontal="center" vertical="center" wrapText="1"/>
    </xf>
    <xf numFmtId="0" fontId="72" fillId="0" borderId="18" xfId="0" applyFont="1" applyBorder="1" applyAlignment="1">
      <alignment horizontal="center" vertical="center" wrapText="1"/>
    </xf>
    <xf numFmtId="0" fontId="66" fillId="17" borderId="0" xfId="0" applyFont="1" applyFill="1" applyAlignment="1">
      <alignment horizontal="center"/>
    </xf>
    <xf numFmtId="0" fontId="77" fillId="17" borderId="0" xfId="0" applyFont="1" applyFill="1" applyAlignment="1">
      <alignment horizontal="center"/>
    </xf>
    <xf numFmtId="0" fontId="57" fillId="0" borderId="59" xfId="0" applyFont="1" applyBorder="1" applyAlignment="1">
      <alignment horizontal="center"/>
    </xf>
    <xf numFmtId="0" fontId="57" fillId="0" borderId="76" xfId="0" applyFont="1" applyBorder="1" applyAlignment="1">
      <alignment horizontal="center"/>
    </xf>
    <xf numFmtId="0" fontId="56" fillId="0" borderId="88" xfId="0" applyFont="1" applyBorder="1" applyAlignment="1">
      <alignment horizontal="center"/>
    </xf>
    <xf numFmtId="0" fontId="56" fillId="0" borderId="89" xfId="0" applyFont="1" applyBorder="1" applyAlignment="1">
      <alignment horizontal="center"/>
    </xf>
    <xf numFmtId="0" fontId="56" fillId="0" borderId="37" xfId="0" applyFont="1" applyBorder="1" applyAlignment="1">
      <alignment horizontal="center"/>
    </xf>
    <xf numFmtId="0" fontId="56" fillId="0" borderId="39" xfId="0" applyFont="1" applyBorder="1" applyAlignment="1">
      <alignment horizontal="center"/>
    </xf>
    <xf numFmtId="0" fontId="62" fillId="0" borderId="53" xfId="0" applyFont="1" applyBorder="1" applyAlignment="1">
      <alignment horizontal="center"/>
    </xf>
    <xf numFmtId="0" fontId="62" fillId="0" borderId="84" xfId="0" applyFont="1" applyBorder="1" applyAlignment="1">
      <alignment horizontal="center"/>
    </xf>
    <xf numFmtId="0" fontId="58" fillId="20" borderId="81" xfId="0" applyFont="1" applyFill="1" applyBorder="1" applyAlignment="1">
      <alignment wrapText="1"/>
    </xf>
    <xf numFmtId="0" fontId="58" fillId="20" borderId="82" xfId="0" applyFont="1" applyFill="1" applyBorder="1" applyAlignment="1">
      <alignment wrapText="1"/>
    </xf>
    <xf numFmtId="0" fontId="58" fillId="20" borderId="83" xfId="0" applyFont="1" applyFill="1" applyBorder="1" applyAlignment="1">
      <alignment wrapText="1"/>
    </xf>
    <xf numFmtId="0" fontId="74" fillId="17" borderId="19" xfId="0" applyFont="1" applyFill="1" applyBorder="1" applyAlignment="1">
      <alignment horizontal="center" vertical="center"/>
    </xf>
    <xf numFmtId="0" fontId="74" fillId="17" borderId="18" xfId="0" applyFont="1" applyFill="1" applyBorder="1" applyAlignment="1">
      <alignment horizontal="center" vertical="center"/>
    </xf>
    <xf numFmtId="0" fontId="63" fillId="17" borderId="21" xfId="0" applyFont="1" applyFill="1" applyBorder="1" applyAlignment="1">
      <alignment horizontal="center"/>
    </xf>
    <xf numFmtId="0" fontId="63" fillId="17" borderId="74" xfId="0" applyFont="1" applyFill="1" applyBorder="1" applyAlignment="1">
      <alignment horizontal="center"/>
    </xf>
    <xf numFmtId="0" fontId="63" fillId="17" borderId="90" xfId="0" applyFont="1" applyFill="1" applyBorder="1" applyAlignment="1">
      <alignment horizontal="center"/>
    </xf>
    <xf numFmtId="0" fontId="63" fillId="17" borderId="80" xfId="0" applyFont="1" applyFill="1" applyBorder="1" applyAlignment="1">
      <alignment horizontal="center"/>
    </xf>
    <xf numFmtId="0" fontId="72" fillId="0" borderId="10" xfId="0" applyFont="1" applyBorder="1" applyAlignment="1">
      <alignment horizontal="center" vertical="center" wrapText="1"/>
    </xf>
    <xf numFmtId="0" fontId="72" fillId="0" borderId="15" xfId="0" applyFont="1" applyBorder="1" applyAlignment="1">
      <alignment horizontal="center" vertical="center" wrapText="1"/>
    </xf>
    <xf numFmtId="0" fontId="72" fillId="0" borderId="59" xfId="0" applyFont="1" applyBorder="1" applyAlignment="1">
      <alignment horizontal="center" vertical="center" wrapText="1"/>
    </xf>
    <xf numFmtId="0" fontId="72" fillId="0" borderId="76" xfId="0" applyFont="1" applyBorder="1" applyAlignment="1">
      <alignment horizontal="center" vertical="center" wrapText="1"/>
    </xf>
    <xf numFmtId="10" fontId="56" fillId="0" borderId="37" xfId="0" applyNumberFormat="1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10" fontId="56" fillId="0" borderId="51" xfId="0" applyNumberFormat="1" applyFont="1" applyBorder="1" applyAlignment="1">
      <alignment horizontal="center"/>
    </xf>
    <xf numFmtId="0" fontId="56" fillId="0" borderId="76" xfId="0" applyFont="1" applyBorder="1" applyAlignment="1">
      <alignment horizontal="center"/>
    </xf>
    <xf numFmtId="8" fontId="56" fillId="0" borderId="59" xfId="0" applyNumberFormat="1" applyFont="1" applyBorder="1" applyAlignment="1">
      <alignment horizontal="center"/>
    </xf>
    <xf numFmtId="0" fontId="56" fillId="0" borderId="67" xfId="0" applyFont="1" applyBorder="1" applyAlignment="1">
      <alignment horizontal="center"/>
    </xf>
    <xf numFmtId="9" fontId="56" fillId="0" borderId="51" xfId="0" applyNumberFormat="1" applyFont="1" applyBorder="1" applyAlignment="1">
      <alignment horizontal="center"/>
    </xf>
    <xf numFmtId="165" fontId="56" fillId="0" borderId="59" xfId="0" applyNumberFormat="1" applyFont="1" applyBorder="1" applyAlignment="1">
      <alignment horizontal="center"/>
    </xf>
    <xf numFmtId="165" fontId="56" fillId="0" borderId="67" xfId="0" applyNumberFormat="1" applyFont="1" applyBorder="1" applyAlignment="1">
      <alignment horizontal="center"/>
    </xf>
    <xf numFmtId="10" fontId="56" fillId="0" borderId="53" xfId="0" applyNumberFormat="1" applyFont="1" applyBorder="1" applyAlignment="1">
      <alignment horizontal="center"/>
    </xf>
    <xf numFmtId="0" fontId="56" fillId="0" borderId="91" xfId="0" applyFont="1" applyBorder="1" applyAlignment="1">
      <alignment horizontal="center"/>
    </xf>
    <xf numFmtId="9" fontId="56" fillId="0" borderId="37" xfId="0" applyNumberFormat="1" applyFont="1" applyBorder="1" applyAlignment="1">
      <alignment horizontal="center"/>
    </xf>
    <xf numFmtId="0" fontId="56" fillId="0" borderId="90" xfId="0" applyFont="1" applyBorder="1" applyAlignment="1">
      <alignment horizontal="center"/>
    </xf>
    <xf numFmtId="0" fontId="56" fillId="0" borderId="80" xfId="0" applyFont="1" applyBorder="1" applyAlignment="1">
      <alignment horizontal="center"/>
    </xf>
    <xf numFmtId="0" fontId="56" fillId="0" borderId="59" xfId="0" applyFont="1" applyBorder="1" applyAlignment="1">
      <alignment horizontal="center"/>
    </xf>
    <xf numFmtId="0" fontId="79" fillId="17" borderId="0" xfId="0" applyFont="1" applyFill="1" applyAlignment="1">
      <alignment horizontal="center"/>
    </xf>
    <xf numFmtId="0" fontId="81" fillId="3" borderId="0" xfId="0" applyFont="1" applyFill="1" applyAlignment="1">
      <alignment horizontal="center"/>
    </xf>
    <xf numFmtId="0" fontId="82" fillId="3" borderId="73" xfId="0" applyFont="1" applyFill="1" applyBorder="1" applyAlignment="1">
      <alignment horizontal="center" wrapText="1"/>
    </xf>
    <xf numFmtId="0" fontId="82" fillId="3" borderId="0" xfId="0" applyFont="1" applyFill="1" applyAlignment="1">
      <alignment horizontal="center" wrapText="1"/>
    </xf>
    <xf numFmtId="0" fontId="46" fillId="29" borderId="51" xfId="0" applyFont="1" applyFill="1" applyBorder="1" applyAlignment="1">
      <alignment horizontal="center" vertical="center" wrapText="1"/>
    </xf>
    <xf numFmtId="0" fontId="46" fillId="29" borderId="75" xfId="0" applyFont="1" applyFill="1" applyBorder="1" applyAlignment="1">
      <alignment horizontal="center" vertical="center" wrapText="1"/>
    </xf>
    <xf numFmtId="0" fontId="46" fillId="29" borderId="52" xfId="0" applyFont="1" applyFill="1" applyBorder="1" applyAlignment="1">
      <alignment horizontal="center" vertical="center" wrapText="1"/>
    </xf>
    <xf numFmtId="0" fontId="46" fillId="29" borderId="54" xfId="0" applyFont="1" applyFill="1" applyBorder="1" applyAlignment="1">
      <alignment horizontal="center" vertical="center" wrapText="1"/>
    </xf>
    <xf numFmtId="0" fontId="46" fillId="29" borderId="0" xfId="0" applyFont="1" applyFill="1" applyAlignment="1">
      <alignment horizontal="center" vertical="center" wrapText="1"/>
    </xf>
    <xf numFmtId="0" fontId="46" fillId="29" borderId="55" xfId="0" applyFont="1" applyFill="1" applyBorder="1" applyAlignment="1">
      <alignment horizontal="center" vertical="center" wrapText="1"/>
    </xf>
    <xf numFmtId="0" fontId="80" fillId="7" borderId="51" xfId="0" applyFont="1" applyFill="1" applyBorder="1" applyAlignment="1">
      <alignment horizontal="center" vertical="center" wrapText="1"/>
    </xf>
    <xf numFmtId="0" fontId="80" fillId="7" borderId="75" xfId="0" applyFont="1" applyFill="1" applyBorder="1" applyAlignment="1">
      <alignment horizontal="center" vertical="center" wrapText="1"/>
    </xf>
    <xf numFmtId="0" fontId="80" fillId="7" borderId="52" xfId="0" applyFont="1" applyFill="1" applyBorder="1" applyAlignment="1">
      <alignment horizontal="center" vertical="center" wrapText="1"/>
    </xf>
    <xf numFmtId="0" fontId="80" fillId="7" borderId="54" xfId="0" applyFont="1" applyFill="1" applyBorder="1" applyAlignment="1">
      <alignment horizontal="center" vertical="center" wrapText="1"/>
    </xf>
    <xf numFmtId="0" fontId="80" fillId="7" borderId="0" xfId="0" applyFont="1" applyFill="1" applyAlignment="1">
      <alignment horizontal="center" vertical="center" wrapText="1"/>
    </xf>
    <xf numFmtId="0" fontId="80" fillId="7" borderId="55" xfId="0" applyFont="1" applyFill="1" applyBorder="1" applyAlignment="1">
      <alignment horizontal="center" vertical="center" wrapText="1"/>
    </xf>
    <xf numFmtId="0" fontId="80" fillId="7" borderId="90" xfId="0" applyFont="1" applyFill="1" applyBorder="1" applyAlignment="1">
      <alignment horizontal="center" vertical="center" wrapText="1"/>
    </xf>
    <xf numFmtId="0" fontId="80" fillId="7" borderId="73" xfId="0" applyFont="1" applyFill="1" applyBorder="1" applyAlignment="1">
      <alignment horizontal="center" vertical="center" wrapText="1"/>
    </xf>
    <xf numFmtId="0" fontId="80" fillId="7" borderId="80" xfId="0" applyFont="1" applyFill="1" applyBorder="1" applyAlignment="1">
      <alignment horizontal="center" vertical="center" wrapText="1"/>
    </xf>
    <xf numFmtId="0" fontId="29" fillId="36" borderId="0" xfId="0" applyFont="1" applyFill="1" applyAlignment="1">
      <alignment horizontal="center"/>
    </xf>
    <xf numFmtId="0" fontId="29" fillId="36" borderId="0" xfId="0" applyFont="1" applyFill="1" applyAlignment="1">
      <alignment horizontal="center" vertical="center"/>
    </xf>
    <xf numFmtId="0" fontId="47" fillId="0" borderId="0" xfId="0" applyFont="1" applyAlignment="1">
      <alignment horizontal="center"/>
    </xf>
    <xf numFmtId="0" fontId="29" fillId="36" borderId="97" xfId="0" applyFont="1" applyFill="1" applyBorder="1" applyAlignment="1">
      <alignment horizontal="center"/>
    </xf>
    <xf numFmtId="0" fontId="29" fillId="36" borderId="98" xfId="0" applyFont="1" applyFill="1" applyBorder="1" applyAlignment="1">
      <alignment horizontal="center"/>
    </xf>
    <xf numFmtId="0" fontId="68" fillId="0" borderId="21" xfId="0" applyFont="1" applyBorder="1" applyAlignment="1"/>
    <xf numFmtId="0" fontId="68" fillId="0" borderId="104" xfId="0" applyFont="1" applyBorder="1" applyAlignment="1">
      <alignment horizontal="center"/>
    </xf>
    <xf numFmtId="0" fontId="68" fillId="0" borderId="91" xfId="0" applyFont="1" applyBorder="1" applyAlignment="1">
      <alignment horizontal="center"/>
    </xf>
    <xf numFmtId="0" fontId="56" fillId="0" borderId="21" xfId="0" applyFont="1" applyBorder="1" applyAlignment="1"/>
    <xf numFmtId="0" fontId="56" fillId="0" borderId="74" xfId="0" applyFont="1" applyBorder="1" applyAlignment="1"/>
    <xf numFmtId="0" fontId="57" fillId="0" borderId="37" xfId="0" applyFont="1" applyBorder="1" applyAlignment="1"/>
    <xf numFmtId="0" fontId="57" fillId="0" borderId="38" xfId="0" applyFont="1" applyBorder="1" applyAlignment="1"/>
    <xf numFmtId="0" fontId="59" fillId="17" borderId="19" xfId="0" applyFont="1" applyFill="1" applyBorder="1" applyAlignment="1"/>
    <xf numFmtId="0" fontId="59" fillId="17" borderId="18" xfId="0" applyFont="1" applyFill="1" applyBorder="1" applyAlignment="1"/>
    <xf numFmtId="0" fontId="59" fillId="17" borderId="59" xfId="0" applyFont="1" applyFill="1" applyBorder="1" applyAlignment="1"/>
    <xf numFmtId="0" fontId="59" fillId="17" borderId="76" xfId="0" applyFont="1" applyFill="1" applyBorder="1" applyAlignment="1"/>
    <xf numFmtId="0" fontId="59" fillId="17" borderId="67" xfId="0" applyFont="1" applyFill="1" applyBorder="1" applyAlignment="1"/>
    <xf numFmtId="0" fontId="68" fillId="0" borderId="74" xfId="0" applyFont="1" applyBorder="1" applyAlignment="1"/>
    <xf numFmtId="0" fontId="62" fillId="0" borderId="37" xfId="0" applyFont="1" applyBorder="1" applyAlignment="1"/>
    <xf numFmtId="0" fontId="62" fillId="0" borderId="38" xfId="0" applyFont="1" applyBorder="1" applyAlignment="1"/>
    <xf numFmtId="0" fontId="52" fillId="17" borderId="15" xfId="0" applyFont="1" applyFill="1" applyBorder="1" applyAlignment="1"/>
    <xf numFmtId="0" fontId="59" fillId="17" borderId="73" xfId="0" applyFont="1" applyFill="1" applyBorder="1" applyAlignment="1"/>
    <xf numFmtId="0" fontId="59" fillId="17" borderId="80" xfId="0" applyFont="1" applyFill="1" applyBorder="1" applyAlignment="1"/>
  </cellXfs>
  <cellStyles count="1">
    <cellStyle name="Normal" xfId="0" builtinId="0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 wrapText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rgb="FFB8CCE4"/>
          <bgColor rgb="FFB8CCE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EDF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jpe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jpe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6351</xdr:colOff>
      <xdr:row>1</xdr:row>
      <xdr:rowOff>227183</xdr:rowOff>
    </xdr:to>
    <xdr:pic>
      <xdr:nvPicPr>
        <xdr:cNvPr id="2" name="Picture 4" descr="1000_F_90933914_8pMMlVWmzxFUrJTOY7Y2HePNKao13WF2-removebg-preview.png">
          <a:extLst>
            <a:ext uri="{FF2B5EF4-FFF2-40B4-BE49-F238E27FC236}">
              <a16:creationId xmlns:a16="http://schemas.microsoft.com/office/drawing/2014/main" id="{27916ABD-D9BC-4576-9E57-D1EB05537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1825" y="0"/>
          <a:ext cx="6351" cy="8177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834871</xdr:rowOff>
    </xdr:from>
    <xdr:to>
      <xdr:col>0</xdr:col>
      <xdr:colOff>971550</xdr:colOff>
      <xdr:row>5</xdr:row>
      <xdr:rowOff>104776</xdr:rowOff>
    </xdr:to>
    <xdr:pic>
      <xdr:nvPicPr>
        <xdr:cNvPr id="2" name="Picture 1" descr="logo-take5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834871"/>
          <a:ext cx="809625" cy="879630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0</xdr:row>
      <xdr:rowOff>762000</xdr:rowOff>
    </xdr:from>
    <xdr:to>
      <xdr:col>2</xdr:col>
      <xdr:colOff>1066799</xdr:colOff>
      <xdr:row>5</xdr:row>
      <xdr:rowOff>76200</xdr:rowOff>
    </xdr:to>
    <xdr:pic>
      <xdr:nvPicPr>
        <xdr:cNvPr id="3" name="Picture 2" descr="winners circles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0" y="762000"/>
          <a:ext cx="2133599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1200150</xdr:colOff>
      <xdr:row>0</xdr:row>
      <xdr:rowOff>820293</xdr:rowOff>
    </xdr:from>
    <xdr:to>
      <xdr:col>1</xdr:col>
      <xdr:colOff>333375</xdr:colOff>
      <xdr:row>5</xdr:row>
      <xdr:rowOff>132893</xdr:rowOff>
    </xdr:to>
    <xdr:pic>
      <xdr:nvPicPr>
        <xdr:cNvPr id="4" name="Picture 3" descr="7cb8b647fb0181c5737262074994972e-removebg-preview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00150" y="820293"/>
          <a:ext cx="847725" cy="92232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762001</xdr:colOff>
      <xdr:row>1</xdr:row>
      <xdr:rowOff>1034</xdr:rowOff>
    </xdr:from>
    <xdr:to>
      <xdr:col>3</xdr:col>
      <xdr:colOff>1581150</xdr:colOff>
      <xdr:row>5</xdr:row>
      <xdr:rowOff>63117</xdr:rowOff>
    </xdr:to>
    <xdr:pic>
      <xdr:nvPicPr>
        <xdr:cNvPr id="5" name="Picture 4" descr="1000_F_90933914_8pMMlVWmzxFUrJTOY7Y2HePNKao13WF2-removebg-preview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05501" y="848759"/>
          <a:ext cx="819149" cy="824083"/>
        </a:xfrm>
        <a:prstGeom prst="rect">
          <a:avLst/>
        </a:prstGeom>
      </xdr:spPr>
    </xdr:pic>
    <xdr:clientData/>
  </xdr:twoCellAnchor>
  <xdr:twoCellAnchor editAs="oneCell">
    <xdr:from>
      <xdr:col>2</xdr:col>
      <xdr:colOff>1352550</xdr:colOff>
      <xdr:row>1</xdr:row>
      <xdr:rowOff>58439</xdr:rowOff>
    </xdr:from>
    <xdr:to>
      <xdr:col>3</xdr:col>
      <xdr:colOff>619125</xdr:colOff>
      <xdr:row>4</xdr:row>
      <xdr:rowOff>28574</xdr:rowOff>
    </xdr:to>
    <xdr:pic>
      <xdr:nvPicPr>
        <xdr:cNvPr id="6" name="Picture 5" descr="1373858-removebg-preview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781550" y="906164"/>
          <a:ext cx="981075" cy="541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</xdr:colOff>
      <xdr:row>0</xdr:row>
      <xdr:rowOff>133283</xdr:rowOff>
    </xdr:from>
    <xdr:to>
      <xdr:col>0</xdr:col>
      <xdr:colOff>482600</xdr:colOff>
      <xdr:row>1</xdr:row>
      <xdr:rowOff>161926</xdr:rowOff>
    </xdr:to>
    <xdr:pic>
      <xdr:nvPicPr>
        <xdr:cNvPr id="2" name="Picture 1" descr="logo-tak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25" y="133283"/>
          <a:ext cx="422275" cy="460443"/>
        </a:xfrm>
        <a:prstGeom prst="rect">
          <a:avLst/>
        </a:prstGeom>
      </xdr:spPr>
    </xdr:pic>
    <xdr:clientData/>
  </xdr:twoCellAnchor>
  <xdr:twoCellAnchor editAs="oneCell">
    <xdr:from>
      <xdr:col>1</xdr:col>
      <xdr:colOff>977900</xdr:colOff>
      <xdr:row>1</xdr:row>
      <xdr:rowOff>38100</xdr:rowOff>
    </xdr:from>
    <xdr:to>
      <xdr:col>2</xdr:col>
      <xdr:colOff>810259</xdr:colOff>
      <xdr:row>3</xdr:row>
      <xdr:rowOff>25400</xdr:rowOff>
    </xdr:to>
    <xdr:pic>
      <xdr:nvPicPr>
        <xdr:cNvPr id="3" name="Picture 2" descr="winners circles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92400" y="469900"/>
          <a:ext cx="1546859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1606551</xdr:colOff>
      <xdr:row>1</xdr:row>
      <xdr:rowOff>31525</xdr:rowOff>
    </xdr:from>
    <xdr:to>
      <xdr:col>1</xdr:col>
      <xdr:colOff>241300</xdr:colOff>
      <xdr:row>3</xdr:row>
      <xdr:rowOff>31816</xdr:rowOff>
    </xdr:to>
    <xdr:pic>
      <xdr:nvPicPr>
        <xdr:cNvPr id="4" name="Picture 3" descr="7cb8b647fb0181c5737262074994972e-removebg-preview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06551" y="463325"/>
          <a:ext cx="349249" cy="381291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800101</xdr:colOff>
      <xdr:row>1</xdr:row>
      <xdr:rowOff>9258</xdr:rowOff>
    </xdr:from>
    <xdr:to>
      <xdr:col>0</xdr:col>
      <xdr:colOff>1257300</xdr:colOff>
      <xdr:row>3</xdr:row>
      <xdr:rowOff>88211</xdr:rowOff>
    </xdr:to>
    <xdr:pic>
      <xdr:nvPicPr>
        <xdr:cNvPr id="5" name="Picture 4" descr="1000_F_90933914_8pMMlVWmzxFUrJTOY7Y2HePNKao13WF2-removebg-preview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00101" y="441058"/>
          <a:ext cx="457199" cy="459953"/>
        </a:xfrm>
        <a:prstGeom prst="rect">
          <a:avLst/>
        </a:prstGeom>
      </xdr:spPr>
    </xdr:pic>
    <xdr:clientData/>
  </xdr:twoCellAnchor>
  <xdr:twoCellAnchor editAs="oneCell">
    <xdr:from>
      <xdr:col>2</xdr:col>
      <xdr:colOff>1022351</xdr:colOff>
      <xdr:row>1</xdr:row>
      <xdr:rowOff>44450</xdr:rowOff>
    </xdr:from>
    <xdr:to>
      <xdr:col>2</xdr:col>
      <xdr:colOff>1534183</xdr:colOff>
      <xdr:row>2</xdr:row>
      <xdr:rowOff>136524</xdr:rowOff>
    </xdr:to>
    <xdr:pic>
      <xdr:nvPicPr>
        <xdr:cNvPr id="6" name="Picture 5" descr="1373858-removebg-preview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451351" y="476250"/>
          <a:ext cx="511832" cy="282574"/>
        </a:xfrm>
        <a:prstGeom prst="rect">
          <a:avLst/>
        </a:prstGeom>
      </xdr:spPr>
    </xdr:pic>
    <xdr:clientData/>
  </xdr:twoCellAnchor>
  <xdr:twoCellAnchor editAs="oneCell">
    <xdr:from>
      <xdr:col>3</xdr:col>
      <xdr:colOff>774700</xdr:colOff>
      <xdr:row>0</xdr:row>
      <xdr:rowOff>203200</xdr:rowOff>
    </xdr:from>
    <xdr:to>
      <xdr:col>3</xdr:col>
      <xdr:colOff>1676400</xdr:colOff>
      <xdr:row>4</xdr:row>
      <xdr:rowOff>101600</xdr:rowOff>
    </xdr:to>
    <xdr:pic>
      <xdr:nvPicPr>
        <xdr:cNvPr id="11" name="Picture 10" descr="roaring-lion-engraving-sketch-vector-50973506-removebg-preview (1)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918200" y="203200"/>
          <a:ext cx="901700" cy="9017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0</xdr:row>
      <xdr:rowOff>342900</xdr:rowOff>
    </xdr:from>
    <xdr:to>
      <xdr:col>3</xdr:col>
      <xdr:colOff>635000</xdr:colOff>
      <xdr:row>3</xdr:row>
      <xdr:rowOff>152400</xdr:rowOff>
    </xdr:to>
    <xdr:pic>
      <xdr:nvPicPr>
        <xdr:cNvPr id="12" name="Picture 11" descr="golden-car_1000638-115-removebg-preview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156200" y="342900"/>
          <a:ext cx="622300" cy="62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60325</xdr:colOff>
      <xdr:row>0</xdr:row>
      <xdr:rowOff>133283</xdr:rowOff>
    </xdr:from>
    <xdr:to>
      <xdr:col>0</xdr:col>
      <xdr:colOff>482600</xdr:colOff>
      <xdr:row>1</xdr:row>
      <xdr:rowOff>161926</xdr:rowOff>
    </xdr:to>
    <xdr:pic>
      <xdr:nvPicPr>
        <xdr:cNvPr id="2" name="Picture 1" descr="logo-tak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25" y="133283"/>
          <a:ext cx="422275" cy="457268"/>
        </a:xfrm>
        <a:prstGeom prst="rect">
          <a:avLst/>
        </a:prstGeom>
      </xdr:spPr>
    </xdr:pic>
    <xdr:clientData/>
  </xdr:twoCellAnchor>
  <xdr:twoCellAnchor editAs="oneCell">
    <xdr:from>
      <xdr:col>1</xdr:col>
      <xdr:colOff>977900</xdr:colOff>
      <xdr:row>1</xdr:row>
      <xdr:rowOff>38100</xdr:rowOff>
    </xdr:from>
    <xdr:to>
      <xdr:col>2</xdr:col>
      <xdr:colOff>810259</xdr:colOff>
      <xdr:row>3</xdr:row>
      <xdr:rowOff>25400</xdr:rowOff>
    </xdr:to>
    <xdr:pic>
      <xdr:nvPicPr>
        <xdr:cNvPr id="3" name="Picture 2" descr="winners circles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16225" y="466725"/>
          <a:ext cx="1670684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1606551</xdr:colOff>
      <xdr:row>1</xdr:row>
      <xdr:rowOff>31525</xdr:rowOff>
    </xdr:from>
    <xdr:to>
      <xdr:col>1</xdr:col>
      <xdr:colOff>241300</xdr:colOff>
      <xdr:row>3</xdr:row>
      <xdr:rowOff>31816</xdr:rowOff>
    </xdr:to>
    <xdr:pic>
      <xdr:nvPicPr>
        <xdr:cNvPr id="4" name="Picture 3" descr="7cb8b647fb0181c5737262074994972e-removebg-preview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06551" y="460150"/>
          <a:ext cx="473074" cy="381291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800101</xdr:colOff>
      <xdr:row>1</xdr:row>
      <xdr:rowOff>9258</xdr:rowOff>
    </xdr:from>
    <xdr:to>
      <xdr:col>0</xdr:col>
      <xdr:colOff>1257300</xdr:colOff>
      <xdr:row>3</xdr:row>
      <xdr:rowOff>88211</xdr:rowOff>
    </xdr:to>
    <xdr:pic>
      <xdr:nvPicPr>
        <xdr:cNvPr id="5" name="Picture 4" descr="1000_F_90933914_8pMMlVWmzxFUrJTOY7Y2HePNKao13WF2-removebg-preview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00101" y="437883"/>
          <a:ext cx="457199" cy="459953"/>
        </a:xfrm>
        <a:prstGeom prst="rect">
          <a:avLst/>
        </a:prstGeom>
      </xdr:spPr>
    </xdr:pic>
    <xdr:clientData/>
  </xdr:twoCellAnchor>
  <xdr:twoCellAnchor editAs="oneCell">
    <xdr:from>
      <xdr:col>2</xdr:col>
      <xdr:colOff>1022351</xdr:colOff>
      <xdr:row>1</xdr:row>
      <xdr:rowOff>44450</xdr:rowOff>
    </xdr:from>
    <xdr:to>
      <xdr:col>2</xdr:col>
      <xdr:colOff>1534183</xdr:colOff>
      <xdr:row>2</xdr:row>
      <xdr:rowOff>136524</xdr:rowOff>
    </xdr:to>
    <xdr:pic>
      <xdr:nvPicPr>
        <xdr:cNvPr id="6" name="Picture 5" descr="1373858-removebg-preview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99001" y="473075"/>
          <a:ext cx="511832" cy="282574"/>
        </a:xfrm>
        <a:prstGeom prst="rect">
          <a:avLst/>
        </a:prstGeom>
      </xdr:spPr>
    </xdr:pic>
    <xdr:clientData/>
  </xdr:twoCellAnchor>
  <xdr:twoCellAnchor editAs="oneCell">
    <xdr:from>
      <xdr:col>3</xdr:col>
      <xdr:colOff>774700</xdr:colOff>
      <xdr:row>0</xdr:row>
      <xdr:rowOff>203200</xdr:rowOff>
    </xdr:from>
    <xdr:to>
      <xdr:col>3</xdr:col>
      <xdr:colOff>1676400</xdr:colOff>
      <xdr:row>4</xdr:row>
      <xdr:rowOff>101600</xdr:rowOff>
    </xdr:to>
    <xdr:pic>
      <xdr:nvPicPr>
        <xdr:cNvPr id="7" name="Picture 6" descr="roaring-lion-engraving-sketch-vector-50973506-removebg-preview (1)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89675" y="203200"/>
          <a:ext cx="901700" cy="898525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0</xdr:row>
      <xdr:rowOff>342900</xdr:rowOff>
    </xdr:from>
    <xdr:to>
      <xdr:col>3</xdr:col>
      <xdr:colOff>635000</xdr:colOff>
      <xdr:row>3</xdr:row>
      <xdr:rowOff>152400</xdr:rowOff>
    </xdr:to>
    <xdr:pic>
      <xdr:nvPicPr>
        <xdr:cNvPr id="8" name="Picture 7" descr="golden-car_1000638-115-removebg-preview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27675" y="342900"/>
          <a:ext cx="62230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6351</xdr:colOff>
      <xdr:row>2</xdr:row>
      <xdr:rowOff>103358</xdr:rowOff>
    </xdr:to>
    <xdr:pic>
      <xdr:nvPicPr>
        <xdr:cNvPr id="5" name="Picture 4" descr="1000_F_90933914_8pMMlVWmzxFUrJTOY7Y2HePNKao13WF2-removebg-preview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1" y="848759"/>
          <a:ext cx="819149" cy="8240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6351</xdr:colOff>
      <xdr:row>2</xdr:row>
      <xdr:rowOff>93833</xdr:rowOff>
    </xdr:to>
    <xdr:pic>
      <xdr:nvPicPr>
        <xdr:cNvPr id="2" name="Picture 4" descr="1000_F_90933914_8pMMlVWmzxFUrJTOY7Y2HePNKao13WF2-removebg-preview.png">
          <a:extLst>
            <a:ext uri="{FF2B5EF4-FFF2-40B4-BE49-F238E27FC236}">
              <a16:creationId xmlns:a16="http://schemas.microsoft.com/office/drawing/2014/main" id="{6CAA2691-A4D2-4BB2-BD47-2EDCCBA23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1825" y="0"/>
          <a:ext cx="6351" cy="8177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6351</xdr:colOff>
      <xdr:row>2</xdr:row>
      <xdr:rowOff>93833</xdr:rowOff>
    </xdr:to>
    <xdr:pic>
      <xdr:nvPicPr>
        <xdr:cNvPr id="2" name="Picture 4" descr="1000_F_90933914_8pMMlVWmzxFUrJTOY7Y2HePNKao13WF2-removebg-preview.png">
          <a:extLst>
            <a:ext uri="{FF2B5EF4-FFF2-40B4-BE49-F238E27FC236}">
              <a16:creationId xmlns:a16="http://schemas.microsoft.com/office/drawing/2014/main" id="{772D65C2-9EC3-41AA-9D48-3C278790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71825" y="0"/>
          <a:ext cx="6351" cy="808208"/>
        </a:xfrm>
        <a:prstGeom prst="rect">
          <a:avLst/>
        </a:prstGeom>
      </xdr:spPr>
    </xdr:pic>
    <xdr:clientData/>
  </xdr:twoCellAnchor>
  <xdr:twoCellAnchor editAs="absolute">
    <xdr:from>
      <xdr:col>9</xdr:col>
      <xdr:colOff>57150</xdr:colOff>
      <xdr:row>1</xdr:row>
      <xdr:rowOff>9525</xdr:rowOff>
    </xdr:from>
    <xdr:to>
      <xdr:col>13</xdr:col>
      <xdr:colOff>95250</xdr:colOff>
      <xdr:row>10</xdr:row>
      <xdr:rowOff>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Your Name ">
              <a:extLst>
                <a:ext uri="{FF2B5EF4-FFF2-40B4-BE49-F238E27FC236}">
                  <a16:creationId xmlns:a16="http://schemas.microsoft.com/office/drawing/2014/main" id="{F727BA05-EED1-CF1D-82F6-5D2A8D4E71B7}"/>
                </a:ext>
                <a:ext uri="{147F2762-F138-4A5C-976F-8EAC2B608ADB}">
                  <a16:predDERef xmlns:a16="http://schemas.microsoft.com/office/drawing/2014/main" pred="{772D65C2-9EC3-41AA-9D48-3C27879098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our Name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6975" y="600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our_Name" xr10:uid="{23D48A65-C90E-408B-B8D1-080DA613F2C5}" sourceName="Your Name ">
  <extLst>
    <x:ext xmlns:x15="http://schemas.microsoft.com/office/spreadsheetml/2010/11/main" uri="{2F2917AC-EB37-4324-AD4E-5DD8C200BD13}">
      <x15:tableSlicerCache tableId="4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our Name " xr10:uid="{8F76C7D7-D239-427F-80FC-1654A3B5688F}" cache="Slicer_Your_Name" caption="Your Name 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F927-7B01-41FF-8DF2-AF8CEB90FC84}" name="Table32" displayName="Table32" ref="A2:N35" totalsRowShown="0" headerRowDxfId="118" dataDxfId="117" tableBorderDxfId="116">
  <autoFilter ref="A2:N35" xr:uid="{F18D5BA1-433F-429C-9586-57AC5808E7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B8CD411-A0E3-4C02-B21B-1CD27873269F}" name="#" dataDxfId="115">
      <calculatedColumnFormula>A2+1</calculatedColumnFormula>
    </tableColumn>
    <tableColumn id="2" xr3:uid="{2E833C2C-AFE6-4282-8149-0A0537714723}" name="Employee Name " dataDxfId="114">
      <calculatedColumnFormula array="1">_xlfn.LET(
  _xlpm.dmData, _xlfn._xlws.FILTER('p3 DM'!B4:F36, 'p3 DM'!B4:F36&lt;&gt;""),
  _xlpm.p3Data, _xlfn._xlws.FILTER('P3'!C6:D24, 'P3'!C6:D24&lt;&gt;""),
  _xlpm.allNames, _xlfn.VSTACK(_xlpm.dmData, _xlpm.p3Data),
  _xlfn.UNIQUE(_xlpm.allNames)
)</calculatedColumnFormula>
    </tableColumn>
    <tableColumn id="4" xr3:uid="{5160F4B9-8ABF-4031-8FA2-65AD49525B5C}" name="Period 1" dataDxfId="113">
      <calculatedColumnFormula array="1">_xlfn.LET(
  _xlpm.name, B3,
  COUNTIF('p3 DM'!B4:F36, _xlpm.name) + COUNTIF('P3'!C6:D24, _xlpm.name)
)</calculatedColumnFormula>
    </tableColumn>
    <tableColumn id="6" xr3:uid="{032F3360-52B6-41CD-9240-6A6AC1D2AA05}" name="Period 2" dataDxfId="112"/>
    <tableColumn id="7" xr3:uid="{56AC6431-A51B-41B4-A5A5-C6B3BC106307}" name="Period 3" dataDxfId="111"/>
    <tableColumn id="8" xr3:uid="{0AA8E161-6BB8-41BB-9BF2-2A20E3AB21AB}" name="Period 4" dataDxfId="110"/>
    <tableColumn id="9" xr3:uid="{1D29A8B0-AD47-4D1E-AE80-0614FC2DA44B}" name="Period 5" dataDxfId="109"/>
    <tableColumn id="10" xr3:uid="{1903360F-E523-4301-B1A6-596B902B733C}" name="Period 6" dataDxfId="108"/>
    <tableColumn id="11" xr3:uid="{B7288F38-9C66-4953-A427-CBD026131817}" name="Period 7" dataDxfId="107"/>
    <tableColumn id="12" xr3:uid="{76DFDD09-09AD-42BA-A9A6-06D39D16FD93}" name="Period 8" dataDxfId="106"/>
    <tableColumn id="13" xr3:uid="{9D1DB353-757E-4865-92C7-12449C76C2D8}" name="Period 9" dataDxfId="105"/>
    <tableColumn id="14" xr3:uid="{7F988BC7-E905-4634-B003-3703EC48FD6A}" name="Period 10" dataDxfId="104"/>
    <tableColumn id="15" xr3:uid="{E4742A58-D99F-4357-9E42-CFB148335FC7}" name="Period 11" dataDxfId="103"/>
    <tableColumn id="16" xr3:uid="{22231A87-E411-4124-B952-23F7B49EE86D}" name="Period 12" dataDxfId="10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8D5BA1-433F-429C-9586-57AC5808E7E7}" name="Table3" displayName="Table3" ref="A3:F36" totalsRowShown="0" headerRowDxfId="101" dataDxfId="100" tableBorderDxfId="99">
  <autoFilter ref="A3:F36" xr:uid="{F18D5BA1-433F-429C-9586-57AC5808E7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EF7E13-0EAD-4A0D-916E-50DC174F2931}" name="#" dataDxfId="98">
      <calculatedColumnFormula>A3+1</calculatedColumnFormula>
    </tableColumn>
    <tableColumn id="2" xr3:uid="{E89A4E2A-95B4-4297-B2F5-E699883B59C3}" name="Employee Name " dataDxfId="97"/>
    <tableColumn id="3" xr3:uid="{FED6D6B2-C690-4300-A82E-5A937984DF52}" name="Shop #" dataDxfId="96"/>
    <tableColumn id="4" xr3:uid="{9C7873AC-9897-4D0B-AD7E-AA9A88FA51E7}" name="Position " dataDxfId="95"/>
    <tableColumn id="5" xr3:uid="{C5D46C0D-D39D-440E-9A5A-9A2AF0B71FA0}" name="Given for" dataDxfId="94"/>
    <tableColumn id="6" xr3:uid="{1BFDF61E-4B11-408C-B24D-A08F0EB06D88}" name="Your Name " dataDxfId="9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0B4961-1FFB-45A4-A17A-AFF2FA552C52}" name="Table33" displayName="Table33" ref="A3:F36" totalsRowShown="0" headerRowDxfId="92" dataDxfId="91" tableBorderDxfId="90">
  <autoFilter ref="A3:F36" xr:uid="{F18D5BA1-433F-429C-9586-57AC5808E7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1AEBEF4-F0A5-4DF1-9B05-9A6F7A3CF54A}" name="#" dataDxfId="89"/>
    <tableColumn id="2" xr3:uid="{8061C858-1BC4-4FEF-BE45-7B5308316AAC}" name="Employee Name " dataDxfId="88"/>
    <tableColumn id="3" xr3:uid="{D3FDAB73-D864-4E29-A851-F9EABC2888D4}" name="Shop #" dataDxfId="87"/>
    <tableColumn id="4" xr3:uid="{0334E711-5EA3-4CAF-A396-88EB13D5AA38}" name="Position " dataDxfId="86"/>
    <tableColumn id="5" xr3:uid="{13B61ED7-1D79-45EB-AB73-C9CB22BDEFCC}" name="Given for" dataDxfId="85"/>
    <tableColumn id="6" xr3:uid="{1E9181AD-94FE-4ED3-A6C5-004C877C8D71}" name="Your Name " dataDxfId="8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D7E050-8261-43EF-A30C-6DB56A74B783}" name="Table335" displayName="Table335" ref="A3:F36" totalsRowShown="0" headerRowDxfId="83" dataDxfId="82" tableBorderDxfId="81">
  <autoFilter ref="A3:F36" xr:uid="{F18D5BA1-433F-429C-9586-57AC5808E7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4999A26-6A54-4CD2-AC39-061329DED34D}" name="#" dataDxfId="80"/>
    <tableColumn id="2" xr3:uid="{74B5B227-2962-4124-B707-82DC59CD2CA2}" name="Employee Name " dataDxfId="79"/>
    <tableColumn id="3" xr3:uid="{4D329A9E-86C7-480E-ABC4-5C76EBE26C4C}" name="Shop #" dataDxfId="78"/>
    <tableColumn id="4" xr3:uid="{67F165AC-797C-4E3A-A5D2-ECEB79843000}" name="Position " dataDxfId="77"/>
    <tableColumn id="5" xr3:uid="{286DBECF-14E9-4898-AB16-F473234BD6CB}" name="Given for" dataDxfId="76"/>
    <tableColumn id="6" xr3:uid="{29370976-0DA2-44FC-8D65-D037B413BE82}" name="Your Name " dataDxfId="7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DC781-C6C2-4AE7-9793-E6E1625AF978}" name="Table3356" displayName="Table3356" ref="A1:F100" headerRowDxfId="74" dataDxfId="73" tableBorderDxfId="72">
  <autoFilter ref="A1:F100" xr:uid="{F79DC781-C6C2-4AE7-9793-E6E1625AF9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34">
    <sortCondition ref="D1:D34"/>
  </sortState>
  <tableColumns count="6">
    <tableColumn id="1" xr3:uid="{ECB1D3F6-03B3-4F23-A04F-503C973203E1}" name="#" totalsRowLabel="Total" dataDxfId="70" totalsRowDxfId="71"/>
    <tableColumn id="2" xr3:uid="{6812D662-02A1-4AA6-895C-9287790FAC05}" name="Employee Name " dataDxfId="68" totalsRowDxfId="69"/>
    <tableColumn id="3" xr3:uid="{EF9A07C7-9A3A-4F52-9942-4B05570E77B9}" name="Shop #" dataDxfId="66" totalsRowDxfId="67"/>
    <tableColumn id="4" xr3:uid="{A2FBACE2-BB3E-4D63-B011-26F89D4D48A7}" name="Position " dataDxfId="64" totalsRowDxfId="65"/>
    <tableColumn id="5" xr3:uid="{42A2B84E-68FB-4116-8349-11E8EC211719}" name="Given for" dataDxfId="62" totalsRowDxfId="63"/>
    <tableColumn id="6" xr3:uid="{109CE3EE-67BB-4CAD-B20D-E0660EA7A7A2}" name="Your Name " totalsRowFunction="count" dataDxfId="60" totalsRowDxfId="61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70521E-8F71-4A66-AC35-2C08488F0C01}" name="Table335678" displayName="Table335678" ref="A1:F102" headerRowDxfId="59" dataDxfId="58" tableBorderDxfId="57">
  <autoFilter ref="A1:F102" xr:uid="{F79DC781-C6C2-4AE7-9793-E6E1625AF9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36">
    <sortCondition ref="D1:D36"/>
  </sortState>
  <tableColumns count="6">
    <tableColumn id="1" xr3:uid="{B17C53B4-5A01-4A41-A373-71C78CB94156}" name="#" totalsRowLabel="Total" dataDxfId="55" totalsRowDxfId="56"/>
    <tableColumn id="2" xr3:uid="{E41FAB88-5D6E-424B-901E-F25CE7939A50}" name="Employee Name " dataDxfId="53" totalsRowDxfId="54"/>
    <tableColumn id="3" xr3:uid="{DA77DD1B-92ED-4302-AC0A-1D3D47DDD341}" name="Shop #" dataDxfId="51" totalsRowDxfId="52"/>
    <tableColumn id="4" xr3:uid="{F20CE75C-0D79-42F5-8ADF-F502D89C2010}" name="Position " dataDxfId="49" totalsRowDxfId="50"/>
    <tableColumn id="5" xr3:uid="{B8F01540-0AD3-4273-97E7-C0B1EE77458E}" name="Given for" dataDxfId="47" totalsRowDxfId="48"/>
    <tableColumn id="6" xr3:uid="{90B1ED9B-FAF8-4939-9329-24154985FD2B}" name="Your Name " totalsRowFunction="count" dataDxfId="45" totalsRowDxfId="46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549E6B-309B-44C2-B37C-D1EC17A95C9E}" name="Table33567" displayName="Table33567" ref="A1:F101" headerRowDxfId="44" dataDxfId="43" tableBorderDxfId="42">
  <autoFilter ref="A1:F101" xr:uid="{F79DC781-C6C2-4AE7-9793-E6E1625AF9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36">
    <sortCondition ref="D1:D36"/>
  </sortState>
  <tableColumns count="6">
    <tableColumn id="1" xr3:uid="{6C9D7526-CFCA-47F3-9B51-0308958134D2}" name="#" totalsRowLabel="Total" dataDxfId="40" totalsRowDxfId="41"/>
    <tableColumn id="2" xr3:uid="{A3143DB5-ABD4-4F3D-9B02-E0B1E78074A1}" name="Employee Name " dataDxfId="38" totalsRowDxfId="39"/>
    <tableColumn id="3" xr3:uid="{148DD48D-6F58-4418-AEA5-873D313CDE77}" name="Shop #" dataDxfId="36" totalsRowDxfId="37"/>
    <tableColumn id="4" xr3:uid="{047354B6-EC46-4D09-821B-37263A5DAB44}" name="Position " dataDxfId="34" totalsRowDxfId="35"/>
    <tableColumn id="5" xr3:uid="{FB2F44D0-F44C-42CF-B06F-2A0996B44DE0}" name="Given for" dataDxfId="32" totalsRowDxfId="33"/>
    <tableColumn id="6" xr3:uid="{406D354D-4E50-4C88-B7A7-C63E643183FD}" name="Your Name " totalsRowFunction="count" dataDxfId="30" totalsRowDxfId="31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3DCA29-BB17-48F6-B0F2-FEE6AE4462DD}" name="Table33567910" displayName="Table33567910" ref="A1:F101" headerRowDxfId="29" dataDxfId="28" tableBorderDxfId="27">
  <autoFilter ref="A1:F101" xr:uid="{F79DC781-C6C2-4AE7-9793-E6E1625AF9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36">
    <sortCondition ref="D1:D36"/>
  </sortState>
  <tableColumns count="6">
    <tableColumn id="1" xr3:uid="{7FDCF963-F4C9-45A9-9FAF-75E74B607865}" name="#" totalsRowLabel="Total" dataDxfId="25" totalsRowDxfId="26"/>
    <tableColumn id="2" xr3:uid="{D7058DA0-4C8D-4417-AE3D-C51222F5165E}" name="Employee Name " dataDxfId="23" totalsRowDxfId="24"/>
    <tableColumn id="3" xr3:uid="{1402D289-745D-40A8-B067-74E31D14ABC3}" name="Shop #" dataDxfId="21" totalsRowDxfId="22"/>
    <tableColumn id="4" xr3:uid="{7F75E031-3EEB-421E-8906-166C4800C654}" name="Position " dataDxfId="19" totalsRowDxfId="20"/>
    <tableColumn id="5" xr3:uid="{5BA2CD61-E185-418B-9D35-FD44B440A83C}" name="Given for" dataDxfId="17" totalsRowDxfId="18"/>
    <tableColumn id="6" xr3:uid="{45D71456-C5DC-4FC6-AFAD-CAF25D998241}" name="Your Name " totalsRowFunction="count" dataDxfId="15" totalsRowDxfId="16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F10890-5897-45FE-A690-AACFB9CFDD65}" name="Table335679" displayName="Table335679" ref="A1:F109" headerRowDxfId="14" dataDxfId="13" tableBorderDxfId="12">
  <autoFilter ref="A1:F109" xr:uid="{F79DC781-C6C2-4AE7-9793-E6E1625AF9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36">
    <sortCondition ref="D1:D36"/>
  </sortState>
  <tableColumns count="6">
    <tableColumn id="1" xr3:uid="{F2DB7822-92F7-4549-AA7B-AB5C46174A81}" name="#" totalsRowLabel="Total" dataDxfId="10" totalsRowDxfId="11"/>
    <tableColumn id="2" xr3:uid="{69271A6A-21EB-4F4C-B94E-ADBB9A5C8675}" name="Employee Name " dataDxfId="8" totalsRowDxfId="9"/>
    <tableColumn id="3" xr3:uid="{A2A03950-F873-4F27-8328-04E53522DFF1}" name="Shop #" dataDxfId="6" totalsRowDxfId="7"/>
    <tableColumn id="4" xr3:uid="{CCAB6FFB-16B5-4568-A740-586B3A4315B4}" name="Position " dataDxfId="4" totalsRowDxfId="5"/>
    <tableColumn id="5" xr3:uid="{AC462089-2366-4375-85DA-9075511AC066}" name="Given for" dataDxfId="2" totalsRowDxfId="3"/>
    <tableColumn id="6" xr3:uid="{C665FBEA-C80B-4F17-A6E7-177467F43BCF}" name="Your Name " totalsRowFunction="count" dataDxfId="0" totalsRowDxfId="1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E909-7466-43A3-A9BE-3B2A329D765E}">
  <dimension ref="A1:T40"/>
  <sheetViews>
    <sheetView workbookViewId="0">
      <selection activeCell="S18" sqref="S18"/>
    </sheetView>
  </sheetViews>
  <sheetFormatPr defaultRowHeight="14.45"/>
  <cols>
    <col min="1" max="1" width="18.5703125" customWidth="1"/>
    <col min="2" max="8" width="10.7109375" customWidth="1"/>
    <col min="9" max="9" width="21.28515625" customWidth="1"/>
    <col min="10" max="10" width="9.5703125" customWidth="1"/>
    <col min="11" max="15" width="10.7109375" customWidth="1"/>
    <col min="16" max="16" width="2.42578125" customWidth="1"/>
    <col min="17" max="17" width="16.5703125" bestFit="1" customWidth="1"/>
    <col min="18" max="18" width="13" customWidth="1"/>
    <col min="19" max="19" width="11" customWidth="1"/>
    <col min="20" max="20" width="10.85546875" customWidth="1"/>
  </cols>
  <sheetData>
    <row r="1" spans="1:20" ht="45.95">
      <c r="A1" s="360" t="s">
        <v>0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</row>
    <row r="3" spans="1:20" ht="30.75" customHeight="1">
      <c r="A3" s="361">
        <v>2025</v>
      </c>
      <c r="B3" s="363" t="s">
        <v>1</v>
      </c>
      <c r="C3" s="364"/>
      <c r="D3" s="363" t="s">
        <v>2</v>
      </c>
      <c r="E3" s="364"/>
      <c r="F3" s="363" t="s">
        <v>3</v>
      </c>
      <c r="G3" s="364"/>
      <c r="H3" s="363" t="s">
        <v>4</v>
      </c>
      <c r="I3" s="364"/>
      <c r="J3" s="121"/>
      <c r="K3" s="385">
        <v>2025</v>
      </c>
      <c r="L3" s="386"/>
      <c r="M3" s="387"/>
      <c r="N3" s="363" t="s">
        <v>5</v>
      </c>
      <c r="O3" s="364"/>
      <c r="Q3" s="379" t="s">
        <v>6</v>
      </c>
      <c r="R3" s="381" t="s">
        <v>7</v>
      </c>
      <c r="S3" s="356" t="s">
        <v>8</v>
      </c>
      <c r="T3" s="358" t="s">
        <v>9</v>
      </c>
    </row>
    <row r="4" spans="1:20" ht="15" customHeight="1">
      <c r="A4" s="362"/>
      <c r="B4" s="110" t="s">
        <v>10</v>
      </c>
      <c r="C4" s="111" t="s">
        <v>11</v>
      </c>
      <c r="D4" s="110" t="s">
        <v>10</v>
      </c>
      <c r="E4" s="111" t="s">
        <v>11</v>
      </c>
      <c r="F4" s="110" t="s">
        <v>10</v>
      </c>
      <c r="G4" s="111" t="s">
        <v>11</v>
      </c>
      <c r="H4" s="110" t="s">
        <v>10</v>
      </c>
      <c r="I4" s="111" t="s">
        <v>11</v>
      </c>
      <c r="K4" s="385"/>
      <c r="L4" s="386"/>
      <c r="M4" s="387"/>
      <c r="N4" s="110" t="s">
        <v>10</v>
      </c>
      <c r="O4" s="111" t="s">
        <v>11</v>
      </c>
      <c r="Q4" s="380"/>
      <c r="R4" s="382"/>
      <c r="S4" s="357"/>
      <c r="T4" s="359"/>
    </row>
    <row r="5" spans="1:20" ht="20.25" customHeight="1">
      <c r="A5" s="112" t="s">
        <v>12</v>
      </c>
      <c r="B5" s="122">
        <f>SUM(B20+D20+F20)</f>
        <v>12</v>
      </c>
      <c r="C5" s="122">
        <f>SUM(C20+E20+G20)</f>
        <v>4</v>
      </c>
      <c r="D5" s="123"/>
      <c r="E5" s="132"/>
      <c r="F5" s="123"/>
      <c r="G5" s="123"/>
      <c r="H5" s="123"/>
      <c r="I5" s="133"/>
      <c r="K5" s="388" t="s">
        <v>12</v>
      </c>
      <c r="L5" s="388"/>
      <c r="M5" s="388"/>
      <c r="N5" s="144">
        <f t="shared" ref="N5:O11" si="0">SUM(B5+D5+F5+H5)</f>
        <v>12</v>
      </c>
      <c r="O5" s="144">
        <f t="shared" si="0"/>
        <v>4</v>
      </c>
      <c r="Q5" s="154">
        <v>183</v>
      </c>
      <c r="R5" s="171">
        <f>Q5+O5+N5</f>
        <v>199</v>
      </c>
      <c r="S5" s="170"/>
      <c r="T5" s="173"/>
    </row>
    <row r="6" spans="1:20" ht="20.25" customHeight="1">
      <c r="A6" s="115" t="s">
        <v>13</v>
      </c>
      <c r="B6" s="125">
        <f t="shared" ref="B6" si="1">SUM(B21+D21+F21)</f>
        <v>8</v>
      </c>
      <c r="C6" s="125">
        <f t="shared" ref="C6:C11" si="2">SUM(C21+E21+G21)</f>
        <v>8</v>
      </c>
      <c r="D6" s="126"/>
      <c r="E6" s="134"/>
      <c r="F6" s="126"/>
      <c r="G6" s="135"/>
      <c r="H6" s="126"/>
      <c r="I6" s="135"/>
      <c r="K6" s="389" t="s">
        <v>13</v>
      </c>
      <c r="L6" s="389"/>
      <c r="M6" s="389"/>
      <c r="N6" s="145">
        <f t="shared" si="0"/>
        <v>8</v>
      </c>
      <c r="O6" s="146">
        <f t="shared" si="0"/>
        <v>8</v>
      </c>
      <c r="Q6" s="155">
        <v>128</v>
      </c>
      <c r="R6" s="172">
        <f t="shared" ref="R6:R12" si="3">Q6+O6+N6</f>
        <v>144</v>
      </c>
      <c r="S6" s="44"/>
      <c r="T6" s="174"/>
    </row>
    <row r="7" spans="1:20" ht="20.25" customHeight="1">
      <c r="A7" s="112" t="s">
        <v>14</v>
      </c>
      <c r="B7" s="122">
        <f t="shared" ref="B7" si="4">SUM(B22+D22+F22)</f>
        <v>4</v>
      </c>
      <c r="C7" s="122">
        <f t="shared" si="2"/>
        <v>10</v>
      </c>
      <c r="D7" s="123"/>
      <c r="E7" s="132"/>
      <c r="F7" s="123"/>
      <c r="G7" s="133"/>
      <c r="H7" s="123"/>
      <c r="I7" s="133"/>
      <c r="K7" s="388" t="s">
        <v>14</v>
      </c>
      <c r="L7" s="388"/>
      <c r="M7" s="388"/>
      <c r="N7" s="147">
        <f t="shared" si="0"/>
        <v>4</v>
      </c>
      <c r="O7" s="148">
        <f t="shared" si="0"/>
        <v>10</v>
      </c>
      <c r="Q7" s="154">
        <v>56</v>
      </c>
      <c r="R7" s="171">
        <f t="shared" si="3"/>
        <v>70</v>
      </c>
      <c r="S7" s="170"/>
      <c r="T7" s="173"/>
    </row>
    <row r="8" spans="1:20" ht="20.25" customHeight="1">
      <c r="A8" s="115" t="s">
        <v>15</v>
      </c>
      <c r="B8" s="125">
        <f t="shared" ref="B8" si="5">SUM(B23+D23+F23)</f>
        <v>15</v>
      </c>
      <c r="C8" s="125">
        <f t="shared" si="2"/>
        <v>3</v>
      </c>
      <c r="D8" s="126"/>
      <c r="E8" s="134"/>
      <c r="F8" s="126"/>
      <c r="G8" s="135"/>
      <c r="H8" s="126"/>
      <c r="I8" s="135"/>
      <c r="K8" s="389" t="s">
        <v>15</v>
      </c>
      <c r="L8" s="389"/>
      <c r="M8" s="389"/>
      <c r="N8" s="145">
        <f t="shared" si="0"/>
        <v>15</v>
      </c>
      <c r="O8" s="146">
        <f t="shared" si="0"/>
        <v>3</v>
      </c>
      <c r="Q8" s="155">
        <v>31</v>
      </c>
      <c r="R8" s="172">
        <f t="shared" si="3"/>
        <v>49</v>
      </c>
      <c r="S8" s="44"/>
      <c r="T8" s="174"/>
    </row>
    <row r="9" spans="1:20" ht="20.25" customHeight="1">
      <c r="A9" s="118" t="s">
        <v>16</v>
      </c>
      <c r="B9" s="122">
        <f t="shared" ref="B9" si="6">SUM(B24+D24+F24)</f>
        <v>7</v>
      </c>
      <c r="C9" s="122">
        <f t="shared" si="2"/>
        <v>6</v>
      </c>
      <c r="D9" s="123"/>
      <c r="E9" s="132"/>
      <c r="F9" s="123"/>
      <c r="G9" s="133"/>
      <c r="H9" s="123"/>
      <c r="I9" s="133"/>
      <c r="K9" s="366" t="s">
        <v>16</v>
      </c>
      <c r="L9" s="366"/>
      <c r="M9" s="366"/>
      <c r="N9" s="147">
        <f t="shared" si="0"/>
        <v>7</v>
      </c>
      <c r="O9" s="148">
        <f t="shared" si="0"/>
        <v>6</v>
      </c>
      <c r="Q9" s="154">
        <v>35</v>
      </c>
      <c r="R9" s="171">
        <f t="shared" si="3"/>
        <v>48</v>
      </c>
      <c r="S9" s="170"/>
      <c r="T9" s="173"/>
    </row>
    <row r="10" spans="1:20" ht="20.25" customHeight="1">
      <c r="A10" s="119" t="s">
        <v>17</v>
      </c>
      <c r="B10" s="125">
        <f t="shared" ref="B10" si="7">SUM(B25+D25+F25)</f>
        <v>5</v>
      </c>
      <c r="C10" s="125">
        <f t="shared" si="2"/>
        <v>8</v>
      </c>
      <c r="D10" s="126"/>
      <c r="E10" s="134"/>
      <c r="F10" s="126"/>
      <c r="G10" s="135"/>
      <c r="H10" s="126"/>
      <c r="I10" s="135"/>
      <c r="K10" s="365" t="s">
        <v>17</v>
      </c>
      <c r="L10" s="365"/>
      <c r="M10" s="365"/>
      <c r="N10" s="145">
        <f t="shared" si="0"/>
        <v>5</v>
      </c>
      <c r="O10" s="146">
        <f t="shared" si="0"/>
        <v>8</v>
      </c>
      <c r="Q10" s="155">
        <v>74</v>
      </c>
      <c r="R10" s="172">
        <f t="shared" si="3"/>
        <v>87</v>
      </c>
      <c r="S10" s="44"/>
      <c r="T10" s="174"/>
    </row>
    <row r="11" spans="1:20" ht="20.25" customHeight="1">
      <c r="A11" s="120" t="s">
        <v>18</v>
      </c>
      <c r="B11" s="122">
        <f t="shared" ref="B11" si="8">SUM(B26+D26+F26)</f>
        <v>17</v>
      </c>
      <c r="C11" s="122">
        <f t="shared" si="2"/>
        <v>4</v>
      </c>
      <c r="D11" s="123"/>
      <c r="E11" s="132"/>
      <c r="F11" s="123"/>
      <c r="G11" s="133"/>
      <c r="H11" s="123"/>
      <c r="I11" s="133"/>
      <c r="K11" s="366" t="s">
        <v>18</v>
      </c>
      <c r="L11" s="366"/>
      <c r="M11" s="366"/>
      <c r="N11" s="147">
        <f t="shared" si="0"/>
        <v>17</v>
      </c>
      <c r="O11" s="148">
        <f t="shared" si="0"/>
        <v>4</v>
      </c>
      <c r="Q11" s="154">
        <v>145</v>
      </c>
      <c r="R11" s="171">
        <f t="shared" si="3"/>
        <v>166</v>
      </c>
      <c r="S11" s="170"/>
      <c r="T11" s="173"/>
    </row>
    <row r="12" spans="1:20" ht="26.1">
      <c r="A12" s="136" t="s">
        <v>19</v>
      </c>
      <c r="B12" s="167">
        <f t="shared" ref="B12:E12" si="9">SUM(B5:B11)</f>
        <v>68</v>
      </c>
      <c r="C12" s="167">
        <f t="shared" si="9"/>
        <v>43</v>
      </c>
      <c r="D12" s="167">
        <f t="shared" si="9"/>
        <v>0</v>
      </c>
      <c r="E12" s="167">
        <f t="shared" si="9"/>
        <v>0</v>
      </c>
      <c r="F12" s="167">
        <f>SUM(F5:F11)</f>
        <v>0</v>
      </c>
      <c r="G12" s="167">
        <f>SUM(G5:G11)</f>
        <v>0</v>
      </c>
      <c r="H12" s="167">
        <f>SUM(H5:H11)</f>
        <v>0</v>
      </c>
      <c r="I12" s="167">
        <f>SUM(I5:I11)</f>
        <v>0</v>
      </c>
      <c r="K12" s="367" t="s">
        <v>19</v>
      </c>
      <c r="L12" s="368"/>
      <c r="M12" s="368"/>
      <c r="N12" s="157">
        <f>SUM(N5:N11)</f>
        <v>68</v>
      </c>
      <c r="O12" s="157">
        <f>SUM(O5:O11)</f>
        <v>43</v>
      </c>
      <c r="Q12" s="155">
        <f>SUM(Q5:Q11)</f>
        <v>652</v>
      </c>
      <c r="R12" s="172">
        <f t="shared" si="3"/>
        <v>763</v>
      </c>
      <c r="S12" s="44"/>
      <c r="T12" s="174"/>
    </row>
    <row r="13" spans="1:20" ht="47.1">
      <c r="A13" s="169" t="s">
        <v>20</v>
      </c>
      <c r="B13" s="369">
        <f t="shared" ref="B13" si="10">SUM(B12:C12)</f>
        <v>111</v>
      </c>
      <c r="C13" s="370"/>
      <c r="D13" s="369">
        <f t="shared" ref="D13" si="11">SUM(D12:E12)</f>
        <v>0</v>
      </c>
      <c r="E13" s="370"/>
      <c r="F13" s="369">
        <f>SUM(F12:G12)</f>
        <v>0</v>
      </c>
      <c r="G13" s="370"/>
      <c r="H13" s="369">
        <f>SUM(H12:I12)</f>
        <v>0</v>
      </c>
      <c r="I13" s="370"/>
      <c r="K13" s="354" t="s">
        <v>21</v>
      </c>
      <c r="L13" s="354"/>
      <c r="M13" s="354"/>
      <c r="N13" s="383">
        <f>SUM(N12:O12)</f>
        <v>111</v>
      </c>
      <c r="O13" s="384"/>
      <c r="Q13" s="343">
        <f>N13+Q12</f>
        <v>763</v>
      </c>
      <c r="R13" s="344"/>
      <c r="S13" s="344"/>
      <c r="T13" s="345"/>
    </row>
    <row r="14" spans="1:20" ht="25.5" customHeight="1">
      <c r="A14" s="371" t="s">
        <v>22</v>
      </c>
      <c r="B14" s="156"/>
      <c r="C14" s="156">
        <f>B13/C16</f>
        <v>2.1764705882352939</v>
      </c>
      <c r="D14" s="156"/>
      <c r="E14" s="156">
        <v>0</v>
      </c>
      <c r="F14" s="156"/>
      <c r="G14" s="156">
        <v>0</v>
      </c>
      <c r="H14" s="156"/>
      <c r="I14" s="163">
        <v>0</v>
      </c>
      <c r="K14" s="355"/>
      <c r="L14" s="355"/>
      <c r="M14" s="355"/>
      <c r="N14" s="159">
        <f>N13/350</f>
        <v>0.31714285714285712</v>
      </c>
      <c r="O14" s="160">
        <f>N13/51</f>
        <v>2.1764705882352939</v>
      </c>
      <c r="Q14" s="350">
        <f>Q13/346</f>
        <v>2.2052023121387285</v>
      </c>
      <c r="R14" s="351"/>
      <c r="S14" s="346">
        <f>Q13/51</f>
        <v>14.96078431372549</v>
      </c>
      <c r="T14" s="347"/>
    </row>
    <row r="15" spans="1:20" ht="20.25" customHeight="1">
      <c r="A15" s="372"/>
      <c r="B15" s="164" t="s">
        <v>23</v>
      </c>
      <c r="C15" s="165" t="s">
        <v>9</v>
      </c>
      <c r="D15" s="164" t="s">
        <v>23</v>
      </c>
      <c r="E15" s="165" t="s">
        <v>9</v>
      </c>
      <c r="F15" s="164" t="s">
        <v>23</v>
      </c>
      <c r="G15" s="165" t="s">
        <v>9</v>
      </c>
      <c r="H15" s="164" t="s">
        <v>23</v>
      </c>
      <c r="I15" s="166" t="s">
        <v>9</v>
      </c>
      <c r="K15" s="355"/>
      <c r="L15" s="355"/>
      <c r="M15" s="355"/>
      <c r="N15" s="161" t="s">
        <v>23</v>
      </c>
      <c r="O15" s="162" t="s">
        <v>9</v>
      </c>
      <c r="P15" s="158"/>
      <c r="Q15" s="352" t="s">
        <v>23</v>
      </c>
      <c r="R15" s="353"/>
      <c r="S15" s="348" t="s">
        <v>9</v>
      </c>
      <c r="T15" s="349"/>
    </row>
    <row r="16" spans="1:20" ht="15" customHeight="1">
      <c r="A16" s="168"/>
      <c r="B16" s="168">
        <f>C16*6.8</f>
        <v>346.8</v>
      </c>
      <c r="C16" s="168">
        <v>51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</row>
    <row r="17" spans="1:15" ht="18.75" customHeight="1"/>
    <row r="18" spans="1:15" ht="15" customHeight="1">
      <c r="A18" s="361" t="s">
        <v>24</v>
      </c>
      <c r="B18" s="341" t="s">
        <v>25</v>
      </c>
      <c r="C18" s="342"/>
      <c r="D18" s="341" t="s">
        <v>26</v>
      </c>
      <c r="E18" s="342"/>
      <c r="F18" s="341" t="s">
        <v>27</v>
      </c>
      <c r="G18" s="342"/>
      <c r="I18" s="375" t="s">
        <v>28</v>
      </c>
      <c r="J18" s="341" t="s">
        <v>29</v>
      </c>
      <c r="K18" s="342"/>
      <c r="L18" s="341" t="s">
        <v>30</v>
      </c>
      <c r="M18" s="342"/>
      <c r="N18" s="341" t="s">
        <v>31</v>
      </c>
      <c r="O18" s="342"/>
    </row>
    <row r="19" spans="1:15" ht="15" customHeight="1">
      <c r="A19" s="362"/>
      <c r="B19" s="110" t="s">
        <v>10</v>
      </c>
      <c r="C19" s="111" t="s">
        <v>11</v>
      </c>
      <c r="D19" s="110" t="s">
        <v>10</v>
      </c>
      <c r="E19" s="111" t="s">
        <v>11</v>
      </c>
      <c r="F19" s="110" t="s">
        <v>10</v>
      </c>
      <c r="G19" s="111" t="s">
        <v>11</v>
      </c>
      <c r="I19" s="376"/>
      <c r="J19" s="110" t="s">
        <v>10</v>
      </c>
      <c r="K19" s="111" t="s">
        <v>11</v>
      </c>
      <c r="L19" s="110" t="s">
        <v>10</v>
      </c>
      <c r="M19" s="111" t="s">
        <v>11</v>
      </c>
      <c r="N19" s="110" t="s">
        <v>10</v>
      </c>
      <c r="O19" s="111" t="s">
        <v>11</v>
      </c>
    </row>
    <row r="20" spans="1:15" ht="20.25" customHeight="1">
      <c r="A20" s="112" t="s">
        <v>12</v>
      </c>
      <c r="B20" s="128">
        <v>1</v>
      </c>
      <c r="C20" s="128">
        <v>0</v>
      </c>
      <c r="D20" s="129">
        <v>5</v>
      </c>
      <c r="E20" s="149">
        <v>3</v>
      </c>
      <c r="F20" s="129">
        <v>6</v>
      </c>
      <c r="G20" s="124">
        <v>1</v>
      </c>
      <c r="I20" s="112" t="s">
        <v>12</v>
      </c>
      <c r="J20" s="113"/>
      <c r="K20" s="114"/>
      <c r="L20" s="113"/>
      <c r="M20" s="114"/>
      <c r="N20" s="113"/>
      <c r="O20" s="114"/>
    </row>
    <row r="21" spans="1:15" ht="20.25" customHeight="1">
      <c r="A21" s="115" t="s">
        <v>13</v>
      </c>
      <c r="B21" s="130">
        <v>3</v>
      </c>
      <c r="C21" s="130">
        <v>0</v>
      </c>
      <c r="D21" s="131">
        <v>1</v>
      </c>
      <c r="E21" s="150">
        <v>5</v>
      </c>
      <c r="F21" s="131">
        <v>4</v>
      </c>
      <c r="G21" s="127">
        <v>3</v>
      </c>
      <c r="I21" s="115" t="s">
        <v>13</v>
      </c>
      <c r="J21" s="116"/>
      <c r="K21" s="117"/>
      <c r="L21" s="116"/>
      <c r="M21" s="117"/>
      <c r="N21" s="116"/>
      <c r="O21" s="117"/>
    </row>
    <row r="22" spans="1:15" ht="20.25" customHeight="1">
      <c r="A22" s="112" t="s">
        <v>14</v>
      </c>
      <c r="B22" s="128">
        <v>1</v>
      </c>
      <c r="C22" s="128">
        <v>0</v>
      </c>
      <c r="D22" s="129">
        <v>1</v>
      </c>
      <c r="E22" s="149">
        <v>5</v>
      </c>
      <c r="F22" s="129">
        <v>2</v>
      </c>
      <c r="G22" s="124">
        <v>5</v>
      </c>
      <c r="I22" s="112" t="s">
        <v>14</v>
      </c>
      <c r="J22" s="113"/>
      <c r="K22" s="114"/>
      <c r="L22" s="113"/>
      <c r="M22" s="114"/>
      <c r="N22" s="113"/>
      <c r="O22" s="114"/>
    </row>
    <row r="23" spans="1:15" ht="20.25" customHeight="1">
      <c r="A23" s="115" t="s">
        <v>15</v>
      </c>
      <c r="B23" s="130">
        <v>7</v>
      </c>
      <c r="C23" s="130">
        <v>0</v>
      </c>
      <c r="D23" s="131">
        <v>4</v>
      </c>
      <c r="E23" s="150">
        <v>0</v>
      </c>
      <c r="F23" s="131">
        <v>4</v>
      </c>
      <c r="G23" s="127">
        <v>3</v>
      </c>
      <c r="I23" s="115" t="s">
        <v>15</v>
      </c>
      <c r="J23" s="116"/>
      <c r="K23" s="117"/>
      <c r="L23" s="116"/>
      <c r="M23" s="117"/>
      <c r="N23" s="116"/>
      <c r="O23" s="117"/>
    </row>
    <row r="24" spans="1:15" ht="20.25" customHeight="1">
      <c r="A24" s="118" t="s">
        <v>16</v>
      </c>
      <c r="B24" s="128">
        <v>1</v>
      </c>
      <c r="C24" s="128">
        <v>0</v>
      </c>
      <c r="D24" s="129">
        <v>5</v>
      </c>
      <c r="E24" s="149">
        <v>0</v>
      </c>
      <c r="F24" s="129">
        <v>1</v>
      </c>
      <c r="G24" s="124">
        <v>6</v>
      </c>
      <c r="I24" s="118" t="s">
        <v>16</v>
      </c>
      <c r="J24" s="113"/>
      <c r="K24" s="114"/>
      <c r="L24" s="113"/>
      <c r="M24" s="114"/>
      <c r="N24" s="113"/>
      <c r="O24" s="114"/>
    </row>
    <row r="25" spans="1:15" ht="20.25" customHeight="1">
      <c r="A25" s="119" t="s">
        <v>17</v>
      </c>
      <c r="B25" s="130">
        <v>1</v>
      </c>
      <c r="C25" s="130">
        <v>0</v>
      </c>
      <c r="D25" s="131">
        <v>3</v>
      </c>
      <c r="E25" s="150">
        <v>2</v>
      </c>
      <c r="F25" s="131">
        <v>1</v>
      </c>
      <c r="G25" s="127">
        <v>6</v>
      </c>
      <c r="I25" s="119" t="s">
        <v>17</v>
      </c>
      <c r="J25" s="116"/>
      <c r="K25" s="117"/>
      <c r="L25" s="116"/>
      <c r="M25" s="117"/>
      <c r="N25" s="116"/>
      <c r="O25" s="117"/>
    </row>
    <row r="26" spans="1:15" ht="20.25" customHeight="1">
      <c r="A26" s="120" t="s">
        <v>18</v>
      </c>
      <c r="B26" s="128">
        <v>6</v>
      </c>
      <c r="C26" s="128">
        <v>0</v>
      </c>
      <c r="D26" s="129">
        <v>5</v>
      </c>
      <c r="E26" s="149">
        <v>3</v>
      </c>
      <c r="F26" s="129">
        <v>6</v>
      </c>
      <c r="G26" s="124">
        <v>1</v>
      </c>
      <c r="I26" s="120" t="s">
        <v>18</v>
      </c>
      <c r="J26" s="113"/>
      <c r="K26" s="114"/>
      <c r="L26" s="113"/>
      <c r="M26" s="114"/>
      <c r="N26" s="113"/>
      <c r="O26" s="114"/>
    </row>
    <row r="27" spans="1:15" ht="20.25" customHeight="1">
      <c r="A27" s="139" t="s">
        <v>19</v>
      </c>
      <c r="B27" s="151">
        <f t="shared" ref="B27:G27" si="12">SUM(B20:B26)</f>
        <v>20</v>
      </c>
      <c r="C27" s="152">
        <f t="shared" si="12"/>
        <v>0</v>
      </c>
      <c r="D27" s="153">
        <f t="shared" si="12"/>
        <v>24</v>
      </c>
      <c r="E27" s="153">
        <f t="shared" si="12"/>
        <v>18</v>
      </c>
      <c r="F27" s="153">
        <f t="shared" si="12"/>
        <v>24</v>
      </c>
      <c r="G27" s="140">
        <f t="shared" si="12"/>
        <v>25</v>
      </c>
      <c r="I27" s="136"/>
      <c r="J27" s="137"/>
      <c r="K27" s="138"/>
      <c r="L27" s="137"/>
      <c r="M27" s="138"/>
      <c r="N27" s="137"/>
      <c r="O27" s="138"/>
    </row>
    <row r="28" spans="1:15" ht="20.25" customHeight="1">
      <c r="A28" s="141" t="s">
        <v>32</v>
      </c>
      <c r="B28" s="377">
        <f>SUM(B27:C27)</f>
        <v>20</v>
      </c>
      <c r="C28" s="378"/>
      <c r="D28" s="377">
        <f>SUM(D27:E27)</f>
        <v>42</v>
      </c>
      <c r="E28" s="378"/>
      <c r="F28" s="377">
        <f>SUM(F27:G27)</f>
        <v>49</v>
      </c>
      <c r="G28" s="378"/>
      <c r="I28" s="141" t="s">
        <v>32</v>
      </c>
      <c r="J28" s="142"/>
      <c r="K28" s="143"/>
      <c r="L28" s="142"/>
      <c r="M28" s="143"/>
      <c r="N28" s="142"/>
      <c r="O28" s="143"/>
    </row>
    <row r="31" spans="1:15">
      <c r="A31" s="375" t="s">
        <v>33</v>
      </c>
      <c r="B31" s="341" t="s">
        <v>34</v>
      </c>
      <c r="C31" s="342"/>
      <c r="D31" s="341" t="s">
        <v>35</v>
      </c>
      <c r="E31" s="342"/>
      <c r="F31" s="341" t="s">
        <v>36</v>
      </c>
      <c r="G31" s="342"/>
      <c r="I31" s="373" t="s">
        <v>37</v>
      </c>
      <c r="J31" s="341" t="s">
        <v>38</v>
      </c>
      <c r="K31" s="342"/>
      <c r="L31" s="341" t="s">
        <v>39</v>
      </c>
      <c r="M31" s="342"/>
      <c r="N31" s="341" t="s">
        <v>40</v>
      </c>
      <c r="O31" s="342"/>
    </row>
    <row r="32" spans="1:15">
      <c r="A32" s="376"/>
      <c r="B32" s="110" t="s">
        <v>10</v>
      </c>
      <c r="C32" s="111" t="s">
        <v>11</v>
      </c>
      <c r="D32" s="110" t="s">
        <v>10</v>
      </c>
      <c r="E32" s="111" t="s">
        <v>11</v>
      </c>
      <c r="F32" s="110" t="s">
        <v>10</v>
      </c>
      <c r="G32" s="111" t="s">
        <v>11</v>
      </c>
      <c r="I32" s="374"/>
      <c r="J32" s="110" t="s">
        <v>10</v>
      </c>
      <c r="K32" s="111" t="s">
        <v>11</v>
      </c>
      <c r="L32" s="110" t="s">
        <v>10</v>
      </c>
      <c r="M32" s="111" t="s">
        <v>11</v>
      </c>
      <c r="N32" s="110" t="s">
        <v>10</v>
      </c>
      <c r="O32" s="111" t="s">
        <v>11</v>
      </c>
    </row>
    <row r="33" spans="1:15" ht="35.25" customHeight="1">
      <c r="A33" s="112" t="s">
        <v>12</v>
      </c>
      <c r="B33" s="113"/>
      <c r="C33" s="114"/>
      <c r="D33" s="113"/>
      <c r="E33" s="114"/>
      <c r="F33" s="113"/>
      <c r="G33" s="114"/>
      <c r="I33" s="112" t="s">
        <v>12</v>
      </c>
      <c r="J33" s="113"/>
      <c r="K33" s="114"/>
      <c r="L33" s="113"/>
      <c r="M33" s="114"/>
      <c r="N33" s="113"/>
      <c r="O33" s="114"/>
    </row>
    <row r="34" spans="1:15" ht="35.25" customHeight="1">
      <c r="A34" s="115" t="s">
        <v>13</v>
      </c>
      <c r="B34" s="116"/>
      <c r="C34" s="117"/>
      <c r="D34" s="116"/>
      <c r="E34" s="117"/>
      <c r="F34" s="116"/>
      <c r="G34" s="117"/>
      <c r="I34" s="115" t="s">
        <v>13</v>
      </c>
      <c r="J34" s="116"/>
      <c r="K34" s="117"/>
      <c r="L34" s="116"/>
      <c r="M34" s="117"/>
      <c r="N34" s="116"/>
      <c r="O34" s="117"/>
    </row>
    <row r="35" spans="1:15" ht="23.25" customHeight="1">
      <c r="A35" s="112" t="s">
        <v>14</v>
      </c>
      <c r="B35" s="113"/>
      <c r="C35" s="114"/>
      <c r="D35" s="113"/>
      <c r="E35" s="114"/>
      <c r="F35" s="113"/>
      <c r="G35" s="114"/>
      <c r="I35" s="112" t="s">
        <v>14</v>
      </c>
      <c r="J35" s="113"/>
      <c r="K35" s="114"/>
      <c r="L35" s="113"/>
      <c r="M35" s="114"/>
      <c r="N35" s="113"/>
      <c r="O35" s="114"/>
    </row>
    <row r="36" spans="1:15" ht="23.25" customHeight="1">
      <c r="A36" s="115" t="s">
        <v>15</v>
      </c>
      <c r="B36" s="116"/>
      <c r="C36" s="117"/>
      <c r="D36" s="116"/>
      <c r="E36" s="117"/>
      <c r="F36" s="116"/>
      <c r="G36" s="117"/>
      <c r="I36" s="115" t="s">
        <v>15</v>
      </c>
      <c r="J36" s="116"/>
      <c r="K36" s="117"/>
      <c r="L36" s="116"/>
      <c r="M36" s="117"/>
      <c r="N36" s="116"/>
      <c r="O36" s="117"/>
    </row>
    <row r="37" spans="1:15">
      <c r="A37" s="118" t="s">
        <v>16</v>
      </c>
      <c r="B37" s="113"/>
      <c r="C37" s="114"/>
      <c r="D37" s="113"/>
      <c r="E37" s="114"/>
      <c r="F37" s="113"/>
      <c r="G37" s="114"/>
      <c r="I37" s="118" t="s">
        <v>16</v>
      </c>
      <c r="J37" s="113"/>
      <c r="K37" s="114"/>
      <c r="L37" s="113"/>
      <c r="M37" s="114"/>
      <c r="N37" s="113"/>
      <c r="O37" s="114"/>
    </row>
    <row r="38" spans="1:15" ht="23.25" customHeight="1">
      <c r="A38" s="119" t="s">
        <v>17</v>
      </c>
      <c r="B38" s="116"/>
      <c r="C38" s="117"/>
      <c r="D38" s="116"/>
      <c r="E38" s="117"/>
      <c r="F38" s="116"/>
      <c r="G38" s="117"/>
      <c r="I38" s="119" t="s">
        <v>17</v>
      </c>
      <c r="J38" s="116"/>
      <c r="K38" s="117"/>
      <c r="L38" s="116"/>
      <c r="M38" s="117"/>
      <c r="N38" s="116"/>
      <c r="O38" s="117"/>
    </row>
    <row r="39" spans="1:15" ht="23.25" customHeight="1">
      <c r="A39" s="120" t="s">
        <v>18</v>
      </c>
      <c r="B39" s="113"/>
      <c r="C39" s="114"/>
      <c r="D39" s="113"/>
      <c r="E39" s="114"/>
      <c r="F39" s="113"/>
      <c r="G39" s="114"/>
      <c r="I39" s="120" t="s">
        <v>18</v>
      </c>
      <c r="J39" s="113"/>
      <c r="K39" s="114"/>
      <c r="L39" s="113"/>
      <c r="M39" s="114"/>
      <c r="N39" s="113"/>
      <c r="O39" s="114"/>
    </row>
    <row r="40" spans="1:15" ht="21">
      <c r="A40" s="141" t="s">
        <v>32</v>
      </c>
      <c r="B40" s="142"/>
      <c r="C40" s="143"/>
      <c r="D40" s="142"/>
      <c r="E40" s="143"/>
      <c r="F40" s="142"/>
      <c r="G40" s="143"/>
      <c r="I40" s="141" t="s">
        <v>32</v>
      </c>
      <c r="J40" s="142"/>
      <c r="K40" s="143"/>
      <c r="L40" s="142"/>
      <c r="M40" s="143"/>
      <c r="N40" s="142"/>
      <c r="O40" s="143"/>
    </row>
  </sheetData>
  <mergeCells count="51">
    <mergeCell ref="Q3:Q4"/>
    <mergeCell ref="R3:R4"/>
    <mergeCell ref="D13:E13"/>
    <mergeCell ref="H13:I13"/>
    <mergeCell ref="N13:O13"/>
    <mergeCell ref="K3:M4"/>
    <mergeCell ref="K5:M5"/>
    <mergeCell ref="K6:M6"/>
    <mergeCell ref="K7:M7"/>
    <mergeCell ref="K8:M8"/>
    <mergeCell ref="K9:M9"/>
    <mergeCell ref="H3:I3"/>
    <mergeCell ref="N3:O3"/>
    <mergeCell ref="I31:I32"/>
    <mergeCell ref="A18:A19"/>
    <mergeCell ref="B18:C18"/>
    <mergeCell ref="D18:E18"/>
    <mergeCell ref="F18:G18"/>
    <mergeCell ref="B31:C31"/>
    <mergeCell ref="A31:A32"/>
    <mergeCell ref="D31:E31"/>
    <mergeCell ref="F31:G31"/>
    <mergeCell ref="B28:C28"/>
    <mergeCell ref="D28:E28"/>
    <mergeCell ref="F28:G28"/>
    <mergeCell ref="I18:I19"/>
    <mergeCell ref="S3:S4"/>
    <mergeCell ref="T3:T4"/>
    <mergeCell ref="A1:T1"/>
    <mergeCell ref="J18:K18"/>
    <mergeCell ref="L18:M18"/>
    <mergeCell ref="N18:O18"/>
    <mergeCell ref="A3:A4"/>
    <mergeCell ref="B3:C3"/>
    <mergeCell ref="D3:E3"/>
    <mergeCell ref="F3:G3"/>
    <mergeCell ref="K10:M10"/>
    <mergeCell ref="K11:M11"/>
    <mergeCell ref="K12:M12"/>
    <mergeCell ref="F13:G13"/>
    <mergeCell ref="A14:A15"/>
    <mergeCell ref="B13:C13"/>
    <mergeCell ref="J31:K31"/>
    <mergeCell ref="L31:M31"/>
    <mergeCell ref="N31:O31"/>
    <mergeCell ref="Q13:T13"/>
    <mergeCell ref="S14:T14"/>
    <mergeCell ref="S15:T15"/>
    <mergeCell ref="Q14:R14"/>
    <mergeCell ref="Q15:R15"/>
    <mergeCell ref="K13:M15"/>
  </mergeCells>
  <conditionalFormatting sqref="K33:K39">
    <cfRule type="iconSet" priority="6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BC3E2EB-2C23-439E-84CE-D9BEE41676D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C33:C39</xm:sqref>
        </x14:conditionalFormatting>
        <x14:conditionalFormatting xmlns:xm="http://schemas.microsoft.com/office/excel/2006/main">
          <x14:cfRule type="iconSet" priority="9" id="{371A0C7F-CD5E-41B3-B83A-999BDF5CC66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E33:E39</xm:sqref>
        </x14:conditionalFormatting>
        <x14:conditionalFormatting xmlns:xm="http://schemas.microsoft.com/office/excel/2006/main">
          <x14:cfRule type="iconSet" priority="10" id="{72C35219-22AB-474E-BA11-B276C9A5E98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G33:G39</xm:sqref>
        </x14:conditionalFormatting>
        <x14:conditionalFormatting xmlns:xm="http://schemas.microsoft.com/office/excel/2006/main">
          <x14:cfRule type="iconSet" priority="16" id="{A10409CC-A4F4-443E-A10D-19C2BA350B4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K20:K27</xm:sqref>
        </x14:conditionalFormatting>
        <x14:conditionalFormatting xmlns:xm="http://schemas.microsoft.com/office/excel/2006/main">
          <x14:cfRule type="iconSet" priority="5" id="{C878A11E-532E-4615-B1BA-938631270F4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7" id="{AC7C966E-9147-4683-B3AD-8833BA39DC6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K33:K39</xm:sqref>
        </x14:conditionalFormatting>
        <x14:conditionalFormatting xmlns:xm="http://schemas.microsoft.com/office/excel/2006/main">
          <x14:cfRule type="iconSet" priority="15" id="{C37CDC58-B50B-4654-91F0-5193049AAB0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M20:M27</xm:sqref>
        </x14:conditionalFormatting>
        <x14:conditionalFormatting xmlns:xm="http://schemas.microsoft.com/office/excel/2006/main">
          <x14:cfRule type="iconSet" priority="12" id="{25C3EFF6-278F-4D61-895A-CE030174773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M33:M39</xm:sqref>
        </x14:conditionalFormatting>
        <x14:conditionalFormatting xmlns:xm="http://schemas.microsoft.com/office/excel/2006/main">
          <x14:cfRule type="iconSet" priority="14" id="{C136B38E-42A1-4045-BF36-F60766B855D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O20:O27</xm:sqref>
        </x14:conditionalFormatting>
        <x14:conditionalFormatting xmlns:xm="http://schemas.microsoft.com/office/excel/2006/main">
          <x14:cfRule type="iconSet" priority="13" id="{7E865C09-AEAE-4C88-8682-349B0480978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O33:O39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9728-718C-4874-9505-B3E59D234164}">
  <sheetPr>
    <pageSetUpPr fitToPage="1"/>
  </sheetPr>
  <dimension ref="A1:N39"/>
  <sheetViews>
    <sheetView topLeftCell="A7" zoomScale="75" zoomScaleNormal="75" workbookViewId="0">
      <selection activeCell="E11" sqref="E11"/>
    </sheetView>
  </sheetViews>
  <sheetFormatPr defaultRowHeight="14.45"/>
  <cols>
    <col min="1" max="1" width="3.5703125" customWidth="1"/>
    <col min="2" max="2" width="22" customWidth="1"/>
    <col min="3" max="3" width="14.5703125" customWidth="1"/>
    <col min="4" max="14" width="7.28515625" customWidth="1"/>
  </cols>
  <sheetData>
    <row r="1" spans="1:14" ht="45.95">
      <c r="A1" s="390" t="s">
        <v>41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14" ht="50.25" customHeight="1">
      <c r="A2" s="43" t="s">
        <v>42</v>
      </c>
      <c r="B2" s="51" t="s">
        <v>43</v>
      </c>
      <c r="C2" s="176" t="s">
        <v>25</v>
      </c>
      <c r="D2" s="177" t="s">
        <v>26</v>
      </c>
      <c r="E2" s="177" t="s">
        <v>27</v>
      </c>
      <c r="F2" s="177" t="s">
        <v>29</v>
      </c>
      <c r="G2" s="177" t="s">
        <v>30</v>
      </c>
      <c r="H2" s="177" t="s">
        <v>31</v>
      </c>
      <c r="I2" s="177" t="s">
        <v>34</v>
      </c>
      <c r="J2" s="177" t="s">
        <v>35</v>
      </c>
      <c r="K2" s="177" t="s">
        <v>36</v>
      </c>
      <c r="L2" s="177" t="s">
        <v>38</v>
      </c>
      <c r="M2" s="177" t="s">
        <v>39</v>
      </c>
      <c r="N2" s="177" t="s">
        <v>40</v>
      </c>
    </row>
    <row r="3" spans="1:14" ht="20.25" customHeight="1">
      <c r="A3" s="44">
        <v>1</v>
      </c>
      <c r="B3" s="178"/>
      <c r="C3" s="46">
        <f>COUNTIF('p3 DM'!B4:F36, B3) + COUNTIF('P3'!C6:D24, B3)</f>
        <v>0</v>
      </c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</row>
    <row r="4" spans="1:14" ht="20.25" customHeight="1">
      <c r="A4" s="44">
        <f>A3+1</f>
        <v>2</v>
      </c>
      <c r="B4" s="47" t="e" cm="1">
        <f t="array" ref="B4">_xlfn.LET(
  _xlpm.dmData, _xlfn._xlws.FILTER('p3 DM'!B5:F37, 'p3 DM'!B5:F37&lt;&gt;""),
  _xlpm.p3Data, _xlfn._xlws.FILTER('P3'!C7:D25, 'P3'!C7:D25&lt;&gt;""),
  _xlpm.allNames, _xlfn.VSTACK(_xlpm.dmData, _xlpm.p3Data),
  _xlfn.UNIQUE(_xlpm.allNames)
)</f>
        <v>#VALUE!</v>
      </c>
      <c r="C4" s="48" cm="1">
        <f t="array" ref="C4">_xlfn.LET(
  _xlpm.name, B4,
  COUNTIF('p3 DM'!B5:F37, _xlpm.name) + COUNTIF('P3'!C7:D25, _xlpm.name)
)</f>
        <v>0</v>
      </c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</row>
    <row r="5" spans="1:14" ht="20.25" customHeight="1">
      <c r="A5" s="44">
        <f t="shared" ref="A5:A34" si="0">A4+1</f>
        <v>3</v>
      </c>
      <c r="B5" s="45" t="e" cm="1">
        <f t="array" ref="B5">_xlfn.LET(
  _xlpm.dmData, _xlfn._xlws.FILTER('p3 DM'!B6:F38, 'p3 DM'!B6:F38&lt;&gt;""),
  _xlpm.p3Data, _xlfn._xlws.FILTER('P3'!C8:D26, 'P3'!C8:D26&lt;&gt;""),
  _xlpm.allNames, _xlfn.VSTACK(_xlpm.dmData, _xlpm.p3Data),
  _xlfn.UNIQUE(_xlpm.allNames)
)</f>
        <v>#VALUE!</v>
      </c>
      <c r="C5" s="46" cm="1">
        <f t="array" ref="C5">_xlfn.LET(
  _xlpm.name, B5,
  COUNTIF('p3 DM'!B6:F38, _xlpm.name) + COUNTIF('P3'!C8:D26, _xlpm.name)
)</f>
        <v>0</v>
      </c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</row>
    <row r="6" spans="1:14" ht="20.25" customHeight="1">
      <c r="A6" s="44">
        <f t="shared" si="0"/>
        <v>4</v>
      </c>
      <c r="B6" s="47" t="e" cm="1">
        <f t="array" ref="B6">_xlfn.LET(
  _xlpm.dmData, _xlfn._xlws.FILTER('p3 DM'!B7:F39, 'p3 DM'!B7:F39&lt;&gt;""),
  _xlpm.p3Data, _xlfn._xlws.FILTER('P3'!C9:D27, 'P3'!C9:D27&lt;&gt;""),
  _xlpm.allNames, _xlfn.VSTACK(_xlpm.dmData, _xlpm.p3Data),
  _xlfn.UNIQUE(_xlpm.allNames)
)</f>
        <v>#VALUE!</v>
      </c>
      <c r="C6" s="48" cm="1">
        <f t="array" ref="C6">_xlfn.LET(
  _xlpm.name, B6,
  COUNTIF('p3 DM'!B7:F39, _xlpm.name) + COUNTIF('P3'!C9:D27, _xlpm.name)
)</f>
        <v>0</v>
      </c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</row>
    <row r="7" spans="1:14" ht="20.25" customHeight="1">
      <c r="A7" s="44">
        <f t="shared" si="0"/>
        <v>5</v>
      </c>
      <c r="B7" s="45" t="e" cm="1">
        <f t="array" ref="B7">_xlfn.LET(
  _xlpm.dmData, _xlfn._xlws.FILTER('p3 DM'!B8:F40, 'p3 DM'!B8:F40&lt;&gt;""),
  _xlpm.p3Data, _xlfn._xlws.FILTER('P3'!C10:D28, 'P3'!C10:D28&lt;&gt;""),
  _xlpm.allNames, _xlfn.VSTACK(_xlpm.dmData, _xlpm.p3Data),
  _xlfn.UNIQUE(_xlpm.allNames)
)</f>
        <v>#VALUE!</v>
      </c>
      <c r="C7" s="46" cm="1">
        <f t="array" ref="C7">_xlfn.LET(
  _xlpm.name, B7,
  COUNTIF('p3 DM'!B8:F40, _xlpm.name) + COUNTIF('P3'!C10:D28, _xlpm.name)
)</f>
        <v>0</v>
      </c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</row>
    <row r="8" spans="1:14" ht="20.25" customHeight="1">
      <c r="A8" s="44">
        <f t="shared" si="0"/>
        <v>6</v>
      </c>
      <c r="B8" s="47" t="e" cm="1">
        <f t="array" ref="B8">_xlfn.LET(
  _xlpm.dmData, _xlfn._xlws.FILTER('p3 DM'!B9:F41, 'p3 DM'!B9:F41&lt;&gt;""),
  _xlpm.p3Data, _xlfn._xlws.FILTER('P3'!C11:D29, 'P3'!C11:D29&lt;&gt;""),
  _xlpm.allNames, _xlfn.VSTACK(_xlpm.dmData, _xlpm.p3Data),
  _xlfn.UNIQUE(_xlpm.allNames)
)</f>
        <v>#VALUE!</v>
      </c>
      <c r="C8" s="48" cm="1">
        <f t="array" ref="C8">_xlfn.LET(
  _xlpm.name, B8,
  COUNTIF('p3 DM'!B9:F41, _xlpm.name) + COUNTIF('P3'!C11:D29, _xlpm.name)
)</f>
        <v>0</v>
      </c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</row>
    <row r="9" spans="1:14" ht="20.25" customHeight="1">
      <c r="A9" s="44">
        <f t="shared" si="0"/>
        <v>7</v>
      </c>
      <c r="B9" s="45" t="e" cm="1">
        <f t="array" ref="B9">_xlfn.LET(
  _xlpm.dmData, _xlfn._xlws.FILTER('p3 DM'!B10:F42, 'p3 DM'!B10:F42&lt;&gt;""),
  _xlpm.p3Data, _xlfn._xlws.FILTER('P3'!C12:D30, 'P3'!C12:D30&lt;&gt;""),
  _xlpm.allNames, _xlfn.VSTACK(_xlpm.dmData, _xlpm.p3Data),
  _xlfn.UNIQUE(_xlpm.allNames)
)</f>
        <v>#VALUE!</v>
      </c>
      <c r="C9" s="46" cm="1">
        <f t="array" ref="C9">_xlfn.LET(
  _xlpm.name, B9,
  COUNTIF('p3 DM'!B10:F42, _xlpm.name) + COUNTIF('P3'!C12:D30, _xlpm.name)
)</f>
        <v>0</v>
      </c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</row>
    <row r="10" spans="1:14" ht="20.25" customHeight="1">
      <c r="A10" s="44">
        <f t="shared" si="0"/>
        <v>8</v>
      </c>
      <c r="B10" s="47" t="e" cm="1">
        <f t="array" ref="B10">_xlfn.LET(
  _xlpm.dmData, _xlfn._xlws.FILTER('p3 DM'!B11:F43, 'p3 DM'!B11:F43&lt;&gt;""),
  _xlpm.p3Data, _xlfn._xlws.FILTER('P3'!C13:D31, 'P3'!C13:D31&lt;&gt;""),
  _xlpm.allNames, _xlfn.VSTACK(_xlpm.dmData, _xlpm.p3Data),
  _xlfn.UNIQUE(_xlpm.allNames)
)</f>
        <v>#VALUE!</v>
      </c>
      <c r="C10" s="48" cm="1">
        <f t="array" ref="C10">_xlfn.LET(
  _xlpm.name, B10,
  COUNTIF('p3 DM'!B11:F43, _xlpm.name) + COUNTIF('P3'!C13:D31, _xlpm.name)
)</f>
        <v>0</v>
      </c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</row>
    <row r="11" spans="1:14" ht="20.25" customHeight="1">
      <c r="A11" s="44">
        <f t="shared" si="0"/>
        <v>9</v>
      </c>
      <c r="B11" s="45" t="e" cm="1">
        <f t="array" ref="B11">_xlfn.LET(
  _xlpm.dmData, _xlfn._xlws.FILTER('p3 DM'!B12:F44, 'p3 DM'!B12:F44&lt;&gt;""),
  _xlpm.p3Data, _xlfn._xlws.FILTER('P3'!C14:D32, 'P3'!C14:D32&lt;&gt;""),
  _xlpm.allNames, _xlfn.VSTACK(_xlpm.dmData, _xlpm.p3Data),
  _xlfn.UNIQUE(_xlpm.allNames)
)</f>
        <v>#VALUE!</v>
      </c>
      <c r="C11" s="46" cm="1">
        <f t="array" ref="C11">_xlfn.LET(
  _xlpm.name, B11,
  COUNTIF('p3 DM'!B12:F44, _xlpm.name) + COUNTIF('P3'!C14:D32, _xlpm.name)
)</f>
        <v>0</v>
      </c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</row>
    <row r="12" spans="1:14" ht="20.25" customHeight="1">
      <c r="A12" s="44">
        <f t="shared" si="0"/>
        <v>10</v>
      </c>
      <c r="B12" s="47" t="e" cm="1">
        <f t="array" ref="B12">_xlfn.LET(
  _xlpm.dmData, _xlfn._xlws.FILTER('p3 DM'!B13:F45, 'p3 DM'!B13:F45&lt;&gt;""),
  _xlpm.p3Data, _xlfn._xlws.FILTER('P3'!C15:D33, 'P3'!C15:D33&lt;&gt;""),
  _xlpm.allNames, _xlfn.VSTACK(_xlpm.dmData, _xlpm.p3Data),
  _xlfn.UNIQUE(_xlpm.allNames)
)</f>
        <v>#VALUE!</v>
      </c>
      <c r="C12" s="48" cm="1">
        <f t="array" ref="C12">_xlfn.LET(
  _xlpm.name, B12,
  COUNTIF('p3 DM'!B13:F45, _xlpm.name) + COUNTIF('P3'!C15:D33, _xlpm.name)
)</f>
        <v>0</v>
      </c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</row>
    <row r="13" spans="1:14" ht="20.25" customHeight="1">
      <c r="A13" s="44">
        <f t="shared" si="0"/>
        <v>11</v>
      </c>
      <c r="B13" s="45" t="e" cm="1">
        <f t="array" ref="B13">_xlfn.LET(
  _xlpm.dmData, _xlfn._xlws.FILTER('p3 DM'!B14:F46, 'p3 DM'!B14:F46&lt;&gt;""),
  _xlpm.p3Data, _xlfn._xlws.FILTER('P3'!C16:D34, 'P3'!C16:D34&lt;&gt;""),
  _xlpm.allNames, _xlfn.VSTACK(_xlpm.dmData, _xlpm.p3Data),
  _xlfn.UNIQUE(_xlpm.allNames)
)</f>
        <v>#VALUE!</v>
      </c>
      <c r="C13" s="46" cm="1">
        <f t="array" ref="C13">_xlfn.LET(
  _xlpm.name, B13,
  COUNTIF('p3 DM'!B14:F46, _xlpm.name) + COUNTIF('P3'!C16:D34, _xlpm.name)
)</f>
        <v>0</v>
      </c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</row>
    <row r="14" spans="1:14" ht="20.25" customHeight="1">
      <c r="A14" s="44">
        <f t="shared" si="0"/>
        <v>12</v>
      </c>
      <c r="B14" s="47" t="e" cm="1">
        <f t="array" ref="B14">_xlfn.LET(
  _xlpm.dmData, _xlfn._xlws.FILTER('p3 DM'!B15:F47, 'p3 DM'!B15:F47&lt;&gt;""),
  _xlpm.p3Data, _xlfn._xlws.FILTER('P3'!C17:D35, 'P3'!C17:D35&lt;&gt;""),
  _xlpm.allNames, _xlfn.VSTACK(_xlpm.dmData, _xlpm.p3Data),
  _xlfn.UNIQUE(_xlpm.allNames)
)</f>
        <v>#VALUE!</v>
      </c>
      <c r="C14" s="48" cm="1">
        <f t="array" ref="C14">_xlfn.LET(
  _xlpm.name, B14,
  COUNTIF('p3 DM'!B15:F47, _xlpm.name) + COUNTIF('P3'!C17:D35, _xlpm.name)
)</f>
        <v>0</v>
      </c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</row>
    <row r="15" spans="1:14" ht="20.25" customHeight="1">
      <c r="A15" s="44">
        <f t="shared" si="0"/>
        <v>13</v>
      </c>
      <c r="B15" s="45" t="e" cm="1">
        <f t="array" ref="B15">_xlfn.LET(
  _xlpm.dmData, _xlfn._xlws.FILTER('p3 DM'!B16:F48, 'p3 DM'!B16:F48&lt;&gt;""),
  _xlpm.p3Data, _xlfn._xlws.FILTER('P3'!C18:D36, 'P3'!C18:D36&lt;&gt;""),
  _xlpm.allNames, _xlfn.VSTACK(_xlpm.dmData, _xlpm.p3Data),
  _xlfn.UNIQUE(_xlpm.allNames)
)</f>
        <v>#VALUE!</v>
      </c>
      <c r="C15" s="46" cm="1">
        <f t="array" ref="C15">_xlfn.LET(
  _xlpm.name, B15,
  COUNTIF('p3 DM'!B16:F48, _xlpm.name) + COUNTIF('P3'!C18:D36, _xlpm.name)
)</f>
        <v>0</v>
      </c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</row>
    <row r="16" spans="1:14" ht="20.25" customHeight="1">
      <c r="A16" s="44">
        <f t="shared" si="0"/>
        <v>14</v>
      </c>
      <c r="B16" s="47" t="e" cm="1">
        <f t="array" ref="B16">_xlfn.LET(
  _xlpm.dmData, _xlfn._xlws.FILTER('p3 DM'!B17:F49, 'p3 DM'!B17:F49&lt;&gt;""),
  _xlpm.p3Data, _xlfn._xlws.FILTER('P3'!C19:D37, 'P3'!C19:D37&lt;&gt;""),
  _xlpm.allNames, _xlfn.VSTACK(_xlpm.dmData, _xlpm.p3Data),
  _xlfn.UNIQUE(_xlpm.allNames)
)</f>
        <v>#VALUE!</v>
      </c>
      <c r="C16" s="49" cm="1">
        <f t="array" ref="C16">_xlfn.LET(
  _xlpm.name, B16,
  COUNTIF('p3 DM'!B17:F49, _xlpm.name) + COUNTIF('P3'!C19:D37, _xlpm.name)
)</f>
        <v>0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4" ht="20.25" customHeight="1">
      <c r="A17" s="44">
        <f t="shared" si="0"/>
        <v>15</v>
      </c>
      <c r="B17" s="45" t="e" cm="1">
        <f t="array" ref="B17">_xlfn.LET(
  _xlpm.dmData, _xlfn._xlws.FILTER('p3 DM'!B18:F50, 'p3 DM'!B18:F50&lt;&gt;""),
  _xlpm.p3Data, _xlfn._xlws.FILTER('P3'!C20:D38, 'P3'!C20:D38&lt;&gt;""),
  _xlpm.allNames, _xlfn.VSTACK(_xlpm.dmData, _xlpm.p3Data),
  _xlfn.UNIQUE(_xlpm.allNames)
)</f>
        <v>#VALUE!</v>
      </c>
      <c r="C17" s="50" cm="1">
        <f t="array" ref="C17">_xlfn.LET(
  _xlpm.name, B17,
  COUNTIF('p3 DM'!B18:F50, _xlpm.name) + COUNTIF('P3'!C20:D38, _xlpm.name)
)</f>
        <v>0</v>
      </c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</row>
    <row r="18" spans="1:14" ht="20.25" customHeight="1">
      <c r="A18" s="44">
        <f t="shared" si="0"/>
        <v>16</v>
      </c>
      <c r="B18" s="47" t="e" cm="1">
        <f t="array" ref="B18">_xlfn.LET(
  _xlpm.dmData, _xlfn._xlws.FILTER('p3 DM'!B19:F51, 'p3 DM'!B19:F51&lt;&gt;""),
  _xlpm.p3Data, _xlfn._xlws.FILTER('P3'!C21:D39, 'P3'!C21:D39&lt;&gt;""),
  _xlpm.allNames, _xlfn.VSTACK(_xlpm.dmData, _xlpm.p3Data),
  _xlfn.UNIQUE(_xlpm.allNames)
)</f>
        <v>#VALUE!</v>
      </c>
      <c r="C18" s="49" cm="1">
        <f t="array" ref="C18">_xlfn.LET(
  _xlpm.name, B18,
  COUNTIF('p3 DM'!B19:F51, _xlpm.name) + COUNTIF('P3'!C21:D39, _xlpm.name)
)</f>
        <v>0</v>
      </c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</row>
    <row r="19" spans="1:14" ht="20.25" customHeight="1">
      <c r="A19" s="44">
        <f t="shared" si="0"/>
        <v>17</v>
      </c>
      <c r="B19" s="45" t="e" cm="1">
        <f t="array" ref="B19">_xlfn.LET(
  _xlpm.dmData, _xlfn._xlws.FILTER('p3 DM'!B20:F52, 'p3 DM'!B20:F52&lt;&gt;""),
  _xlpm.p3Data, _xlfn._xlws.FILTER('P3'!C22:D40, 'P3'!C22:D40&lt;&gt;""),
  _xlpm.allNames, _xlfn.VSTACK(_xlpm.dmData, _xlpm.p3Data),
  _xlfn.UNIQUE(_xlpm.allNames)
)</f>
        <v>#VALUE!</v>
      </c>
      <c r="C19" s="50" cm="1">
        <f t="array" ref="C19">_xlfn.LET(
  _xlpm.name, B19,
  COUNTIF('p3 DM'!B20:F52, _xlpm.name) + COUNTIF('P3'!C22:D40, _xlpm.name)
)</f>
        <v>0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</row>
    <row r="20" spans="1:14" ht="20.25" customHeight="1">
      <c r="A20" s="44">
        <f t="shared" si="0"/>
        <v>18</v>
      </c>
      <c r="B20" s="47" t="e" cm="1">
        <f t="array" ref="B20">_xlfn.LET(
  _xlpm.dmData, _xlfn._xlws.FILTER('p3 DM'!B21:F53, 'p3 DM'!B21:F53&lt;&gt;""),
  _xlpm.p3Data, _xlfn._xlws.FILTER('P3'!C23:D41, 'P3'!C23:D41&lt;&gt;""),
  _xlpm.allNames, _xlfn.VSTACK(_xlpm.dmData, _xlpm.p3Data),
  _xlfn.UNIQUE(_xlpm.allNames)
)</f>
        <v>#VALUE!</v>
      </c>
      <c r="C20" s="49" cm="1">
        <f t="array" ref="C20">_xlfn.LET(
  _xlpm.name, B20,
  COUNTIF('p3 DM'!B21:F53, _xlpm.name) + COUNTIF('P3'!C23:D41, _xlpm.name)
)</f>
        <v>0</v>
      </c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</row>
    <row r="21" spans="1:14" ht="20.25" customHeight="1">
      <c r="A21" s="44">
        <f t="shared" si="0"/>
        <v>19</v>
      </c>
      <c r="B21" s="45" t="e" cm="1">
        <f t="array" ref="B21">_xlfn.LET(
  _xlpm.dmData, _xlfn._xlws.FILTER('p3 DM'!B22:F54, 'p3 DM'!B22:F54&lt;&gt;""),
  _xlpm.p3Data, _xlfn._xlws.FILTER('P3'!C24:D42, 'P3'!C24:D42&lt;&gt;""),
  _xlpm.allNames, _xlfn.VSTACK(_xlpm.dmData, _xlpm.p3Data),
  _xlfn.UNIQUE(_xlpm.allNames)
)</f>
        <v>#VALUE!</v>
      </c>
      <c r="C21" s="50" cm="1">
        <f t="array" ref="C21">_xlfn.LET(
  _xlpm.name, B21,
  COUNTIF('p3 DM'!B22:F54, _xlpm.name) + COUNTIF('P3'!C24:D42, _xlpm.name)
)</f>
        <v>0</v>
      </c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</row>
    <row r="22" spans="1:14" ht="20.25" customHeight="1">
      <c r="A22" s="44">
        <f t="shared" si="0"/>
        <v>20</v>
      </c>
      <c r="B22" s="47" t="e" cm="1">
        <f t="array" ref="B22">_xlfn.LET(
  _xlpm.dmData, _xlfn._xlws.FILTER('p3 DM'!B23:F55, 'p3 DM'!B23:F55&lt;&gt;""),
  _xlpm.p3Data, _xlfn._xlws.FILTER('P3'!C25:D43, 'P3'!C25:D43&lt;&gt;""),
  _xlpm.allNames, _xlfn.VSTACK(_xlpm.dmData, _xlpm.p3Data),
  _xlfn.UNIQUE(_xlpm.allNames)
)</f>
        <v>#VALUE!</v>
      </c>
      <c r="C22" s="49" cm="1">
        <f t="array" ref="C22">_xlfn.LET(
  _xlpm.name, B22,
  COUNTIF('p3 DM'!B23:F55, _xlpm.name) + COUNTIF('P3'!C25:D43, _xlpm.name)
)</f>
        <v>0</v>
      </c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</row>
    <row r="23" spans="1:14" ht="20.25" customHeight="1">
      <c r="A23" s="44">
        <f t="shared" si="0"/>
        <v>21</v>
      </c>
      <c r="B23" s="45" t="e" cm="1">
        <f t="array" ref="B23">_xlfn.LET(
  _xlpm.dmData, _xlfn._xlws.FILTER('p3 DM'!B24:F56, 'p3 DM'!B24:F56&lt;&gt;""),
  _xlpm.p3Data, _xlfn._xlws.FILTER('P3'!C26:D44, 'P3'!C26:D44&lt;&gt;""),
  _xlpm.allNames, _xlfn.VSTACK(_xlpm.dmData, _xlpm.p3Data),
  _xlfn.UNIQUE(_xlpm.allNames)
)</f>
        <v>#VALUE!</v>
      </c>
      <c r="C23" s="50" cm="1">
        <f t="array" ref="C23">_xlfn.LET(
  _xlpm.name, B23,
  COUNTIF('p3 DM'!B24:F56, _xlpm.name) + COUNTIF('P3'!C26:D44, _xlpm.name)
)</f>
        <v>0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</row>
    <row r="24" spans="1:14" ht="20.25" customHeight="1">
      <c r="A24" s="44">
        <f t="shared" si="0"/>
        <v>22</v>
      </c>
      <c r="B24" s="61" t="e" cm="1">
        <f t="array" ref="B24">_xlfn.LET(
  _xlpm.dmData, _xlfn._xlws.FILTER('p3 DM'!B25:F57, 'p3 DM'!B25:F57&lt;&gt;""),
  _xlpm.p3Data, _xlfn._xlws.FILTER('P3'!C27:D45, 'P3'!C27:D45&lt;&gt;""),
  _xlpm.allNames, _xlfn.VSTACK(_xlpm.dmData, _xlpm.p3Data),
  _xlfn.UNIQUE(_xlpm.allNames)
)</f>
        <v>#VALUE!</v>
      </c>
      <c r="C24" s="48" cm="1">
        <f t="array" ref="C24">_xlfn.LET(
  _xlpm.name, B24,
  COUNTIF('p3 DM'!B25:F57, _xlpm.name) + COUNTIF('P3'!C27:D45, _xlpm.name)
)</f>
        <v>0</v>
      </c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</row>
    <row r="25" spans="1:14" ht="20.25" customHeight="1">
      <c r="A25" s="44">
        <f t="shared" si="0"/>
        <v>23</v>
      </c>
      <c r="B25" s="62" t="e" cm="1">
        <f t="array" ref="B25">_xlfn.LET(
  _xlpm.dmData, _xlfn._xlws.FILTER('p3 DM'!B26:F58, 'p3 DM'!B26:F58&lt;&gt;""),
  _xlpm.p3Data, _xlfn._xlws.FILTER('P3'!C28:D46, 'P3'!C28:D46&lt;&gt;""),
  _xlpm.allNames, _xlfn.VSTACK(_xlpm.dmData, _xlpm.p3Data),
  _xlfn.UNIQUE(_xlpm.allNames)
)</f>
        <v>#VALUE!</v>
      </c>
      <c r="C25" s="46" cm="1">
        <f t="array" ref="C25">_xlfn.LET(
  _xlpm.name, B25,
  COUNTIF('p3 DM'!B26:F58, _xlpm.name) + COUNTIF('P3'!C28:D46, _xlpm.name)
)</f>
        <v>0</v>
      </c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</row>
    <row r="26" spans="1:14" ht="20.25" customHeight="1">
      <c r="A26" s="44">
        <f>A25+1</f>
        <v>24</v>
      </c>
      <c r="B26" s="61" t="e" cm="1">
        <f t="array" ref="B26">_xlfn.LET(
  _xlpm.dmData, _xlfn._xlws.FILTER('p3 DM'!B27:F59, 'p3 DM'!B27:F59&lt;&gt;""),
  _xlpm.p3Data, _xlfn._xlws.FILTER('P3'!C29:D47, 'P3'!C29:D47&lt;&gt;""),
  _xlpm.allNames, _xlfn.VSTACK(_xlpm.dmData, _xlpm.p3Data),
  _xlfn.UNIQUE(_xlpm.allNames)
)</f>
        <v>#VALUE!</v>
      </c>
      <c r="C26" s="48" cm="1">
        <f t="array" ref="C26">_xlfn.LET(
  _xlpm.name, B26,
  COUNTIF('p3 DM'!B27:F59, _xlpm.name) + COUNTIF('P3'!C29:D47, _xlpm.name)
)</f>
        <v>0</v>
      </c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</row>
    <row r="27" spans="1:14" ht="20.25" customHeight="1">
      <c r="A27" s="44">
        <f t="shared" si="0"/>
        <v>25</v>
      </c>
      <c r="B27" s="62" t="e" cm="1">
        <f t="array" ref="B27">_xlfn.LET(
  _xlpm.dmData, _xlfn._xlws.FILTER('p3 DM'!B28:F60, 'p3 DM'!B28:F60&lt;&gt;""),
  _xlpm.p3Data, _xlfn._xlws.FILTER('P3'!C30:D48, 'P3'!C30:D48&lt;&gt;""),
  _xlpm.allNames, _xlfn.VSTACK(_xlpm.dmData, _xlpm.p3Data),
  _xlfn.UNIQUE(_xlpm.allNames)
)</f>
        <v>#VALUE!</v>
      </c>
      <c r="C27" s="46" cm="1">
        <f t="array" ref="C27">_xlfn.LET(
  _xlpm.name, B27,
  COUNTIF('p3 DM'!B28:F60, _xlpm.name) + COUNTIF('P3'!C30:D48, _xlpm.name)
)</f>
        <v>0</v>
      </c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</row>
    <row r="28" spans="1:14" ht="20.25" customHeight="1">
      <c r="A28" s="44">
        <f t="shared" si="0"/>
        <v>26</v>
      </c>
      <c r="B28" s="63" t="e" cm="1">
        <f t="array" ref="B28">_xlfn.LET(
  _xlpm.dmData, _xlfn._xlws.FILTER('p3 DM'!B29:F61, 'p3 DM'!B29:F61&lt;&gt;""),
  _xlpm.p3Data, _xlfn._xlws.FILTER('P3'!C31:D49, 'P3'!C31:D49&lt;&gt;""),
  _xlpm.allNames, _xlfn.VSTACK(_xlpm.dmData, _xlpm.p3Data),
  _xlfn.UNIQUE(_xlpm.allNames)
)</f>
        <v>#VALUE!</v>
      </c>
      <c r="C28" s="49" cm="1">
        <f t="array" ref="C28">_xlfn.LET(
  _xlpm.name, B28,
  COUNTIF('p3 DM'!B29:F61, _xlpm.name) + COUNTIF('P3'!C31:D49, _xlpm.name)
)</f>
        <v>0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</row>
    <row r="29" spans="1:14" ht="20.25" customHeight="1">
      <c r="A29" s="44">
        <f t="shared" si="0"/>
        <v>27</v>
      </c>
      <c r="B29" s="45" t="e" cm="1">
        <f t="array" ref="B29">_xlfn.LET(
  _xlpm.dmData, _xlfn._xlws.FILTER('p3 DM'!B30:F62, 'p3 DM'!B30:F62&lt;&gt;""),
  _xlpm.p3Data, _xlfn._xlws.FILTER('P3'!C32:D50, 'P3'!C32:D50&lt;&gt;""),
  _xlpm.allNames, _xlfn.VSTACK(_xlpm.dmData, _xlpm.p3Data),
  _xlfn.UNIQUE(_xlpm.allNames)
)</f>
        <v>#VALUE!</v>
      </c>
      <c r="C29" s="50" cm="1">
        <f t="array" ref="C29">_xlfn.LET(
  _xlpm.name, B29,
  COUNTIF('p3 DM'!B30:F62, _xlpm.name) + COUNTIF('P3'!C32:D50, _xlpm.name)
)</f>
        <v>0</v>
      </c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</row>
    <row r="30" spans="1:14" ht="20.25" customHeight="1">
      <c r="A30" s="44">
        <f t="shared" si="0"/>
        <v>28</v>
      </c>
      <c r="B30" s="47" t="e" cm="1">
        <f t="array" ref="B30">_xlfn.LET(
  _xlpm.dmData, _xlfn._xlws.FILTER('p3 DM'!B31:F63, 'p3 DM'!B31:F63&lt;&gt;""),
  _xlpm.p3Data, _xlfn._xlws.FILTER('P3'!C33:D51, 'P3'!C33:D51&lt;&gt;""),
  _xlpm.allNames, _xlfn.VSTACK(_xlpm.dmData, _xlpm.p3Data),
  _xlfn.UNIQUE(_xlpm.allNames)
)</f>
        <v>#VALUE!</v>
      </c>
      <c r="C30" s="49" cm="1">
        <f t="array" ref="C30">_xlfn.LET(
  _xlpm.name, B30,
  COUNTIF('p3 DM'!B31:F63, _xlpm.name) + COUNTIF('P3'!C33:D51, _xlpm.name)
)</f>
        <v>0</v>
      </c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</row>
    <row r="31" spans="1:14" ht="20.25" customHeight="1">
      <c r="A31" s="44">
        <f t="shared" si="0"/>
        <v>29</v>
      </c>
      <c r="B31" s="45" t="e" cm="1">
        <f t="array" ref="B31">_xlfn.LET(
  _xlpm.dmData, _xlfn._xlws.FILTER('p3 DM'!B32:F64, 'p3 DM'!B32:F64&lt;&gt;""),
  _xlpm.p3Data, _xlfn._xlws.FILTER('P3'!C34:D52, 'P3'!C34:D52&lt;&gt;""),
  _xlpm.allNames, _xlfn.VSTACK(_xlpm.dmData, _xlpm.p3Data),
  _xlfn.UNIQUE(_xlpm.allNames)
)</f>
        <v>#VALUE!</v>
      </c>
      <c r="C31" s="50" cm="1">
        <f t="array" ref="C31">_xlfn.LET(
  _xlpm.name, B31,
  COUNTIF('p3 DM'!B32:F64, _xlpm.name) + COUNTIF('P3'!C34:D52, _xlpm.name)
)</f>
        <v>0</v>
      </c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</row>
    <row r="32" spans="1:14" ht="20.25" customHeight="1">
      <c r="A32" s="44">
        <f t="shared" si="0"/>
        <v>30</v>
      </c>
      <c r="B32" s="45" t="e" cm="1">
        <f t="array" ref="B32">_xlfn.LET(
  _xlpm.dmData, _xlfn._xlws.FILTER('p3 DM'!B33:F65, 'p3 DM'!B33:F65&lt;&gt;""),
  _xlpm.p3Data, _xlfn._xlws.FILTER('P3'!C35:D53, 'P3'!C35:D53&lt;&gt;""),
  _xlpm.allNames, _xlfn.VSTACK(_xlpm.dmData, _xlpm.p3Data),
  _xlfn.UNIQUE(_xlpm.allNames)
)</f>
        <v>#VALUE!</v>
      </c>
      <c r="C32" s="50" cm="1">
        <f t="array" ref="C32">_xlfn.LET(
  _xlpm.name, B32,
  COUNTIF('p3 DM'!B33:F65, _xlpm.name) + COUNTIF('P3'!C35:D53, _xlpm.name)
)</f>
        <v>0</v>
      </c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</row>
    <row r="33" spans="1:14">
      <c r="A33" s="44">
        <f t="shared" si="0"/>
        <v>31</v>
      </c>
      <c r="B33" s="45" t="e" cm="1">
        <f t="array" ref="B33">_xlfn.LET(
  _xlpm.dmData, _xlfn._xlws.FILTER('p3 DM'!B34:F66, 'p3 DM'!B34:F66&lt;&gt;""),
  _xlpm.p3Data, _xlfn._xlws.FILTER('P3'!C36:D54, 'P3'!C36:D54&lt;&gt;""),
  _xlpm.allNames, _xlfn.VSTACK(_xlpm.dmData, _xlpm.p3Data),
  _xlfn.UNIQUE(_xlpm.allNames)
)</f>
        <v>#VALUE!</v>
      </c>
      <c r="C33" s="50" cm="1">
        <f t="array" ref="C33">_xlfn.LET(
  _xlpm.name, B33,
  COUNTIF('p3 DM'!B34:F66, _xlpm.name) + COUNTIF('P3'!C36:D54, _xlpm.name)
)</f>
        <v>0</v>
      </c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</row>
    <row r="34" spans="1:14" ht="20.25" customHeight="1">
      <c r="A34" s="44">
        <f t="shared" si="0"/>
        <v>32</v>
      </c>
      <c r="B34" s="45" t="e" cm="1">
        <f t="array" ref="B34">_xlfn.LET(
  _xlpm.dmData, _xlfn._xlws.FILTER('p3 DM'!B35:F67, 'p3 DM'!B35:F67&lt;&gt;""),
  _xlpm.p3Data, _xlfn._xlws.FILTER('P3'!C37:D55, 'P3'!C37:D55&lt;&gt;""),
  _xlpm.allNames, _xlfn.VSTACK(_xlpm.dmData, _xlpm.p3Data),
  _xlfn.UNIQUE(_xlpm.allNames)
)</f>
        <v>#VALUE!</v>
      </c>
      <c r="C34" s="50" cm="1">
        <f t="array" ref="C34">_xlfn.LET(
  _xlpm.name, B34,
  COUNTIF('p3 DM'!B35:F67, _xlpm.name) + COUNTIF('P3'!C37:D55, _xlpm.name)
)</f>
        <v>0</v>
      </c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</row>
    <row r="35" spans="1:14" ht="20.25" customHeight="1">
      <c r="A35" s="44">
        <v>33</v>
      </c>
      <c r="B35" s="45" t="e" cm="1">
        <f t="array" ref="B35">_xlfn.LET(
  _xlpm.dmData, _xlfn._xlws.FILTER('p3 DM'!B36:F68, 'p3 DM'!B36:F68&lt;&gt;""),
  _xlpm.p3Data, _xlfn._xlws.FILTER('P3'!C38:D56, 'P3'!C38:D56&lt;&gt;""),
  _xlpm.allNames, _xlfn.VSTACK(_xlpm.dmData, _xlpm.p3Data),
  _xlfn.UNIQUE(_xlpm.allNames)
)</f>
        <v>#VALUE!</v>
      </c>
      <c r="C35" s="50" cm="1">
        <f t="array" ref="C35">_xlfn.LET(
  _xlpm.name, B35,
  COUNTIF('p3 DM'!B36:F68, _xlpm.name) + COUNTIF('P3'!C38:D56, _xlpm.name)
)</f>
        <v>0</v>
      </c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</row>
    <row r="36" spans="1:14">
      <c r="B36" s="40"/>
    </row>
    <row r="37" spans="1:14">
      <c r="B37" s="40"/>
    </row>
    <row r="38" spans="1:14">
      <c r="B38" s="40"/>
    </row>
    <row r="39" spans="1:14">
      <c r="B39" s="40"/>
    </row>
  </sheetData>
  <mergeCells count="1">
    <mergeCell ref="A1:N1"/>
  </mergeCells>
  <pageMargins left="0" right="0" top="0" bottom="0" header="0.3" footer="0.3"/>
  <pageSetup scale="77" orientation="landscape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E20" sqref="E20"/>
    </sheetView>
  </sheetViews>
  <sheetFormatPr defaultRowHeight="14.45"/>
  <cols>
    <col min="1" max="4" width="25.7109375" customWidth="1"/>
  </cols>
  <sheetData>
    <row r="1" spans="1:4" ht="66.75" customHeight="1">
      <c r="A1" s="11" t="s">
        <v>44</v>
      </c>
      <c r="B1" s="9"/>
      <c r="C1" s="10"/>
      <c r="D1" s="10"/>
    </row>
    <row r="2" spans="1:4">
      <c r="A2" s="1"/>
      <c r="B2" s="1"/>
      <c r="C2" s="7"/>
      <c r="D2" s="7"/>
    </row>
    <row r="3" spans="1:4">
      <c r="A3" s="1"/>
      <c r="B3" s="1"/>
      <c r="C3" s="7"/>
      <c r="D3" s="7"/>
    </row>
    <row r="4" spans="1:4">
      <c r="A4" s="1"/>
      <c r="B4" s="1"/>
      <c r="C4" s="7"/>
      <c r="D4" s="7"/>
    </row>
    <row r="5" spans="1:4">
      <c r="A5" s="1"/>
      <c r="B5" s="1"/>
      <c r="C5" s="7"/>
      <c r="D5" s="7"/>
    </row>
    <row r="6" spans="1:4">
      <c r="A6" s="1"/>
      <c r="B6" s="1"/>
      <c r="C6" s="7"/>
      <c r="D6" s="7"/>
    </row>
    <row r="7" spans="1:4" ht="15" thickBot="1">
      <c r="A7" s="1"/>
      <c r="B7" s="1"/>
      <c r="C7" s="7"/>
      <c r="D7" s="7"/>
    </row>
    <row r="8" spans="1:4" ht="24" thickBot="1">
      <c r="A8" s="12" t="s">
        <v>45</v>
      </c>
      <c r="B8" s="17" t="s">
        <v>46</v>
      </c>
      <c r="C8" s="19" t="s">
        <v>47</v>
      </c>
      <c r="D8" s="20" t="s">
        <v>48</v>
      </c>
    </row>
    <row r="9" spans="1:4" ht="24" customHeight="1" thickBot="1">
      <c r="A9" s="16" t="s">
        <v>49</v>
      </c>
      <c r="B9" s="18" t="s">
        <v>50</v>
      </c>
      <c r="C9" s="21" t="s">
        <v>51</v>
      </c>
      <c r="D9" s="21">
        <v>832</v>
      </c>
    </row>
    <row r="10" spans="1:4" ht="24" customHeight="1" thickBot="1">
      <c r="A10" s="16" t="s">
        <v>52</v>
      </c>
      <c r="B10" s="18" t="s">
        <v>53</v>
      </c>
      <c r="C10" s="21" t="s">
        <v>54</v>
      </c>
      <c r="D10" s="21">
        <v>20</v>
      </c>
    </row>
    <row r="11" spans="1:4" ht="24" customHeight="1" thickBot="1">
      <c r="A11" s="16" t="s">
        <v>55</v>
      </c>
      <c r="B11" s="18" t="s">
        <v>56</v>
      </c>
      <c r="C11" s="21" t="s">
        <v>51</v>
      </c>
      <c r="D11" s="21">
        <v>832</v>
      </c>
    </row>
    <row r="12" spans="1:4" ht="24" customHeight="1" thickBot="1">
      <c r="A12" s="16" t="s">
        <v>57</v>
      </c>
      <c r="B12" s="18" t="s">
        <v>58</v>
      </c>
      <c r="C12" s="21" t="s">
        <v>59</v>
      </c>
      <c r="D12" s="21">
        <v>865</v>
      </c>
    </row>
    <row r="13" spans="1:4" ht="24" customHeight="1" thickBot="1">
      <c r="A13" s="16" t="s">
        <v>60</v>
      </c>
      <c r="B13" s="18" t="s">
        <v>61</v>
      </c>
      <c r="C13" s="21" t="s">
        <v>62</v>
      </c>
      <c r="D13" s="21">
        <v>12</v>
      </c>
    </row>
    <row r="14" spans="1:4" ht="24" customHeight="1" thickBot="1">
      <c r="A14" s="16" t="s">
        <v>63</v>
      </c>
      <c r="B14" s="18" t="s">
        <v>61</v>
      </c>
      <c r="C14" s="21" t="s">
        <v>64</v>
      </c>
      <c r="D14" s="21">
        <v>8</v>
      </c>
    </row>
    <row r="15" spans="1:4" ht="24" customHeight="1" thickBot="1">
      <c r="A15" s="16" t="s">
        <v>65</v>
      </c>
      <c r="B15" s="18" t="s">
        <v>66</v>
      </c>
      <c r="C15" s="21" t="s">
        <v>67</v>
      </c>
      <c r="D15" s="21"/>
    </row>
    <row r="16" spans="1:4" ht="24" customHeight="1" thickBot="1">
      <c r="A16" s="16" t="s">
        <v>68</v>
      </c>
      <c r="B16" s="18" t="s">
        <v>69</v>
      </c>
      <c r="C16" s="21" t="s">
        <v>70</v>
      </c>
      <c r="D16" s="21">
        <v>12</v>
      </c>
    </row>
    <row r="17" spans="1:4" ht="24" customHeight="1" thickBot="1">
      <c r="A17" s="16" t="s">
        <v>71</v>
      </c>
      <c r="B17" s="18" t="s">
        <v>61</v>
      </c>
      <c r="C17" s="21" t="s">
        <v>72</v>
      </c>
      <c r="D17" s="21">
        <v>12</v>
      </c>
    </row>
    <row r="18" spans="1:4" ht="24" customHeight="1" thickBot="1">
      <c r="A18" s="16" t="s">
        <v>73</v>
      </c>
      <c r="B18" s="22" t="s">
        <v>74</v>
      </c>
      <c r="C18" s="21" t="s">
        <v>75</v>
      </c>
      <c r="D18" s="21">
        <v>843</v>
      </c>
    </row>
    <row r="19" spans="1:4" ht="24" customHeight="1" thickBot="1">
      <c r="A19" s="16" t="s">
        <v>76</v>
      </c>
      <c r="B19" s="18" t="s">
        <v>77</v>
      </c>
      <c r="C19" s="21"/>
      <c r="D19" s="21">
        <v>865</v>
      </c>
    </row>
    <row r="20" spans="1:4" ht="24" customHeight="1" thickBot="1">
      <c r="A20" s="16" t="s">
        <v>78</v>
      </c>
      <c r="B20" s="22" t="s">
        <v>79</v>
      </c>
      <c r="C20" s="21"/>
      <c r="D20" s="21"/>
    </row>
    <row r="21" spans="1:4" ht="24" customHeight="1" thickBot="1">
      <c r="A21" s="16" t="s">
        <v>80</v>
      </c>
      <c r="B21" s="18" t="s">
        <v>77</v>
      </c>
      <c r="C21" s="21"/>
      <c r="D21" s="21">
        <v>448</v>
      </c>
    </row>
    <row r="22" spans="1:4" ht="24" customHeight="1" thickBot="1">
      <c r="A22" s="16" t="s">
        <v>81</v>
      </c>
      <c r="B22" s="18" t="s">
        <v>82</v>
      </c>
      <c r="C22" s="21"/>
      <c r="D22" s="21"/>
    </row>
    <row r="23" spans="1:4" ht="24" customHeight="1" thickBot="1">
      <c r="A23" s="16" t="s">
        <v>83</v>
      </c>
      <c r="B23" s="18" t="s">
        <v>84</v>
      </c>
      <c r="C23" s="21" t="s">
        <v>84</v>
      </c>
      <c r="D23" s="21"/>
    </row>
    <row r="24" spans="1:4" ht="24" customHeight="1" thickBot="1">
      <c r="A24" s="16" t="s">
        <v>85</v>
      </c>
      <c r="B24" s="18" t="s">
        <v>84</v>
      </c>
      <c r="C24" s="21" t="s">
        <v>84</v>
      </c>
      <c r="D24" s="21"/>
    </row>
    <row r="25" spans="1:4" ht="24" customHeight="1" thickBot="1">
      <c r="C25" s="2"/>
    </row>
    <row r="26" spans="1:4" ht="24" customHeight="1">
      <c r="A26" s="391" t="s">
        <v>86</v>
      </c>
      <c r="B26" s="392"/>
      <c r="C26" s="393"/>
      <c r="D26" s="394"/>
    </row>
    <row r="27" spans="1:4" ht="24" customHeight="1">
      <c r="A27" s="13" t="s">
        <v>87</v>
      </c>
      <c r="B27" s="8" t="s">
        <v>88</v>
      </c>
      <c r="C27" s="3"/>
      <c r="D27" s="4"/>
    </row>
    <row r="28" spans="1:4" ht="24" customHeight="1">
      <c r="A28" s="13" t="s">
        <v>89</v>
      </c>
      <c r="B28" s="8" t="s">
        <v>88</v>
      </c>
      <c r="C28" s="3"/>
      <c r="D28" s="4"/>
    </row>
    <row r="29" spans="1:4" ht="24" customHeight="1">
      <c r="A29" s="13" t="s">
        <v>90</v>
      </c>
      <c r="B29" s="8" t="s">
        <v>88</v>
      </c>
      <c r="C29" s="3"/>
      <c r="D29" s="4"/>
    </row>
    <row r="30" spans="1:4" ht="24" customHeight="1">
      <c r="A30" s="13" t="s">
        <v>91</v>
      </c>
      <c r="B30" s="8" t="s">
        <v>88</v>
      </c>
      <c r="C30" s="3"/>
      <c r="D30" s="4"/>
    </row>
    <row r="31" spans="1:4" ht="24" customHeight="1">
      <c r="A31" s="13" t="s">
        <v>92</v>
      </c>
      <c r="B31" s="8" t="s">
        <v>88</v>
      </c>
      <c r="C31" s="3"/>
      <c r="D31" s="4"/>
    </row>
    <row r="32" spans="1:4" ht="24" customHeight="1">
      <c r="A32" s="13"/>
      <c r="B32" s="8" t="s">
        <v>88</v>
      </c>
      <c r="C32" s="3"/>
      <c r="D32" s="4"/>
    </row>
    <row r="33" spans="1:4" ht="24" customHeight="1" thickBot="1">
      <c r="A33" s="14"/>
      <c r="B33" s="15" t="s">
        <v>88</v>
      </c>
      <c r="C33" s="5"/>
      <c r="D33" s="6"/>
    </row>
  </sheetData>
  <mergeCells count="1">
    <mergeCell ref="A26:D26"/>
  </mergeCells>
  <pageMargins left="0.2" right="0.2" top="0.25" bottom="0.2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showGridLines="0" view="pageLayout" zoomScaleNormal="75" workbookViewId="0">
      <selection activeCell="C6" sqref="C6"/>
    </sheetView>
  </sheetViews>
  <sheetFormatPr defaultRowHeight="14.45"/>
  <cols>
    <col min="1" max="4" width="25.7109375" customWidth="1"/>
  </cols>
  <sheetData>
    <row r="1" spans="1:4" ht="33.75" customHeight="1">
      <c r="A1" s="34" t="s">
        <v>93</v>
      </c>
      <c r="B1" s="9"/>
      <c r="C1" s="10"/>
      <c r="D1" s="10"/>
    </row>
    <row r="2" spans="1:4">
      <c r="A2" s="1"/>
      <c r="B2" s="1"/>
      <c r="C2" s="7"/>
      <c r="D2" s="7"/>
    </row>
    <row r="3" spans="1:4">
      <c r="A3" s="1"/>
      <c r="B3" s="1"/>
      <c r="C3" s="7"/>
      <c r="D3" s="7"/>
    </row>
    <row r="4" spans="1:4">
      <c r="A4" s="1"/>
      <c r="B4" s="1"/>
      <c r="C4" s="7"/>
      <c r="D4" s="7"/>
    </row>
    <row r="5" spans="1:4" ht="26.1">
      <c r="A5" s="25" t="s">
        <v>45</v>
      </c>
      <c r="B5" s="27" t="s">
        <v>46</v>
      </c>
      <c r="C5" s="39" t="s">
        <v>94</v>
      </c>
      <c r="D5" s="39" t="s">
        <v>95</v>
      </c>
    </row>
    <row r="6" spans="1:4" ht="30" customHeight="1" thickBot="1">
      <c r="A6" s="35" t="s">
        <v>96</v>
      </c>
      <c r="B6" s="36" t="s">
        <v>97</v>
      </c>
      <c r="C6" s="37" t="s">
        <v>98</v>
      </c>
      <c r="D6" s="38"/>
    </row>
    <row r="7" spans="1:4" ht="30" customHeight="1" thickBot="1">
      <c r="A7" s="26" t="s">
        <v>99</v>
      </c>
      <c r="B7" s="28" t="s">
        <v>100</v>
      </c>
      <c r="C7" s="21" t="s">
        <v>101</v>
      </c>
      <c r="D7" s="23" t="s">
        <v>102</v>
      </c>
    </row>
    <row r="8" spans="1:4" ht="30" customHeight="1" thickBot="1">
      <c r="A8" s="26" t="s">
        <v>103</v>
      </c>
      <c r="B8" s="28" t="s">
        <v>100</v>
      </c>
      <c r="C8" s="21" t="s">
        <v>104</v>
      </c>
      <c r="D8" s="23" t="s">
        <v>105</v>
      </c>
    </row>
    <row r="9" spans="1:4" ht="30" customHeight="1" thickBot="1">
      <c r="A9" s="26" t="s">
        <v>106</v>
      </c>
      <c r="B9" s="28" t="s">
        <v>100</v>
      </c>
      <c r="C9" s="21" t="s">
        <v>107</v>
      </c>
      <c r="D9" s="23" t="s">
        <v>108</v>
      </c>
    </row>
    <row r="10" spans="1:4" ht="30" customHeight="1" thickBot="1">
      <c r="A10" s="26" t="s">
        <v>52</v>
      </c>
      <c r="B10" s="28" t="s">
        <v>53</v>
      </c>
      <c r="C10" s="21" t="s">
        <v>109</v>
      </c>
      <c r="D10" s="23" t="s">
        <v>110</v>
      </c>
    </row>
    <row r="11" spans="1:4" ht="30" customHeight="1" thickBot="1">
      <c r="A11" s="26" t="s">
        <v>55</v>
      </c>
      <c r="B11" s="28" t="s">
        <v>56</v>
      </c>
      <c r="C11" s="21" t="s">
        <v>111</v>
      </c>
      <c r="D11" s="23" t="s">
        <v>112</v>
      </c>
    </row>
    <row r="12" spans="1:4" ht="30" customHeight="1" thickBot="1">
      <c r="A12" s="26" t="s">
        <v>57</v>
      </c>
      <c r="B12" s="28" t="s">
        <v>58</v>
      </c>
      <c r="C12" s="21" t="s">
        <v>113</v>
      </c>
      <c r="D12" s="23" t="s">
        <v>114</v>
      </c>
    </row>
    <row r="13" spans="1:4" ht="30" customHeight="1" thickBot="1">
      <c r="A13" s="26" t="s">
        <v>60</v>
      </c>
      <c r="B13" s="28" t="s">
        <v>61</v>
      </c>
      <c r="C13" s="21" t="s">
        <v>115</v>
      </c>
      <c r="D13" s="23" t="s">
        <v>116</v>
      </c>
    </row>
    <row r="14" spans="1:4" ht="30" customHeight="1" thickBot="1">
      <c r="A14" s="26" t="s">
        <v>65</v>
      </c>
      <c r="B14" s="28" t="s">
        <v>66</v>
      </c>
      <c r="C14" s="21" t="s">
        <v>117</v>
      </c>
      <c r="D14" s="24"/>
    </row>
    <row r="15" spans="1:4" ht="30" customHeight="1" thickBot="1">
      <c r="A15" s="26" t="s">
        <v>68</v>
      </c>
      <c r="B15" s="28" t="s">
        <v>69</v>
      </c>
      <c r="C15" s="21" t="s">
        <v>118</v>
      </c>
      <c r="D15" s="23" t="s">
        <v>119</v>
      </c>
    </row>
    <row r="16" spans="1:4" ht="30" customHeight="1" thickBot="1">
      <c r="A16" s="26" t="s">
        <v>71</v>
      </c>
      <c r="B16" s="28" t="s">
        <v>61</v>
      </c>
      <c r="C16" s="21" t="s">
        <v>120</v>
      </c>
      <c r="D16" s="23" t="s">
        <v>121</v>
      </c>
    </row>
    <row r="17" spans="1:4" ht="30" customHeight="1" thickBot="1">
      <c r="A17" s="26" t="s">
        <v>73</v>
      </c>
      <c r="B17" s="28" t="s">
        <v>74</v>
      </c>
      <c r="C17" s="21" t="s">
        <v>122</v>
      </c>
      <c r="D17" s="23" t="s">
        <v>123</v>
      </c>
    </row>
    <row r="18" spans="1:4" ht="30" customHeight="1" thickBot="1">
      <c r="A18" s="26" t="s">
        <v>124</v>
      </c>
      <c r="B18" s="28" t="s">
        <v>125</v>
      </c>
      <c r="C18" s="21" t="s">
        <v>126</v>
      </c>
      <c r="D18" s="23" t="s">
        <v>127</v>
      </c>
    </row>
    <row r="19" spans="1:4" ht="30" customHeight="1" thickBot="1">
      <c r="A19" s="26" t="s">
        <v>128</v>
      </c>
      <c r="B19" s="28" t="s">
        <v>77</v>
      </c>
      <c r="C19" s="21" t="s">
        <v>129</v>
      </c>
      <c r="D19" s="23" t="s">
        <v>130</v>
      </c>
    </row>
    <row r="20" spans="1:4" ht="30" customHeight="1" thickBot="1">
      <c r="A20" s="26" t="s">
        <v>78</v>
      </c>
      <c r="B20" s="28" t="s">
        <v>79</v>
      </c>
      <c r="C20" s="21" t="s">
        <v>131</v>
      </c>
      <c r="D20" s="23" t="s">
        <v>132</v>
      </c>
    </row>
    <row r="21" spans="1:4" ht="30" customHeight="1" thickBot="1">
      <c r="A21" s="26" t="s">
        <v>80</v>
      </c>
      <c r="B21" s="28" t="s">
        <v>77</v>
      </c>
      <c r="C21" s="21" t="s">
        <v>133</v>
      </c>
      <c r="D21" s="23" t="s">
        <v>134</v>
      </c>
    </row>
    <row r="22" spans="1:4" ht="30" customHeight="1" thickBot="1">
      <c r="A22" s="26" t="s">
        <v>81</v>
      </c>
      <c r="B22" s="28" t="s">
        <v>82</v>
      </c>
      <c r="C22" s="21" t="s">
        <v>129</v>
      </c>
      <c r="D22" s="23" t="s">
        <v>135</v>
      </c>
    </row>
    <row r="23" spans="1:4" ht="12.75" customHeight="1" thickBot="1">
      <c r="A23" s="30"/>
      <c r="B23" s="31"/>
      <c r="C23" s="33"/>
      <c r="D23" s="32"/>
    </row>
    <row r="24" spans="1:4" ht="30" customHeight="1" thickBot="1">
      <c r="A24" s="395" t="s">
        <v>136</v>
      </c>
      <c r="B24" s="395"/>
      <c r="C24" s="395"/>
      <c r="D24" s="395"/>
    </row>
    <row r="25" spans="1:4" ht="27.95" customHeight="1">
      <c r="A25" s="29" t="s">
        <v>137</v>
      </c>
      <c r="B25" s="29" t="s">
        <v>138</v>
      </c>
      <c r="C25" s="29" t="s">
        <v>139</v>
      </c>
      <c r="D25" s="29" t="s">
        <v>140</v>
      </c>
    </row>
    <row r="26" spans="1:4" ht="27.95" customHeight="1">
      <c r="A26" s="29" t="s">
        <v>141</v>
      </c>
      <c r="B26" s="29" t="s">
        <v>142</v>
      </c>
      <c r="C26" s="29" t="s">
        <v>143</v>
      </c>
      <c r="D26" s="29" t="s">
        <v>144</v>
      </c>
    </row>
    <row r="27" spans="1:4" ht="27.95" customHeight="1">
      <c r="A27" s="29" t="s">
        <v>145</v>
      </c>
      <c r="B27" s="29" t="s">
        <v>146</v>
      </c>
      <c r="C27" s="29" t="s">
        <v>147</v>
      </c>
      <c r="D27" s="29" t="s">
        <v>148</v>
      </c>
    </row>
    <row r="28" spans="1:4" ht="27.95" customHeight="1">
      <c r="A28" s="29" t="s">
        <v>149</v>
      </c>
      <c r="B28" s="29" t="s">
        <v>150</v>
      </c>
      <c r="C28" s="29" t="s">
        <v>151</v>
      </c>
      <c r="D28" s="29"/>
    </row>
    <row r="29" spans="1:4" ht="27.95" customHeight="1">
      <c r="D29" s="29"/>
    </row>
  </sheetData>
  <mergeCells count="1">
    <mergeCell ref="A24:D24"/>
  </mergeCells>
  <pageMargins left="0.2" right="0.2" top="0.25" bottom="0.2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showGridLines="0" view="pageLayout" topLeftCell="A17" zoomScaleNormal="75" workbookViewId="0">
      <selection activeCell="A27" sqref="A27:D34"/>
    </sheetView>
  </sheetViews>
  <sheetFormatPr defaultRowHeight="14.45"/>
  <cols>
    <col min="1" max="4" width="25.7109375" customWidth="1"/>
    <col min="5" max="5" width="2.85546875" customWidth="1"/>
    <col min="6" max="6" width="9.7109375" customWidth="1"/>
    <col min="7" max="7" width="12" customWidth="1"/>
    <col min="8" max="13" width="9.140625" customWidth="1"/>
    <col min="14" max="14" width="36.5703125" customWidth="1"/>
    <col min="15" max="17" width="9.140625" customWidth="1"/>
  </cols>
  <sheetData>
    <row r="1" spans="1:14" ht="33.75" customHeight="1">
      <c r="A1" s="53" t="s">
        <v>152</v>
      </c>
      <c r="B1" s="9"/>
      <c r="C1" s="10"/>
      <c r="D1" s="10"/>
    </row>
    <row r="2" spans="1:14">
      <c r="A2" s="1"/>
      <c r="B2" s="1"/>
      <c r="C2" s="7"/>
      <c r="D2" s="7"/>
    </row>
    <row r="3" spans="1:14">
      <c r="A3" s="1"/>
      <c r="B3" s="1"/>
      <c r="C3" s="7"/>
      <c r="D3" s="7"/>
    </row>
    <row r="4" spans="1:14">
      <c r="A4" s="1"/>
      <c r="B4" s="1"/>
      <c r="C4" s="7"/>
      <c r="D4" s="7"/>
    </row>
    <row r="5" spans="1:14" ht="26.1">
      <c r="A5" s="25" t="s">
        <v>45</v>
      </c>
      <c r="B5" s="27" t="s">
        <v>46</v>
      </c>
      <c r="C5" s="39"/>
      <c r="D5" s="39"/>
    </row>
    <row r="6" spans="1:14" ht="24.75" customHeight="1">
      <c r="A6" s="88" t="s">
        <v>153</v>
      </c>
      <c r="B6" s="55" t="s">
        <v>97</v>
      </c>
      <c r="C6" s="405" t="s">
        <v>98</v>
      </c>
      <c r="D6" s="406"/>
      <c r="F6" s="396" t="s">
        <v>154</v>
      </c>
      <c r="G6" s="396"/>
      <c r="H6" s="396"/>
      <c r="I6" s="396"/>
      <c r="J6" s="396"/>
      <c r="K6" s="396"/>
      <c r="L6" s="396"/>
      <c r="M6" s="396"/>
      <c r="N6" s="396"/>
    </row>
    <row r="7" spans="1:14" ht="24.75" customHeight="1">
      <c r="A7" s="89" t="s">
        <v>65</v>
      </c>
      <c r="B7" s="28" t="s">
        <v>66</v>
      </c>
      <c r="C7" s="409" t="s">
        <v>155</v>
      </c>
      <c r="D7" s="410"/>
    </row>
    <row r="8" spans="1:14" ht="24.75" customHeight="1">
      <c r="A8" s="90" t="s">
        <v>99</v>
      </c>
      <c r="B8" s="28" t="s">
        <v>100</v>
      </c>
      <c r="C8" s="104" t="s">
        <v>104</v>
      </c>
      <c r="D8" s="106" t="s">
        <v>156</v>
      </c>
      <c r="G8" s="397" t="s">
        <v>157</v>
      </c>
      <c r="H8" s="397"/>
      <c r="I8" s="397"/>
      <c r="J8" s="397"/>
      <c r="K8" s="397"/>
      <c r="L8" s="397"/>
      <c r="M8" s="397"/>
      <c r="N8" s="397"/>
    </row>
    <row r="9" spans="1:14" ht="24.75" customHeight="1">
      <c r="A9" s="90" t="s">
        <v>103</v>
      </c>
      <c r="B9" s="28" t="s">
        <v>100</v>
      </c>
      <c r="C9" s="104" t="s">
        <v>131</v>
      </c>
      <c r="D9" s="106" t="s">
        <v>158</v>
      </c>
      <c r="F9" s="73"/>
      <c r="G9" s="402" t="s">
        <v>159</v>
      </c>
      <c r="H9" s="403"/>
      <c r="I9" s="403"/>
      <c r="J9" s="403"/>
      <c r="K9" s="403"/>
      <c r="L9" s="403"/>
      <c r="M9" s="404"/>
      <c r="N9" s="64"/>
    </row>
    <row r="10" spans="1:14" ht="24.75" customHeight="1">
      <c r="A10" s="91" t="s">
        <v>106</v>
      </c>
      <c r="B10" s="56" t="s">
        <v>100</v>
      </c>
      <c r="C10" s="105" t="s">
        <v>62</v>
      </c>
      <c r="D10" s="107" t="s">
        <v>102</v>
      </c>
      <c r="F10" s="73"/>
      <c r="G10" s="79" t="s">
        <v>12</v>
      </c>
      <c r="H10" s="80" t="s">
        <v>13</v>
      </c>
      <c r="I10" s="80" t="s">
        <v>14</v>
      </c>
      <c r="J10" s="80" t="s">
        <v>15</v>
      </c>
      <c r="K10" s="58" t="s">
        <v>16</v>
      </c>
      <c r="L10" s="80" t="s">
        <v>17</v>
      </c>
      <c r="M10" s="81" t="s">
        <v>18</v>
      </c>
    </row>
    <row r="11" spans="1:14" ht="24.75" customHeight="1">
      <c r="A11" s="407" t="s">
        <v>45</v>
      </c>
      <c r="B11" s="408"/>
      <c r="C11" s="411" t="s">
        <v>160</v>
      </c>
      <c r="D11" s="412"/>
      <c r="F11" s="73"/>
      <c r="G11" s="67">
        <v>1</v>
      </c>
      <c r="H11" s="68">
        <v>3</v>
      </c>
      <c r="I11" s="68">
        <v>5</v>
      </c>
      <c r="J11" s="68">
        <v>3</v>
      </c>
      <c r="K11" s="68">
        <v>6</v>
      </c>
      <c r="L11" s="68">
        <v>6</v>
      </c>
      <c r="M11" s="69">
        <v>1</v>
      </c>
      <c r="N11">
        <f>SUM(G11:M11)</f>
        <v>25</v>
      </c>
    </row>
    <row r="12" spans="1:14" ht="24.75" customHeight="1">
      <c r="A12" s="87" t="s">
        <v>128</v>
      </c>
      <c r="B12" s="28" t="s">
        <v>77</v>
      </c>
      <c r="C12" s="21" t="s">
        <v>161</v>
      </c>
      <c r="D12" s="23" t="s">
        <v>162</v>
      </c>
      <c r="F12" s="73"/>
    </row>
    <row r="13" spans="1:14" ht="24.75" customHeight="1">
      <c r="A13" s="87" t="s">
        <v>78</v>
      </c>
      <c r="B13" s="28" t="s">
        <v>79</v>
      </c>
      <c r="C13" s="21" t="s">
        <v>161</v>
      </c>
      <c r="D13" s="23" t="s">
        <v>163</v>
      </c>
      <c r="F13" s="73"/>
      <c r="G13" s="398" t="s">
        <v>164</v>
      </c>
      <c r="H13" s="398"/>
      <c r="I13" s="398"/>
      <c r="J13" s="398"/>
      <c r="K13" s="398"/>
      <c r="L13" s="398"/>
      <c r="M13" s="398"/>
      <c r="N13" s="398"/>
    </row>
    <row r="14" spans="1:14" ht="24.75" customHeight="1">
      <c r="A14" s="87" t="s">
        <v>80</v>
      </c>
      <c r="B14" s="28" t="s">
        <v>77</v>
      </c>
      <c r="C14" s="21" t="s">
        <v>161</v>
      </c>
      <c r="D14" s="23" t="s">
        <v>165</v>
      </c>
      <c r="F14" s="73"/>
      <c r="G14" s="399" t="s">
        <v>166</v>
      </c>
      <c r="H14" s="400"/>
      <c r="I14" s="400"/>
      <c r="J14" s="400"/>
      <c r="K14" s="400"/>
      <c r="L14" s="400"/>
      <c r="M14" s="401"/>
    </row>
    <row r="15" spans="1:14" ht="24.75" customHeight="1">
      <c r="A15" s="87" t="s">
        <v>81</v>
      </c>
      <c r="B15" s="28" t="s">
        <v>82</v>
      </c>
      <c r="C15" s="21" t="s">
        <v>161</v>
      </c>
      <c r="D15" s="23" t="s">
        <v>167</v>
      </c>
      <c r="F15" s="73"/>
      <c r="G15" s="92" t="s">
        <v>12</v>
      </c>
      <c r="H15" s="93" t="s">
        <v>13</v>
      </c>
      <c r="I15" s="94" t="s">
        <v>14</v>
      </c>
      <c r="J15" s="95" t="s">
        <v>15</v>
      </c>
      <c r="K15" s="96" t="s">
        <v>16</v>
      </c>
      <c r="L15" s="97" t="s">
        <v>17</v>
      </c>
      <c r="M15" s="98" t="s">
        <v>18</v>
      </c>
      <c r="N15" s="65"/>
    </row>
    <row r="16" spans="1:14" ht="24.75" customHeight="1">
      <c r="A16" s="99" t="s">
        <v>45</v>
      </c>
      <c r="B16" s="27" t="s">
        <v>46</v>
      </c>
      <c r="C16" s="57" t="s">
        <v>168</v>
      </c>
      <c r="D16" s="54" t="s">
        <v>160</v>
      </c>
      <c r="G16" s="70">
        <v>6</v>
      </c>
      <c r="H16" s="71">
        <v>4</v>
      </c>
      <c r="I16" s="71">
        <v>2</v>
      </c>
      <c r="J16" s="71">
        <v>4</v>
      </c>
      <c r="K16" s="71">
        <v>1</v>
      </c>
      <c r="L16" s="71">
        <v>1</v>
      </c>
      <c r="M16" s="72">
        <v>6</v>
      </c>
      <c r="N16">
        <f>SUM(G16:M16)</f>
        <v>24</v>
      </c>
    </row>
    <row r="17" spans="1:14" ht="24.75" customHeight="1">
      <c r="A17" s="87" t="s">
        <v>52</v>
      </c>
      <c r="B17" s="28" t="s">
        <v>53</v>
      </c>
      <c r="C17" s="21" t="s">
        <v>169</v>
      </c>
      <c r="D17" s="23" t="s">
        <v>170</v>
      </c>
      <c r="N17" s="66"/>
    </row>
    <row r="18" spans="1:14" ht="24.75" customHeight="1">
      <c r="A18" s="87" t="s">
        <v>55</v>
      </c>
      <c r="B18" s="28" t="s">
        <v>56</v>
      </c>
      <c r="C18" s="100" t="s">
        <v>171</v>
      </c>
      <c r="D18" s="23" t="s">
        <v>172</v>
      </c>
      <c r="G18" t="s">
        <v>173</v>
      </c>
      <c r="H18" t="s">
        <v>174</v>
      </c>
      <c r="I18" t="s">
        <v>175</v>
      </c>
    </row>
    <row r="19" spans="1:14" ht="24.75" customHeight="1">
      <c r="A19" s="87" t="s">
        <v>57</v>
      </c>
      <c r="B19" s="28" t="s">
        <v>176</v>
      </c>
      <c r="C19" s="21" t="s">
        <v>177</v>
      </c>
      <c r="D19" s="101" t="s">
        <v>178</v>
      </c>
      <c r="G19" s="82" t="s">
        <v>12</v>
      </c>
      <c r="H19" s="83" t="s">
        <v>13</v>
      </c>
      <c r="I19" s="83" t="s">
        <v>14</v>
      </c>
      <c r="J19" s="83" t="s">
        <v>15</v>
      </c>
      <c r="K19" s="74" t="s">
        <v>16</v>
      </c>
      <c r="L19" s="83" t="s">
        <v>17</v>
      </c>
      <c r="M19" s="83" t="s">
        <v>18</v>
      </c>
      <c r="N19" s="75" t="s">
        <v>179</v>
      </c>
    </row>
    <row r="20" spans="1:14" ht="24.75" customHeight="1">
      <c r="A20" s="87" t="s">
        <v>60</v>
      </c>
      <c r="B20" s="28" t="s">
        <v>61</v>
      </c>
      <c r="C20" s="21" t="s">
        <v>177</v>
      </c>
      <c r="D20" s="23" t="s">
        <v>180</v>
      </c>
      <c r="G20" s="76">
        <f t="shared" ref="G20:M20" si="0">G11+G16</f>
        <v>7</v>
      </c>
      <c r="H20" s="77">
        <f t="shared" si="0"/>
        <v>7</v>
      </c>
      <c r="I20" s="77">
        <f t="shared" si="0"/>
        <v>7</v>
      </c>
      <c r="J20" s="77">
        <f t="shared" si="0"/>
        <v>7</v>
      </c>
      <c r="K20" s="77">
        <f t="shared" si="0"/>
        <v>7</v>
      </c>
      <c r="L20" s="77">
        <f t="shared" si="0"/>
        <v>7</v>
      </c>
      <c r="M20" s="77">
        <f t="shared" si="0"/>
        <v>7</v>
      </c>
      <c r="N20" s="78">
        <f>SUM(G20:M20)</f>
        <v>49</v>
      </c>
    </row>
    <row r="21" spans="1:14" ht="24.75" customHeight="1">
      <c r="A21" s="87" t="s">
        <v>68</v>
      </c>
      <c r="B21" s="28" t="s">
        <v>69</v>
      </c>
      <c r="C21" s="21" t="s">
        <v>181</v>
      </c>
      <c r="D21" s="23" t="s">
        <v>182</v>
      </c>
    </row>
    <row r="22" spans="1:14" ht="24.75" customHeight="1">
      <c r="A22" s="87" t="s">
        <v>71</v>
      </c>
      <c r="B22" s="28" t="s">
        <v>61</v>
      </c>
      <c r="C22" s="102" t="s">
        <v>183</v>
      </c>
      <c r="D22" s="23" t="s">
        <v>184</v>
      </c>
    </row>
    <row r="23" spans="1:14" ht="24.75" customHeight="1">
      <c r="A23" s="87" t="s">
        <v>73</v>
      </c>
      <c r="B23" s="28" t="s">
        <v>74</v>
      </c>
      <c r="C23" s="21" t="s">
        <v>185</v>
      </c>
      <c r="D23" s="23" t="s">
        <v>186</v>
      </c>
    </row>
    <row r="24" spans="1:14" ht="24.75" customHeight="1">
      <c r="A24" s="87" t="s">
        <v>124</v>
      </c>
      <c r="B24" s="28" t="s">
        <v>125</v>
      </c>
      <c r="C24" s="103" t="s">
        <v>187</v>
      </c>
      <c r="D24" s="23" t="s">
        <v>188</v>
      </c>
    </row>
    <row r="25" spans="1:14" ht="12.75" customHeight="1">
      <c r="A25" s="30"/>
      <c r="B25" s="31"/>
      <c r="C25" s="33"/>
      <c r="D25" s="32"/>
    </row>
    <row r="26" spans="1:14" ht="30" customHeight="1">
      <c r="A26" s="395" t="s">
        <v>189</v>
      </c>
      <c r="B26" s="395"/>
      <c r="C26" s="395"/>
      <c r="D26" s="395"/>
    </row>
    <row r="27" spans="1:14" ht="20.25" customHeight="1">
      <c r="A27" s="108" t="str">
        <f>_xlfn.TEXTJOIN(" ", TRUE, 'p3 DM'!B4,'p3 DM'!C4)</f>
        <v>Dee Kirst  282</v>
      </c>
      <c r="B27" s="108" t="str">
        <f>_xlfn.TEXTJOIN(" ", TRUE, 'p3 DM'!B13:C13)</f>
        <v>Barnell Tatum 11</v>
      </c>
      <c r="C27" s="108" t="str">
        <f>_xlfn.TEXTJOIN(" ", TRUE, 'p3 DM'!B22:C22)</f>
        <v>Loren Parfait 116</v>
      </c>
      <c r="D27" s="108" t="str">
        <f>_xlfn.TEXTJOIN(" ", TRUE, 'p3 DM'!B31:C31)</f>
        <v>Giovanni Morris 32</v>
      </c>
    </row>
    <row r="28" spans="1:14" ht="20.25" customHeight="1">
      <c r="A28" s="108" t="str">
        <f>_xlfn.TEXTJOIN(" ", TRUE, 'p3 DM'!B5,'p3 DM'!C5)</f>
        <v>Kenneth Elliot 1</v>
      </c>
      <c r="B28" s="108" t="str">
        <f>_xlfn.TEXTJOIN(" ", TRUE, 'p3 DM'!B14:C14)</f>
        <v>Sharwood Harrison 11</v>
      </c>
      <c r="C28" s="108" t="str">
        <f>_xlfn.TEXTJOIN(" ", TRUE, 'p3 DM'!B23:C23)</f>
        <v>Darrell Vaughn 870</v>
      </c>
      <c r="D28" s="108" t="str">
        <f>_xlfn.TEXTJOIN(" ", TRUE, 'p3 DM'!B32:C32)</f>
        <v>James Schuster 2</v>
      </c>
    </row>
    <row r="29" spans="1:14" ht="20.25" customHeight="1">
      <c r="A29" s="108" t="str">
        <f>_xlfn.TEXTJOIN(" ", TRUE, 'p3 DM'!B6,'p3 DM'!C6)</f>
        <v>Christian Broussrd  531</v>
      </c>
      <c r="B29" s="108" t="str">
        <f>_xlfn.TEXTJOIN(" ", TRUE, 'p3 DM'!B15:C15)</f>
        <v>Shawn Goodman 23</v>
      </c>
      <c r="C29" s="108" t="str">
        <f>_xlfn.TEXTJOIN(" ", TRUE, 'p3 DM'!B24:C24)</f>
        <v>Matthew McCarter 10</v>
      </c>
      <c r="D29" s="108" t="str">
        <f>_xlfn.TEXTJOIN(" ", TRUE, 'p3 DM'!B33:C33)</f>
        <v>Jason Thompson 4</v>
      </c>
    </row>
    <row r="30" spans="1:14" ht="20.25" customHeight="1">
      <c r="A30" s="108" t="str">
        <f>_xlfn.TEXTJOIN(" ", TRUE, 'p3 DM'!B7,'p3 DM'!C7)</f>
        <v>Desi White  832</v>
      </c>
      <c r="B30" s="108" t="str">
        <f>_xlfn.TEXTJOIN(" ", TRUE, 'p3 DM'!B16:C16)</f>
        <v>Jay Caston 3</v>
      </c>
      <c r="C30" s="108" t="str">
        <f>_xlfn.TEXTJOIN(" ", TRUE, 'p3 DM'!B25:C25)</f>
        <v>Thaij James 720</v>
      </c>
      <c r="D30" s="108" t="str">
        <f>_xlfn.TEXTJOIN(" ", TRUE, 'p3 DM'!B28:C28)</f>
        <v>Brandin Cormier 599</v>
      </c>
    </row>
    <row r="31" spans="1:14" ht="20.25" customHeight="1">
      <c r="A31" s="108" t="str">
        <f>_xlfn.TEXTJOIN(" ", TRUE, 'p3 DM'!B8,'p3 DM'!C8)</f>
        <v>Kirby Swan 843</v>
      </c>
      <c r="B31" s="108" t="str">
        <f>_xlfn.TEXTJOIN(" ", TRUE, 'p3 DM'!B17:C17)</f>
        <v>Mason Champagne 26</v>
      </c>
      <c r="C31" s="108" t="str">
        <f>_xlfn.TEXTJOIN(" ", TRUE, 'p3 DM'!B26:C26)</f>
        <v>Kerry Malveaux  280</v>
      </c>
      <c r="D31" s="108" t="str">
        <f>_xlfn.TEXTJOIN(" ", TRUE, 'p3 DM'!B21:C21)</f>
        <v>Dimitri Clark 8</v>
      </c>
    </row>
    <row r="32" spans="1:14" ht="20.25" customHeight="1">
      <c r="A32" s="108" t="str">
        <f>_xlfn.TEXTJOIN(" ", TRUE, 'p3 DM'!B9,'p3 DM'!C9)</f>
        <v>Clyde Williamson 717</v>
      </c>
      <c r="B32" s="108" t="str">
        <f>_xlfn.TEXTJOIN(" ", TRUE, 'p3 DM'!B18:C18)</f>
        <v>Devin Lepine 26</v>
      </c>
      <c r="C32" s="108" t="str">
        <f>_xlfn.TEXTJOIN(" ", TRUE, 'p3 DM'!B27:C27)</f>
        <v>Matthew Guillott 728</v>
      </c>
      <c r="D32" s="108" t="str">
        <f>_xlfn.TEXTJOIN(" ", TRUE, 'p3 DM'!B12,'p3 DM'!C12)</f>
        <v>Jamaryon Tatney 881</v>
      </c>
    </row>
    <row r="33" spans="1:4" ht="20.25" customHeight="1">
      <c r="A33" s="108" t="str">
        <f>_xlfn.TEXTJOIN(" ", TRUE, 'p3 DM'!B10,'p3 DM'!C10)</f>
        <v>Percy Jones 22</v>
      </c>
      <c r="B33" s="108" t="str">
        <f>_xlfn.TEXTJOIN(" ", TRUE, 'p3 DM'!B19:C19)</f>
        <v>Darrell Vaughn 870</v>
      </c>
      <c r="C33" s="108" t="str">
        <f>_xlfn.TEXTJOIN(" ", TRUE, 'p3 DM'!B29:C29)</f>
        <v>Ali Abdullahi 6</v>
      </c>
      <c r="D33" s="108" t="str">
        <f>_xlfn.TEXTJOIN(" ", TRUE, 'p3 DM'!B30:C30)</f>
        <v>Taylor Harris 2</v>
      </c>
    </row>
    <row r="34" spans="1:4" ht="20.25" customHeight="1">
      <c r="B34" s="108" t="str">
        <f>_xlfn.TEXTJOIN(" ", TRUE, 'p3 DM'!B20:C20)</f>
        <v>Cory Brathbury  12</v>
      </c>
      <c r="C34" s="108" t="str">
        <f>_xlfn.TEXTJOIN(" ", TRUE, 'p3 DM'!B11,'p3 DM'!C11)</f>
        <v>Carl Arnold 641</v>
      </c>
      <c r="D34" s="108" t="str">
        <f>_xlfn.TEXTJOIN(" ", TRUE, 'p3 DM'!B38:C38)</f>
        <v/>
      </c>
    </row>
  </sheetData>
  <mergeCells count="10">
    <mergeCell ref="A26:D26"/>
    <mergeCell ref="C6:D6"/>
    <mergeCell ref="A11:B11"/>
    <mergeCell ref="C7:D7"/>
    <mergeCell ref="C11:D11"/>
    <mergeCell ref="F6:N6"/>
    <mergeCell ref="G8:N8"/>
    <mergeCell ref="G13:N13"/>
    <mergeCell ref="G14:M14"/>
    <mergeCell ref="G9:M9"/>
  </mergeCells>
  <pageMargins left="0.2" right="0.2" top="0.25" bottom="0.2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opLeftCell="A8" zoomScale="75" zoomScaleNormal="75" workbookViewId="0">
      <selection activeCell="K16" sqref="K16"/>
    </sheetView>
  </sheetViews>
  <sheetFormatPr defaultRowHeight="14.45"/>
  <cols>
    <col min="1" max="1" width="3.5703125" customWidth="1"/>
    <col min="2" max="2" width="22.85546875" customWidth="1"/>
    <col min="3" max="3" width="21.140625" customWidth="1"/>
    <col min="4" max="4" width="16.42578125" customWidth="1"/>
    <col min="5" max="5" width="33.85546875" customWidth="1"/>
    <col min="6" max="6" width="30.28515625" customWidth="1"/>
    <col min="7" max="7" width="1.7109375" customWidth="1"/>
    <col min="8" max="8" width="6.28515625" customWidth="1"/>
    <col min="9" max="9" width="5.7109375" customWidth="1"/>
    <col min="10" max="10" width="3.7109375" customWidth="1"/>
    <col min="11" max="11" width="13.7109375" customWidth="1"/>
    <col min="12" max="12" width="5.7109375" customWidth="1"/>
    <col min="13" max="13" width="3.7109375" customWidth="1"/>
    <col min="14" max="14" width="13.7109375" customWidth="1"/>
    <col min="15" max="15" width="5.7109375" customWidth="1"/>
    <col min="16" max="16" width="3.7109375" customWidth="1"/>
    <col min="17" max="17" width="13.7109375" customWidth="1"/>
    <col min="18" max="18" width="5.7109375" customWidth="1"/>
  </cols>
  <sheetData>
    <row r="1" spans="1:8" ht="45.95">
      <c r="A1" s="390" t="s">
        <v>190</v>
      </c>
      <c r="B1" s="390"/>
      <c r="C1" s="390"/>
      <c r="D1" s="390"/>
      <c r="E1" s="390"/>
      <c r="F1" s="390"/>
    </row>
    <row r="2" spans="1:8" ht="9.75" customHeight="1">
      <c r="A2" s="42"/>
      <c r="B2" s="42"/>
      <c r="C2" s="42"/>
      <c r="D2" s="42"/>
      <c r="E2" s="42"/>
      <c r="F2" s="42"/>
    </row>
    <row r="3" spans="1:8" ht="50.25" customHeight="1">
      <c r="A3" s="43" t="s">
        <v>42</v>
      </c>
      <c r="B3" s="51" t="s">
        <v>43</v>
      </c>
      <c r="C3" s="51" t="s">
        <v>191</v>
      </c>
      <c r="D3" s="51" t="s">
        <v>192</v>
      </c>
      <c r="E3" s="51" t="s">
        <v>193</v>
      </c>
      <c r="F3" s="52" t="s">
        <v>194</v>
      </c>
      <c r="H3" s="109" t="s">
        <v>195</v>
      </c>
    </row>
    <row r="4" spans="1:8" ht="20.25" customHeight="1">
      <c r="A4" s="44">
        <v>1</v>
      </c>
      <c r="B4" s="45" t="s">
        <v>196</v>
      </c>
      <c r="C4" s="46">
        <v>282</v>
      </c>
      <c r="D4" s="46" t="s">
        <v>197</v>
      </c>
      <c r="E4" s="46" t="s">
        <v>198</v>
      </c>
      <c r="F4" s="46" t="s">
        <v>199</v>
      </c>
      <c r="H4" s="60" t="b">
        <v>1</v>
      </c>
    </row>
    <row r="5" spans="1:8" ht="20.25" customHeight="1">
      <c r="A5" s="44">
        <f>A4+1</f>
        <v>2</v>
      </c>
      <c r="B5" s="47" t="s">
        <v>200</v>
      </c>
      <c r="C5" s="84">
        <v>1</v>
      </c>
      <c r="D5" s="48" t="s">
        <v>197</v>
      </c>
      <c r="E5" s="48" t="s">
        <v>201</v>
      </c>
      <c r="F5" s="48" t="s">
        <v>202</v>
      </c>
      <c r="H5" s="60" t="b">
        <v>1</v>
      </c>
    </row>
    <row r="6" spans="1:8" ht="20.25" customHeight="1">
      <c r="A6" s="44">
        <f t="shared" ref="A6:A31" si="0">A5+1</f>
        <v>3</v>
      </c>
      <c r="B6" s="45" t="s">
        <v>203</v>
      </c>
      <c r="C6" s="46">
        <v>531</v>
      </c>
      <c r="D6" s="46" t="s">
        <v>197</v>
      </c>
      <c r="E6" s="46" t="s">
        <v>204</v>
      </c>
      <c r="F6" s="46" t="s">
        <v>199</v>
      </c>
      <c r="H6" s="60" t="b">
        <v>1</v>
      </c>
    </row>
    <row r="7" spans="1:8" ht="20.25" customHeight="1">
      <c r="A7" s="44">
        <f t="shared" si="0"/>
        <v>4</v>
      </c>
      <c r="B7" s="47" t="s">
        <v>205</v>
      </c>
      <c r="C7" s="48">
        <v>832</v>
      </c>
      <c r="D7" s="48" t="s">
        <v>206</v>
      </c>
      <c r="E7" s="48" t="s">
        <v>207</v>
      </c>
      <c r="F7" s="48" t="s">
        <v>199</v>
      </c>
      <c r="H7" s="60" t="b">
        <v>1</v>
      </c>
    </row>
    <row r="8" spans="1:8" ht="20.25" customHeight="1">
      <c r="A8" s="44">
        <f t="shared" si="0"/>
        <v>5</v>
      </c>
      <c r="B8" s="45" t="s">
        <v>126</v>
      </c>
      <c r="C8" s="46">
        <v>843</v>
      </c>
      <c r="D8" s="46" t="s">
        <v>206</v>
      </c>
      <c r="E8" s="46" t="s">
        <v>208</v>
      </c>
      <c r="F8" s="46" t="s">
        <v>209</v>
      </c>
      <c r="H8" s="60" t="b">
        <v>1</v>
      </c>
    </row>
    <row r="9" spans="1:8" ht="20.25" customHeight="1">
      <c r="A9" s="44">
        <f t="shared" si="0"/>
        <v>6</v>
      </c>
      <c r="B9" s="47" t="s">
        <v>210</v>
      </c>
      <c r="C9" s="48">
        <v>717</v>
      </c>
      <c r="D9" s="48" t="s">
        <v>206</v>
      </c>
      <c r="E9" s="48" t="s">
        <v>211</v>
      </c>
      <c r="F9" s="48" t="s">
        <v>209</v>
      </c>
      <c r="H9" s="60" t="b">
        <v>1</v>
      </c>
    </row>
    <row r="10" spans="1:8" ht="20.25" customHeight="1">
      <c r="A10" s="44">
        <f t="shared" si="0"/>
        <v>7</v>
      </c>
      <c r="B10" s="45" t="s">
        <v>212</v>
      </c>
      <c r="C10" s="46">
        <v>22</v>
      </c>
      <c r="D10" s="46" t="s">
        <v>206</v>
      </c>
      <c r="E10" s="46" t="s">
        <v>213</v>
      </c>
      <c r="F10" s="46" t="s">
        <v>209</v>
      </c>
      <c r="H10" s="60" t="b">
        <v>0</v>
      </c>
    </row>
    <row r="11" spans="1:8" ht="20.25" customHeight="1">
      <c r="A11" s="44">
        <f t="shared" si="0"/>
        <v>8</v>
      </c>
      <c r="B11" s="47" t="s">
        <v>214</v>
      </c>
      <c r="C11" s="48">
        <v>641</v>
      </c>
      <c r="D11" s="48" t="s">
        <v>215</v>
      </c>
      <c r="E11" s="48" t="s">
        <v>216</v>
      </c>
      <c r="F11" s="48" t="s">
        <v>217</v>
      </c>
      <c r="H11" s="60" t="b">
        <v>0</v>
      </c>
    </row>
    <row r="12" spans="1:8" ht="20.25" customHeight="1">
      <c r="A12" s="44">
        <f t="shared" si="0"/>
        <v>9</v>
      </c>
      <c r="B12" s="45" t="s">
        <v>218</v>
      </c>
      <c r="C12" s="46">
        <v>881</v>
      </c>
      <c r="D12" s="46" t="s">
        <v>219</v>
      </c>
      <c r="E12" s="46" t="s">
        <v>220</v>
      </c>
      <c r="F12" s="46" t="s">
        <v>209</v>
      </c>
      <c r="H12" s="60" t="b">
        <v>1</v>
      </c>
    </row>
    <row r="13" spans="1:8" ht="20.25" customHeight="1">
      <c r="A13" s="44">
        <f t="shared" si="0"/>
        <v>10</v>
      </c>
      <c r="B13" s="47" t="s">
        <v>221</v>
      </c>
      <c r="C13" s="48">
        <v>11</v>
      </c>
      <c r="D13" s="48" t="s">
        <v>206</v>
      </c>
      <c r="E13" s="48" t="s">
        <v>222</v>
      </c>
      <c r="F13" s="48" t="s">
        <v>223</v>
      </c>
      <c r="H13" s="60" t="b">
        <v>1</v>
      </c>
    </row>
    <row r="14" spans="1:8" ht="20.25" customHeight="1">
      <c r="A14" s="44">
        <f t="shared" si="0"/>
        <v>11</v>
      </c>
      <c r="B14" s="45" t="s">
        <v>224</v>
      </c>
      <c r="C14" s="46">
        <v>11</v>
      </c>
      <c r="D14" s="46" t="s">
        <v>215</v>
      </c>
      <c r="E14" s="46" t="s">
        <v>225</v>
      </c>
      <c r="F14" s="46" t="s">
        <v>223</v>
      </c>
      <c r="H14" s="60" t="b">
        <v>1</v>
      </c>
    </row>
    <row r="15" spans="1:8" ht="20.25" customHeight="1">
      <c r="A15" s="44">
        <f t="shared" si="0"/>
        <v>12</v>
      </c>
      <c r="B15" s="47" t="s">
        <v>226</v>
      </c>
      <c r="C15" s="48">
        <v>23</v>
      </c>
      <c r="D15" s="48" t="s">
        <v>206</v>
      </c>
      <c r="E15" s="48" t="s">
        <v>227</v>
      </c>
      <c r="F15" s="48" t="s">
        <v>223</v>
      </c>
      <c r="H15" s="60" t="b">
        <v>1</v>
      </c>
    </row>
    <row r="16" spans="1:8" ht="20.25" customHeight="1">
      <c r="A16" s="44">
        <f t="shared" si="0"/>
        <v>13</v>
      </c>
      <c r="B16" s="45" t="s">
        <v>228</v>
      </c>
      <c r="C16" s="46">
        <v>3</v>
      </c>
      <c r="D16" s="46" t="s">
        <v>206</v>
      </c>
      <c r="E16" s="46" t="s">
        <v>229</v>
      </c>
      <c r="F16" s="46" t="s">
        <v>223</v>
      </c>
      <c r="H16" s="60" t="b">
        <v>1</v>
      </c>
    </row>
    <row r="17" spans="1:8" ht="20.25" customHeight="1">
      <c r="A17" s="44">
        <f t="shared" si="0"/>
        <v>14</v>
      </c>
      <c r="B17" s="47" t="s">
        <v>107</v>
      </c>
      <c r="C17" s="49">
        <v>26</v>
      </c>
      <c r="D17" s="49" t="s">
        <v>206</v>
      </c>
      <c r="E17" s="48" t="s">
        <v>230</v>
      </c>
      <c r="F17" s="49" t="s">
        <v>223</v>
      </c>
      <c r="H17" s="60" t="b">
        <v>1</v>
      </c>
    </row>
    <row r="18" spans="1:8" ht="20.25" customHeight="1">
      <c r="A18" s="44">
        <f t="shared" si="0"/>
        <v>15</v>
      </c>
      <c r="B18" s="45" t="s">
        <v>231</v>
      </c>
      <c r="C18" s="50">
        <v>26</v>
      </c>
      <c r="D18" s="50" t="s">
        <v>215</v>
      </c>
      <c r="E18" s="46" t="s">
        <v>232</v>
      </c>
      <c r="F18" s="50" t="s">
        <v>223</v>
      </c>
      <c r="H18" s="60" t="b">
        <v>1</v>
      </c>
    </row>
    <row r="19" spans="1:8" ht="20.25" customHeight="1">
      <c r="A19" s="44">
        <f t="shared" si="0"/>
        <v>16</v>
      </c>
      <c r="B19" s="47" t="s">
        <v>233</v>
      </c>
      <c r="C19" s="49">
        <v>870</v>
      </c>
      <c r="D19" s="49" t="s">
        <v>206</v>
      </c>
      <c r="E19" s="48" t="s">
        <v>234</v>
      </c>
      <c r="F19" s="49" t="s">
        <v>235</v>
      </c>
      <c r="H19" s="60" t="b">
        <v>1</v>
      </c>
    </row>
    <row r="20" spans="1:8" ht="20.25" customHeight="1">
      <c r="A20" s="44">
        <f t="shared" si="0"/>
        <v>17</v>
      </c>
      <c r="B20" s="45" t="s">
        <v>236</v>
      </c>
      <c r="C20" s="50">
        <v>12</v>
      </c>
      <c r="D20" s="50" t="s">
        <v>206</v>
      </c>
      <c r="E20" s="59" t="s">
        <v>237</v>
      </c>
      <c r="F20" s="50" t="s">
        <v>235</v>
      </c>
      <c r="H20" s="60" t="b">
        <v>0</v>
      </c>
    </row>
    <row r="21" spans="1:8" ht="20.25" customHeight="1">
      <c r="A21" s="44">
        <f t="shared" si="0"/>
        <v>18</v>
      </c>
      <c r="B21" s="47" t="s">
        <v>238</v>
      </c>
      <c r="C21" s="49">
        <v>8</v>
      </c>
      <c r="D21" s="49" t="s">
        <v>206</v>
      </c>
      <c r="E21" s="48" t="s">
        <v>239</v>
      </c>
      <c r="F21" s="49" t="s">
        <v>235</v>
      </c>
      <c r="H21" s="60" t="b">
        <v>1</v>
      </c>
    </row>
    <row r="22" spans="1:8" ht="20.25" customHeight="1">
      <c r="A22" s="44">
        <f t="shared" si="0"/>
        <v>19</v>
      </c>
      <c r="B22" s="45" t="s">
        <v>131</v>
      </c>
      <c r="C22" s="50">
        <v>116</v>
      </c>
      <c r="D22" s="50" t="s">
        <v>206</v>
      </c>
      <c r="E22" s="46" t="s">
        <v>240</v>
      </c>
      <c r="F22" s="50" t="s">
        <v>235</v>
      </c>
      <c r="H22" s="60" t="b">
        <v>0</v>
      </c>
    </row>
    <row r="23" spans="1:8" ht="20.25" customHeight="1">
      <c r="A23" s="44">
        <f t="shared" si="0"/>
        <v>20</v>
      </c>
      <c r="B23" s="47" t="s">
        <v>233</v>
      </c>
      <c r="C23" s="49">
        <v>870</v>
      </c>
      <c r="D23" s="49" t="s">
        <v>206</v>
      </c>
      <c r="E23" s="48" t="s">
        <v>241</v>
      </c>
      <c r="F23" s="49" t="s">
        <v>235</v>
      </c>
      <c r="H23" s="60" t="b">
        <v>0</v>
      </c>
    </row>
    <row r="24" spans="1:8" ht="20.25" customHeight="1">
      <c r="A24" s="44">
        <f t="shared" si="0"/>
        <v>21</v>
      </c>
      <c r="B24" s="45" t="s">
        <v>242</v>
      </c>
      <c r="C24" s="50">
        <v>10</v>
      </c>
      <c r="D24" s="50" t="s">
        <v>206</v>
      </c>
      <c r="E24" s="46" t="s">
        <v>241</v>
      </c>
      <c r="F24" s="50" t="s">
        <v>235</v>
      </c>
      <c r="H24" s="60" t="b">
        <v>0</v>
      </c>
    </row>
    <row r="25" spans="1:8" ht="20.25" customHeight="1">
      <c r="A25" s="44">
        <f t="shared" si="0"/>
        <v>22</v>
      </c>
      <c r="B25" s="61" t="s">
        <v>243</v>
      </c>
      <c r="C25" s="48">
        <v>720</v>
      </c>
      <c r="D25" s="48" t="s">
        <v>244</v>
      </c>
      <c r="E25" s="48" t="s">
        <v>245</v>
      </c>
      <c r="F25" s="47" t="s">
        <v>246</v>
      </c>
      <c r="H25" s="60" t="b">
        <v>1</v>
      </c>
    </row>
    <row r="26" spans="1:8" ht="20.25" customHeight="1">
      <c r="A26" s="44">
        <f t="shared" si="0"/>
        <v>23</v>
      </c>
      <c r="B26" s="62" t="s">
        <v>247</v>
      </c>
      <c r="C26" s="46">
        <v>280</v>
      </c>
      <c r="D26" s="46" t="s">
        <v>206</v>
      </c>
      <c r="E26" s="46" t="s">
        <v>208</v>
      </c>
      <c r="F26" s="46" t="s">
        <v>248</v>
      </c>
      <c r="H26" s="60" t="b">
        <v>1</v>
      </c>
    </row>
    <row r="27" spans="1:8" ht="20.25" customHeight="1">
      <c r="A27" s="44">
        <f>A26+1</f>
        <v>24</v>
      </c>
      <c r="B27" s="61" t="s">
        <v>249</v>
      </c>
      <c r="C27" s="48">
        <v>728</v>
      </c>
      <c r="D27" s="48" t="s">
        <v>206</v>
      </c>
      <c r="E27" s="46" t="s">
        <v>87</v>
      </c>
      <c r="F27" s="48" t="s">
        <v>248</v>
      </c>
      <c r="H27" s="60" t="b">
        <v>1</v>
      </c>
    </row>
    <row r="28" spans="1:8" ht="20.25" customHeight="1">
      <c r="A28" s="44">
        <f t="shared" si="0"/>
        <v>25</v>
      </c>
      <c r="B28" s="62" t="s">
        <v>250</v>
      </c>
      <c r="C28" s="46">
        <v>599</v>
      </c>
      <c r="D28" s="46" t="s">
        <v>206</v>
      </c>
      <c r="E28" s="46" t="s">
        <v>251</v>
      </c>
      <c r="F28" s="46" t="s">
        <v>248</v>
      </c>
      <c r="H28" s="60" t="b">
        <v>1</v>
      </c>
    </row>
    <row r="29" spans="1:8" ht="20.25" customHeight="1">
      <c r="A29" s="44">
        <f t="shared" si="0"/>
        <v>26</v>
      </c>
      <c r="B29" s="63" t="s">
        <v>252</v>
      </c>
      <c r="C29" s="85">
        <v>6</v>
      </c>
      <c r="D29" s="49" t="s">
        <v>206</v>
      </c>
      <c r="E29" s="48" t="s">
        <v>253</v>
      </c>
      <c r="F29" s="48" t="s">
        <v>202</v>
      </c>
      <c r="H29" s="60" t="b">
        <v>1</v>
      </c>
    </row>
    <row r="30" spans="1:8" ht="20.25" customHeight="1">
      <c r="A30" s="44">
        <f t="shared" si="0"/>
        <v>27</v>
      </c>
      <c r="B30" s="45" t="s">
        <v>254</v>
      </c>
      <c r="C30" s="86">
        <v>2</v>
      </c>
      <c r="D30" s="50" t="s">
        <v>206</v>
      </c>
      <c r="E30" s="46" t="s">
        <v>255</v>
      </c>
      <c r="F30" s="46" t="s">
        <v>202</v>
      </c>
      <c r="H30" s="60" t="b">
        <v>1</v>
      </c>
    </row>
    <row r="31" spans="1:8" ht="20.25" customHeight="1">
      <c r="A31" s="44">
        <f t="shared" si="0"/>
        <v>28</v>
      </c>
      <c r="B31" s="47" t="s">
        <v>256</v>
      </c>
      <c r="C31" s="85">
        <v>32</v>
      </c>
      <c r="D31" s="49" t="s">
        <v>215</v>
      </c>
      <c r="E31" s="48" t="s">
        <v>257</v>
      </c>
      <c r="F31" s="48" t="s">
        <v>202</v>
      </c>
      <c r="H31" s="60" t="b">
        <v>1</v>
      </c>
    </row>
    <row r="32" spans="1:8" ht="20.25" customHeight="1">
      <c r="A32" s="44">
        <f t="shared" ref="A32:A33" si="1">A31+1</f>
        <v>29</v>
      </c>
      <c r="B32" s="45" t="s">
        <v>258</v>
      </c>
      <c r="C32" s="86">
        <v>2</v>
      </c>
      <c r="D32" s="50" t="s">
        <v>215</v>
      </c>
      <c r="E32" s="46" t="s">
        <v>259</v>
      </c>
      <c r="F32" s="46" t="s">
        <v>202</v>
      </c>
      <c r="H32" s="60" t="b">
        <v>1</v>
      </c>
    </row>
    <row r="33" spans="1:8" ht="20.25" customHeight="1">
      <c r="A33" s="44">
        <f t="shared" si="1"/>
        <v>30</v>
      </c>
      <c r="B33" s="45" t="s">
        <v>72</v>
      </c>
      <c r="C33" s="86">
        <v>4</v>
      </c>
      <c r="D33" s="50" t="s">
        <v>215</v>
      </c>
      <c r="E33" s="46" t="s">
        <v>260</v>
      </c>
      <c r="F33" s="46" t="s">
        <v>202</v>
      </c>
      <c r="H33" s="60" t="b">
        <v>1</v>
      </c>
    </row>
    <row r="34" spans="1:8" ht="29.1">
      <c r="A34" s="44">
        <f t="shared" ref="A34:A35" si="2">A33+1</f>
        <v>31</v>
      </c>
      <c r="B34" s="45" t="s">
        <v>261</v>
      </c>
      <c r="C34" s="50">
        <v>919</v>
      </c>
      <c r="D34" s="50" t="s">
        <v>206</v>
      </c>
      <c r="E34" s="59" t="s">
        <v>262</v>
      </c>
      <c r="F34" s="46" t="s">
        <v>263</v>
      </c>
      <c r="H34" s="60" t="b">
        <v>0</v>
      </c>
    </row>
    <row r="35" spans="1:8" ht="20.25" customHeight="1">
      <c r="A35" s="44">
        <f t="shared" si="2"/>
        <v>32</v>
      </c>
      <c r="B35" s="45" t="s">
        <v>264</v>
      </c>
      <c r="C35" s="50">
        <v>46</v>
      </c>
      <c r="D35" s="50" t="s">
        <v>206</v>
      </c>
      <c r="E35" s="46" t="s">
        <v>265</v>
      </c>
      <c r="F35" s="46" t="s">
        <v>263</v>
      </c>
      <c r="H35" s="60" t="b">
        <v>0</v>
      </c>
    </row>
    <row r="36" spans="1:8" ht="20.25" customHeight="1">
      <c r="A36" s="44">
        <v>33</v>
      </c>
      <c r="B36" s="45" t="s">
        <v>266</v>
      </c>
      <c r="C36" s="50">
        <v>847</v>
      </c>
      <c r="D36" s="50" t="s">
        <v>206</v>
      </c>
      <c r="E36" s="46" t="s">
        <v>267</v>
      </c>
      <c r="F36" s="46" t="s">
        <v>263</v>
      </c>
      <c r="H36" s="60" t="b">
        <v>0</v>
      </c>
    </row>
    <row r="37" spans="1:8">
      <c r="B37" s="40"/>
      <c r="C37" s="40"/>
      <c r="D37" s="41"/>
      <c r="E37" s="40"/>
      <c r="F37" s="40"/>
    </row>
    <row r="38" spans="1:8">
      <c r="B38" s="40"/>
      <c r="C38" s="40"/>
      <c r="D38" s="41"/>
      <c r="E38" s="40"/>
      <c r="F38" s="40"/>
    </row>
    <row r="39" spans="1:8">
      <c r="B39" s="40"/>
      <c r="C39" s="40"/>
      <c r="D39" s="41"/>
      <c r="E39" s="40"/>
      <c r="F39" s="40"/>
    </row>
    <row r="40" spans="1:8">
      <c r="B40" s="40"/>
      <c r="C40" s="40"/>
      <c r="D40" s="41"/>
      <c r="E40" s="40"/>
      <c r="F40" s="40"/>
    </row>
  </sheetData>
  <mergeCells count="1">
    <mergeCell ref="A1:F1"/>
  </mergeCells>
  <pageMargins left="0" right="0" top="0" bottom="0" header="0.3" footer="0.3"/>
  <pageSetup scale="77" orientation="landscape" horizontalDpi="0" verticalDpi="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E6E9-2F9C-4F09-B624-7CD1ADEB0111}">
  <dimension ref="A1:R52"/>
  <sheetViews>
    <sheetView topLeftCell="A6" workbookViewId="0">
      <selection activeCell="E8" sqref="E8:F8"/>
    </sheetView>
  </sheetViews>
  <sheetFormatPr defaultColWidth="9.140625" defaultRowHeight="15" customHeight="1"/>
  <cols>
    <col min="1" max="1" width="14.7109375" customWidth="1"/>
    <col min="2" max="2" width="8.28515625" customWidth="1"/>
    <col min="3" max="4" width="10.7109375" customWidth="1"/>
    <col min="5" max="8" width="15.7109375" customWidth="1"/>
  </cols>
  <sheetData>
    <row r="1" spans="1:18" ht="46.5" customHeight="1">
      <c r="A1" s="413" t="s">
        <v>268</v>
      </c>
      <c r="B1" s="413"/>
      <c r="C1" s="413"/>
      <c r="D1" s="413"/>
      <c r="E1" s="413"/>
      <c r="F1" s="413"/>
      <c r="G1" s="413"/>
      <c r="H1" s="413"/>
      <c r="I1" s="180"/>
      <c r="J1" s="180"/>
      <c r="K1" s="180"/>
      <c r="L1" s="180"/>
      <c r="M1" s="180"/>
      <c r="N1" s="180"/>
      <c r="O1" s="180"/>
      <c r="P1" s="180"/>
      <c r="Q1" s="180"/>
      <c r="R1" s="180"/>
    </row>
    <row r="2" spans="1:18" ht="21.75" customHeight="1">
      <c r="A2" s="415" t="s">
        <v>45</v>
      </c>
      <c r="B2" s="415"/>
      <c r="C2" s="416" t="s">
        <v>46</v>
      </c>
      <c r="D2" s="416"/>
      <c r="E2" s="417" t="s">
        <v>269</v>
      </c>
      <c r="F2" s="417"/>
      <c r="G2" s="417"/>
      <c r="H2" s="417"/>
      <c r="I2" s="180"/>
      <c r="J2" s="180"/>
      <c r="K2" s="180"/>
      <c r="L2" s="180"/>
      <c r="M2" s="180"/>
      <c r="N2" s="180"/>
      <c r="O2" s="180"/>
      <c r="P2" s="180"/>
      <c r="Q2" s="180"/>
      <c r="R2" s="180"/>
    </row>
    <row r="3" spans="1:18" ht="39.75" customHeight="1">
      <c r="A3" s="509" t="s">
        <v>270</v>
      </c>
      <c r="B3" s="510"/>
      <c r="C3" s="424" t="s">
        <v>97</v>
      </c>
      <c r="D3" s="425"/>
      <c r="E3" s="420" t="s">
        <v>271</v>
      </c>
      <c r="F3" s="421"/>
      <c r="G3" s="420" t="s">
        <v>272</v>
      </c>
      <c r="H3" s="422"/>
      <c r="I3" s="180"/>
      <c r="J3" s="423" t="s">
        <v>154</v>
      </c>
      <c r="K3" s="423"/>
      <c r="L3" s="423"/>
      <c r="M3" s="423"/>
      <c r="N3" s="423"/>
      <c r="O3" s="423"/>
      <c r="P3" s="423"/>
      <c r="Q3" s="423"/>
      <c r="R3" s="423"/>
    </row>
    <row r="4" spans="1:18" ht="39.75" customHeight="1">
      <c r="A4" s="509" t="s">
        <v>99</v>
      </c>
      <c r="B4" s="510"/>
      <c r="C4" s="418" t="s">
        <v>100</v>
      </c>
      <c r="D4" s="419"/>
      <c r="E4" s="420" t="s">
        <v>221</v>
      </c>
      <c r="F4" s="421"/>
      <c r="G4" s="420" t="s">
        <v>273</v>
      </c>
      <c r="H4" s="422"/>
      <c r="I4" s="180"/>
      <c r="J4" s="180"/>
      <c r="K4" s="180"/>
      <c r="L4" s="180"/>
      <c r="M4" s="180"/>
      <c r="N4" s="180"/>
      <c r="O4" s="180"/>
      <c r="P4" s="180"/>
      <c r="Q4" s="180"/>
      <c r="R4" s="180"/>
    </row>
    <row r="5" spans="1:18" ht="39.75" customHeight="1">
      <c r="A5" s="509" t="s">
        <v>103</v>
      </c>
      <c r="B5" s="510"/>
      <c r="C5" s="418" t="s">
        <v>100</v>
      </c>
      <c r="D5" s="419"/>
      <c r="E5" s="420" t="s">
        <v>107</v>
      </c>
      <c r="F5" s="421"/>
      <c r="G5" s="420" t="s">
        <v>108</v>
      </c>
      <c r="H5" s="422"/>
      <c r="I5" s="180"/>
      <c r="J5" s="180"/>
      <c r="K5" s="426" t="s">
        <v>274</v>
      </c>
      <c r="L5" s="426"/>
      <c r="M5" s="426"/>
      <c r="N5" s="426"/>
      <c r="O5" s="426"/>
      <c r="P5" s="426"/>
      <c r="Q5" s="426"/>
      <c r="R5" s="426"/>
    </row>
    <row r="6" spans="1:18" ht="39.75" customHeight="1">
      <c r="A6" s="509" t="s">
        <v>106</v>
      </c>
      <c r="B6" s="510"/>
      <c r="C6" s="418" t="s">
        <v>100</v>
      </c>
      <c r="D6" s="419"/>
      <c r="E6" s="420" t="s">
        <v>275</v>
      </c>
      <c r="F6" s="421"/>
      <c r="G6" s="420" t="s">
        <v>276</v>
      </c>
      <c r="H6" s="422"/>
      <c r="I6" s="180"/>
      <c r="J6" s="180"/>
      <c r="K6" s="511" t="s">
        <v>159</v>
      </c>
      <c r="L6" s="512"/>
      <c r="M6" s="512"/>
      <c r="N6" s="512"/>
      <c r="O6" s="512"/>
      <c r="P6" s="512"/>
      <c r="Q6" s="512"/>
      <c r="R6" s="180"/>
    </row>
    <row r="7" spans="1:18" ht="15" customHeight="1">
      <c r="A7" s="513"/>
      <c r="B7" s="514"/>
      <c r="C7" s="514"/>
      <c r="D7" s="514"/>
      <c r="E7" s="515"/>
      <c r="F7" s="516"/>
      <c r="G7" s="516"/>
      <c r="H7" s="517"/>
      <c r="I7" s="180"/>
      <c r="J7" s="180"/>
      <c r="K7" s="183" t="s">
        <v>12</v>
      </c>
      <c r="L7" s="184" t="s">
        <v>13</v>
      </c>
      <c r="M7" s="184" t="s">
        <v>14</v>
      </c>
      <c r="N7" s="184" t="s">
        <v>15</v>
      </c>
      <c r="O7" s="184" t="s">
        <v>16</v>
      </c>
      <c r="P7" s="184" t="s">
        <v>17</v>
      </c>
      <c r="Q7" s="185" t="s">
        <v>18</v>
      </c>
      <c r="R7" s="180"/>
    </row>
    <row r="8" spans="1:18" ht="39.75" customHeight="1">
      <c r="A8" s="506" t="s">
        <v>128</v>
      </c>
      <c r="B8" s="518"/>
      <c r="C8" s="427" t="s">
        <v>77</v>
      </c>
      <c r="D8" s="428"/>
      <c r="E8" s="429" t="s">
        <v>161</v>
      </c>
      <c r="F8" s="430"/>
      <c r="G8" s="431" t="s">
        <v>277</v>
      </c>
      <c r="H8" s="432"/>
      <c r="I8" s="180"/>
      <c r="J8" s="180"/>
      <c r="K8" s="216">
        <v>4</v>
      </c>
      <c r="L8" s="217">
        <v>5</v>
      </c>
      <c r="M8" s="217">
        <v>2</v>
      </c>
      <c r="N8" s="217">
        <v>0</v>
      </c>
      <c r="O8" s="217">
        <v>5</v>
      </c>
      <c r="P8" s="217">
        <v>6</v>
      </c>
      <c r="Q8" s="218">
        <v>5</v>
      </c>
      <c r="R8" s="180">
        <v>26</v>
      </c>
    </row>
    <row r="9" spans="1:18" ht="39.75" customHeight="1">
      <c r="A9" s="506" t="s">
        <v>78</v>
      </c>
      <c r="B9" s="518"/>
      <c r="C9" s="427" t="s">
        <v>79</v>
      </c>
      <c r="D9" s="428"/>
      <c r="E9" s="433" t="s">
        <v>161</v>
      </c>
      <c r="F9" s="434"/>
      <c r="G9" s="420" t="s">
        <v>278</v>
      </c>
      <c r="H9" s="422"/>
      <c r="I9" s="180"/>
      <c r="J9" s="180"/>
      <c r="K9" s="180"/>
      <c r="L9" s="180"/>
      <c r="M9" s="180"/>
      <c r="N9" s="180"/>
      <c r="O9" s="180"/>
      <c r="P9" s="180"/>
      <c r="Q9" s="180"/>
      <c r="R9" s="180"/>
    </row>
    <row r="10" spans="1:18" ht="39.75" customHeight="1">
      <c r="A10" s="506" t="s">
        <v>80</v>
      </c>
      <c r="B10" s="518"/>
      <c r="C10" s="427" t="s">
        <v>77</v>
      </c>
      <c r="D10" s="428"/>
      <c r="E10" s="433" t="s">
        <v>279</v>
      </c>
      <c r="F10" s="434"/>
      <c r="G10" s="420" t="s">
        <v>280</v>
      </c>
      <c r="H10" s="422"/>
      <c r="I10" s="180"/>
      <c r="J10" s="180"/>
      <c r="K10" s="435" t="s">
        <v>164</v>
      </c>
      <c r="L10" s="435"/>
      <c r="M10" s="435"/>
      <c r="N10" s="435"/>
      <c r="O10" s="435"/>
      <c r="P10" s="435"/>
      <c r="Q10" s="435"/>
      <c r="R10" s="435"/>
    </row>
    <row r="11" spans="1:18" ht="39.75" customHeight="1">
      <c r="A11" s="506" t="s">
        <v>81</v>
      </c>
      <c r="B11" s="518"/>
      <c r="C11" s="427" t="s">
        <v>82</v>
      </c>
      <c r="D11" s="428"/>
      <c r="E11" s="433" t="s">
        <v>161</v>
      </c>
      <c r="F11" s="434"/>
      <c r="G11" s="420" t="s">
        <v>281</v>
      </c>
      <c r="H11" s="422"/>
      <c r="I11" s="180"/>
      <c r="J11" s="180"/>
      <c r="K11" s="519" t="s">
        <v>166</v>
      </c>
      <c r="L11" s="520"/>
      <c r="M11" s="520"/>
      <c r="N11" s="520"/>
      <c r="O11" s="520"/>
      <c r="P11" s="520"/>
      <c r="Q11" s="520"/>
      <c r="R11" s="180"/>
    </row>
    <row r="12" spans="1:18" ht="15" customHeight="1">
      <c r="A12" s="521"/>
      <c r="B12" s="521"/>
      <c r="C12" s="436"/>
      <c r="D12" s="437"/>
      <c r="E12" s="438" t="s">
        <v>168</v>
      </c>
      <c r="F12" s="439"/>
      <c r="G12" s="440" t="s">
        <v>160</v>
      </c>
      <c r="H12" s="441"/>
      <c r="I12" s="180"/>
      <c r="J12" s="180"/>
      <c r="K12" s="187" t="s">
        <v>12</v>
      </c>
      <c r="L12" s="188" t="s">
        <v>13</v>
      </c>
      <c r="M12" s="189" t="s">
        <v>14</v>
      </c>
      <c r="N12" s="190" t="s">
        <v>15</v>
      </c>
      <c r="O12" s="191" t="s">
        <v>16</v>
      </c>
      <c r="P12" s="192" t="s">
        <v>17</v>
      </c>
      <c r="Q12" s="193" t="s">
        <v>18</v>
      </c>
      <c r="R12" s="194"/>
    </row>
    <row r="13" spans="1:18" ht="39.75" customHeight="1">
      <c r="A13" s="506" t="s">
        <v>52</v>
      </c>
      <c r="B13" s="518"/>
      <c r="C13" s="442" t="s">
        <v>53</v>
      </c>
      <c r="D13" s="443"/>
      <c r="E13" s="204" t="s">
        <v>282</v>
      </c>
      <c r="F13" s="200" t="s">
        <v>283</v>
      </c>
      <c r="G13" s="205" t="s">
        <v>161</v>
      </c>
      <c r="H13" s="203" t="s">
        <v>284</v>
      </c>
      <c r="I13" s="180"/>
      <c r="J13" s="180"/>
      <c r="K13" s="213">
        <v>3</v>
      </c>
      <c r="L13" s="214">
        <v>2</v>
      </c>
      <c r="M13" s="214">
        <v>5</v>
      </c>
      <c r="N13" s="214">
        <v>8</v>
      </c>
      <c r="O13" s="214">
        <v>2</v>
      </c>
      <c r="P13" s="214">
        <v>1</v>
      </c>
      <c r="Q13" s="215">
        <v>2</v>
      </c>
      <c r="R13" s="180">
        <v>24</v>
      </c>
    </row>
    <row r="14" spans="1:18" ht="39.75" customHeight="1">
      <c r="A14" s="506" t="s">
        <v>55</v>
      </c>
      <c r="B14" s="518"/>
      <c r="C14" s="442" t="s">
        <v>56</v>
      </c>
      <c r="D14" s="443"/>
      <c r="E14" s="204" t="s">
        <v>285</v>
      </c>
      <c r="F14" s="200" t="s">
        <v>286</v>
      </c>
      <c r="G14" s="204" t="s">
        <v>287</v>
      </c>
      <c r="H14" s="201" t="s">
        <v>288</v>
      </c>
      <c r="I14" s="180"/>
      <c r="J14" s="180"/>
      <c r="K14" s="180"/>
      <c r="L14" s="180"/>
      <c r="M14" s="180"/>
      <c r="N14" s="180"/>
      <c r="O14" s="180"/>
      <c r="P14" s="180"/>
      <c r="Q14" s="180"/>
      <c r="R14" s="195"/>
    </row>
    <row r="15" spans="1:18" ht="39.75" customHeight="1">
      <c r="A15" s="506" t="s">
        <v>57</v>
      </c>
      <c r="B15" s="518"/>
      <c r="C15" s="442" t="s">
        <v>176</v>
      </c>
      <c r="D15" s="443"/>
      <c r="E15" s="204" t="s">
        <v>282</v>
      </c>
      <c r="F15" s="200" t="s">
        <v>289</v>
      </c>
      <c r="G15" s="204" t="s">
        <v>290</v>
      </c>
      <c r="H15" s="201" t="s">
        <v>291</v>
      </c>
      <c r="I15" s="180"/>
      <c r="J15" s="180"/>
      <c r="K15" s="180" t="s">
        <v>173</v>
      </c>
      <c r="L15" s="180" t="s">
        <v>174</v>
      </c>
      <c r="M15" s="180" t="s">
        <v>175</v>
      </c>
      <c r="N15" s="180" t="s">
        <v>263</v>
      </c>
      <c r="O15" s="180" t="s">
        <v>292</v>
      </c>
      <c r="P15" s="180" t="s">
        <v>293</v>
      </c>
      <c r="Q15" s="180" t="s">
        <v>294</v>
      </c>
      <c r="R15" s="180"/>
    </row>
    <row r="16" spans="1:18" ht="39.75" customHeight="1">
      <c r="A16" s="506" t="s">
        <v>60</v>
      </c>
      <c r="B16" s="518"/>
      <c r="C16" s="442" t="s">
        <v>61</v>
      </c>
      <c r="D16" s="443"/>
      <c r="E16" s="204" t="s">
        <v>295</v>
      </c>
      <c r="F16" s="200" t="s">
        <v>296</v>
      </c>
      <c r="G16" s="204" t="s">
        <v>221</v>
      </c>
      <c r="H16" s="201" t="s">
        <v>297</v>
      </c>
      <c r="I16" s="180"/>
      <c r="J16" s="180"/>
      <c r="K16" s="196" t="s">
        <v>12</v>
      </c>
      <c r="L16" s="197" t="s">
        <v>13</v>
      </c>
      <c r="M16" s="197" t="s">
        <v>14</v>
      </c>
      <c r="N16" s="197" t="s">
        <v>15</v>
      </c>
      <c r="O16" s="208" t="s">
        <v>16</v>
      </c>
      <c r="P16" s="208" t="s">
        <v>17</v>
      </c>
      <c r="Q16" s="208" t="s">
        <v>18</v>
      </c>
      <c r="R16" s="209" t="s">
        <v>179</v>
      </c>
    </row>
    <row r="17" spans="1:18" ht="39.75" customHeight="1">
      <c r="A17" s="506" t="s">
        <v>65</v>
      </c>
      <c r="B17" s="518"/>
      <c r="C17" s="442" t="s">
        <v>66</v>
      </c>
      <c r="D17" s="443"/>
      <c r="E17" s="204" t="s">
        <v>298</v>
      </c>
      <c r="F17" s="200" t="s">
        <v>299</v>
      </c>
      <c r="G17" s="206"/>
      <c r="H17" s="202"/>
      <c r="I17" s="180"/>
      <c r="J17" s="180"/>
      <c r="K17" s="210">
        <v>7</v>
      </c>
      <c r="L17" s="211">
        <v>7</v>
      </c>
      <c r="M17" s="211">
        <v>7</v>
      </c>
      <c r="N17" s="211">
        <v>8</v>
      </c>
      <c r="O17" s="211">
        <v>7</v>
      </c>
      <c r="P17" s="211">
        <v>7</v>
      </c>
      <c r="Q17" s="211">
        <v>7</v>
      </c>
      <c r="R17" s="212">
        <v>50</v>
      </c>
    </row>
    <row r="18" spans="1:18" ht="39.75" customHeight="1">
      <c r="A18" s="506" t="s">
        <v>68</v>
      </c>
      <c r="B18" s="518"/>
      <c r="C18" s="442" t="s">
        <v>69</v>
      </c>
      <c r="D18" s="443"/>
      <c r="E18" s="204" t="s">
        <v>214</v>
      </c>
      <c r="F18" s="200" t="s">
        <v>300</v>
      </c>
      <c r="G18" s="204" t="s">
        <v>221</v>
      </c>
      <c r="H18" s="201" t="s">
        <v>301</v>
      </c>
      <c r="I18" s="180"/>
      <c r="J18" s="180"/>
      <c r="K18" s="180"/>
      <c r="L18" s="180"/>
      <c r="M18" s="180"/>
      <c r="N18" s="180"/>
      <c r="O18" s="180"/>
      <c r="P18" s="180"/>
      <c r="Q18" s="180"/>
      <c r="R18" s="180"/>
    </row>
    <row r="19" spans="1:18" ht="39.75" customHeight="1">
      <c r="A19" s="506" t="s">
        <v>71</v>
      </c>
      <c r="B19" s="518"/>
      <c r="C19" s="442" t="s">
        <v>61</v>
      </c>
      <c r="D19" s="443"/>
      <c r="E19" s="204" t="s">
        <v>302</v>
      </c>
      <c r="F19" s="200" t="s">
        <v>303</v>
      </c>
      <c r="G19" s="204" t="s">
        <v>221</v>
      </c>
      <c r="H19" s="201" t="s">
        <v>304</v>
      </c>
      <c r="I19" s="180"/>
      <c r="J19" s="180"/>
      <c r="K19" s="180"/>
      <c r="L19" s="180"/>
      <c r="M19" s="180"/>
      <c r="N19" s="180"/>
      <c r="O19" s="180"/>
      <c r="P19" s="180"/>
      <c r="Q19" s="180"/>
      <c r="R19" s="180"/>
    </row>
    <row r="20" spans="1:18" ht="39.75" customHeight="1">
      <c r="A20" s="506" t="s">
        <v>73</v>
      </c>
      <c r="B20" s="518"/>
      <c r="C20" s="442" t="s">
        <v>74</v>
      </c>
      <c r="D20" s="443"/>
      <c r="E20" s="204" t="s">
        <v>305</v>
      </c>
      <c r="F20" s="200" t="s">
        <v>306</v>
      </c>
      <c r="G20" s="207" t="s">
        <v>214</v>
      </c>
      <c r="H20" s="201" t="s">
        <v>307</v>
      </c>
      <c r="I20" s="180"/>
      <c r="J20" s="180"/>
      <c r="K20" s="180"/>
      <c r="L20" s="180"/>
      <c r="M20" s="180"/>
      <c r="N20" s="180"/>
      <c r="O20" s="180"/>
      <c r="P20" s="180"/>
      <c r="Q20" s="180"/>
      <c r="R20" s="180"/>
    </row>
    <row r="21" spans="1:18" ht="39.75" customHeight="1">
      <c r="A21" s="506" t="s">
        <v>124</v>
      </c>
      <c r="B21" s="518"/>
      <c r="C21" s="442" t="s">
        <v>125</v>
      </c>
      <c r="D21" s="443"/>
      <c r="E21" s="198"/>
      <c r="F21" s="198"/>
      <c r="G21" s="204" t="s">
        <v>290</v>
      </c>
      <c r="H21" s="201" t="s">
        <v>308</v>
      </c>
      <c r="I21" s="180"/>
      <c r="J21" s="180"/>
      <c r="K21" s="180"/>
      <c r="L21" s="180"/>
      <c r="M21" s="180"/>
      <c r="N21" s="180"/>
      <c r="O21" s="180"/>
      <c r="P21" s="180"/>
      <c r="Q21" s="180"/>
      <c r="R21" s="180"/>
    </row>
    <row r="22" spans="1:18" ht="9" customHeight="1">
      <c r="A22" s="199"/>
      <c r="B22" s="199"/>
      <c r="C22" s="199"/>
      <c r="D22" s="182"/>
      <c r="E22" s="186"/>
      <c r="F22" s="186"/>
      <c r="G22" s="186"/>
      <c r="H22" s="181"/>
      <c r="I22" s="180"/>
      <c r="J22" s="180"/>
      <c r="K22" s="180"/>
      <c r="L22" s="180"/>
      <c r="M22" s="180"/>
      <c r="N22" s="180"/>
      <c r="O22" s="180"/>
      <c r="P22" s="180"/>
      <c r="Q22" s="180"/>
      <c r="R22" s="180"/>
    </row>
    <row r="23" spans="1:18" ht="24" customHeight="1">
      <c r="A23" s="444" t="s">
        <v>136</v>
      </c>
      <c r="B23" s="444"/>
      <c r="C23" s="444"/>
      <c r="D23" s="444"/>
      <c r="E23" s="444"/>
      <c r="F23" s="444"/>
      <c r="G23" s="444"/>
      <c r="H23" s="444"/>
      <c r="I23" s="180"/>
      <c r="J23" s="180"/>
      <c r="K23" s="180"/>
      <c r="L23" s="180"/>
      <c r="N23" s="180"/>
      <c r="O23" s="180"/>
      <c r="P23" s="180"/>
      <c r="Q23" s="180"/>
      <c r="R23" s="180"/>
    </row>
    <row r="24" spans="1:18" ht="6.75" customHeight="1">
      <c r="M24" s="40"/>
    </row>
    <row r="25" spans="1:18" ht="17.25" customHeight="1">
      <c r="A25" s="414" t="s">
        <v>309</v>
      </c>
      <c r="B25" s="414"/>
      <c r="C25" s="219"/>
      <c r="D25" s="414" t="s">
        <v>226</v>
      </c>
      <c r="E25" s="414"/>
      <c r="F25" s="219"/>
      <c r="G25" s="414" t="s">
        <v>310</v>
      </c>
      <c r="H25" s="414"/>
      <c r="M25" s="40"/>
    </row>
    <row r="26" spans="1:18" ht="17.25" customHeight="1">
      <c r="A26" s="414" t="s">
        <v>311</v>
      </c>
      <c r="B26" s="414"/>
      <c r="C26" s="219"/>
      <c r="D26" s="414" t="s">
        <v>312</v>
      </c>
      <c r="E26" s="414"/>
      <c r="F26" s="219"/>
      <c r="G26" s="414" t="s">
        <v>313</v>
      </c>
      <c r="H26" s="414"/>
      <c r="M26" s="40"/>
    </row>
    <row r="27" spans="1:18" ht="17.25" customHeight="1">
      <c r="A27" s="414" t="s">
        <v>314</v>
      </c>
      <c r="B27" s="414"/>
      <c r="C27" s="219"/>
      <c r="D27" s="414" t="s">
        <v>271</v>
      </c>
      <c r="E27" s="414"/>
      <c r="F27" s="219"/>
      <c r="G27" s="414" t="s">
        <v>62</v>
      </c>
      <c r="H27" s="414"/>
      <c r="M27" s="40"/>
    </row>
    <row r="28" spans="1:18" ht="17.25" customHeight="1">
      <c r="A28" s="414" t="s">
        <v>315</v>
      </c>
      <c r="B28" s="414"/>
      <c r="C28" s="219"/>
      <c r="D28" s="414" t="s">
        <v>316</v>
      </c>
      <c r="E28" s="414"/>
      <c r="F28" s="219"/>
      <c r="G28" s="414" t="s">
        <v>233</v>
      </c>
      <c r="H28" s="414"/>
      <c r="M28" s="40"/>
    </row>
    <row r="29" spans="1:18" ht="17.25" customHeight="1">
      <c r="A29" s="414" t="s">
        <v>317</v>
      </c>
      <c r="B29" s="414"/>
      <c r="C29" s="219"/>
      <c r="D29" s="414" t="s">
        <v>252</v>
      </c>
      <c r="E29" s="414"/>
      <c r="F29" s="219"/>
      <c r="G29" s="414" t="s">
        <v>287</v>
      </c>
      <c r="H29" s="414"/>
      <c r="M29" s="40"/>
    </row>
    <row r="30" spans="1:18" ht="17.25" customHeight="1">
      <c r="A30" s="414" t="s">
        <v>318</v>
      </c>
      <c r="B30" s="414"/>
      <c r="C30" s="219"/>
      <c r="D30" s="414" t="s">
        <v>319</v>
      </c>
      <c r="E30" s="414"/>
      <c r="F30" s="219"/>
      <c r="G30" s="414" t="s">
        <v>242</v>
      </c>
      <c r="H30" s="414"/>
      <c r="M30" s="40"/>
    </row>
    <row r="31" spans="1:18" ht="17.25" customHeight="1">
      <c r="A31" s="414" t="s">
        <v>320</v>
      </c>
      <c r="B31" s="414"/>
      <c r="C31" s="219"/>
      <c r="D31" s="414" t="s">
        <v>256</v>
      </c>
      <c r="E31" s="414"/>
      <c r="F31" s="219"/>
      <c r="G31" s="414" t="s">
        <v>321</v>
      </c>
      <c r="H31" s="414"/>
      <c r="M31" s="40"/>
    </row>
    <row r="32" spans="1:18" ht="17.25" customHeight="1">
      <c r="A32" s="414" t="s">
        <v>322</v>
      </c>
      <c r="B32" s="414"/>
      <c r="C32" s="219"/>
      <c r="D32" s="414" t="s">
        <v>323</v>
      </c>
      <c r="E32" s="414"/>
      <c r="F32" s="219"/>
      <c r="G32" s="414" t="s">
        <v>324</v>
      </c>
      <c r="H32" s="414"/>
      <c r="M32" s="40"/>
    </row>
    <row r="33" spans="1:13" ht="17.25" customHeight="1">
      <c r="A33" s="414" t="s">
        <v>325</v>
      </c>
      <c r="B33" s="414"/>
      <c r="C33" s="219"/>
      <c r="D33" s="414" t="s">
        <v>326</v>
      </c>
      <c r="E33" s="414"/>
      <c r="F33" s="219"/>
      <c r="G33" s="414" t="s">
        <v>327</v>
      </c>
      <c r="H33" s="414"/>
      <c r="M33" s="40"/>
    </row>
    <row r="34" spans="1:13" ht="17.25" customHeight="1">
      <c r="A34" s="414" t="s">
        <v>328</v>
      </c>
      <c r="B34" s="414"/>
      <c r="C34" s="219"/>
      <c r="D34" s="414" t="s">
        <v>329</v>
      </c>
      <c r="E34" s="414"/>
      <c r="F34" s="219"/>
      <c r="G34" s="414"/>
      <c r="H34" s="414"/>
      <c r="M34" s="40"/>
    </row>
    <row r="35" spans="1:13">
      <c r="M35" s="40"/>
    </row>
    <row r="36" spans="1:13">
      <c r="M36" s="40"/>
    </row>
    <row r="37" spans="1:13">
      <c r="M37" s="40"/>
    </row>
    <row r="38" spans="1:13">
      <c r="M38" s="40"/>
    </row>
    <row r="39" spans="1:13">
      <c r="M39" s="40"/>
    </row>
    <row r="40" spans="1:13">
      <c r="M40" s="40"/>
    </row>
    <row r="41" spans="1:13">
      <c r="M41" s="40"/>
    </row>
    <row r="42" spans="1:13">
      <c r="M42" s="40"/>
    </row>
    <row r="43" spans="1:13">
      <c r="M43" s="40"/>
    </row>
    <row r="44" spans="1:13">
      <c r="M44" s="40"/>
    </row>
    <row r="45" spans="1:13">
      <c r="M45" s="40"/>
    </row>
    <row r="46" spans="1:13">
      <c r="M46" s="40"/>
    </row>
    <row r="47" spans="1:13">
      <c r="M47" s="40"/>
    </row>
    <row r="48" spans="1:13">
      <c r="M48" s="40"/>
    </row>
    <row r="49" spans="13:13">
      <c r="M49" s="40"/>
    </row>
    <row r="50" spans="13:13">
      <c r="M50" s="40"/>
    </row>
    <row r="51" spans="13:13">
      <c r="M51" s="40"/>
    </row>
    <row r="52" spans="13:13">
      <c r="M52" s="40"/>
    </row>
  </sheetData>
  <mergeCells count="96">
    <mergeCell ref="A20:B20"/>
    <mergeCell ref="C20:D20"/>
    <mergeCell ref="A21:B21"/>
    <mergeCell ref="C21:D21"/>
    <mergeCell ref="A23:H23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2:B12"/>
    <mergeCell ref="C12:D12"/>
    <mergeCell ref="E12:F12"/>
    <mergeCell ref="G12:H12"/>
    <mergeCell ref="A13:B13"/>
    <mergeCell ref="C13:D13"/>
    <mergeCell ref="A10:B10"/>
    <mergeCell ref="C10:D10"/>
    <mergeCell ref="E10:F10"/>
    <mergeCell ref="G10:H10"/>
    <mergeCell ref="K10:R10"/>
    <mergeCell ref="A11:B11"/>
    <mergeCell ref="C11:D11"/>
    <mergeCell ref="E11:F11"/>
    <mergeCell ref="G11:H11"/>
    <mergeCell ref="K11:Q11"/>
    <mergeCell ref="A8:B8"/>
    <mergeCell ref="C8:D8"/>
    <mergeCell ref="E8:F8"/>
    <mergeCell ref="G8:H8"/>
    <mergeCell ref="A9:B9"/>
    <mergeCell ref="C9:D9"/>
    <mergeCell ref="E9:F9"/>
    <mergeCell ref="G9:H9"/>
    <mergeCell ref="K5:R5"/>
    <mergeCell ref="A6:B6"/>
    <mergeCell ref="C6:D6"/>
    <mergeCell ref="E6:F6"/>
    <mergeCell ref="G6:H6"/>
    <mergeCell ref="K6:Q6"/>
    <mergeCell ref="J3:R3"/>
    <mergeCell ref="A4:B4"/>
    <mergeCell ref="C4:D4"/>
    <mergeCell ref="E4:F4"/>
    <mergeCell ref="G4:H4"/>
    <mergeCell ref="C3:D3"/>
    <mergeCell ref="E3:F3"/>
    <mergeCell ref="G3:H3"/>
    <mergeCell ref="E2:H2"/>
    <mergeCell ref="A7:D7"/>
    <mergeCell ref="E7:H7"/>
    <mergeCell ref="A5:B5"/>
    <mergeCell ref="C5:D5"/>
    <mergeCell ref="E5:F5"/>
    <mergeCell ref="G5:H5"/>
    <mergeCell ref="A34:B34"/>
    <mergeCell ref="A25:B25"/>
    <mergeCell ref="A26:B26"/>
    <mergeCell ref="A27:B27"/>
    <mergeCell ref="A28:B28"/>
    <mergeCell ref="A29:B29"/>
    <mergeCell ref="D34:E34"/>
    <mergeCell ref="D25:E25"/>
    <mergeCell ref="D26:E26"/>
    <mergeCell ref="D27:E27"/>
    <mergeCell ref="D28:E28"/>
    <mergeCell ref="D29:E29"/>
    <mergeCell ref="G34:H34"/>
    <mergeCell ref="G25:H25"/>
    <mergeCell ref="G26:H26"/>
    <mergeCell ref="G27:H27"/>
    <mergeCell ref="G28:H28"/>
    <mergeCell ref="G29:H29"/>
    <mergeCell ref="A1:H1"/>
    <mergeCell ref="G30:H30"/>
    <mergeCell ref="G31:H31"/>
    <mergeCell ref="G32:H32"/>
    <mergeCell ref="G33:H33"/>
    <mergeCell ref="D30:E30"/>
    <mergeCell ref="D31:E31"/>
    <mergeCell ref="D32:E32"/>
    <mergeCell ref="D33:E33"/>
    <mergeCell ref="A30:B30"/>
    <mergeCell ref="A31:B31"/>
    <mergeCell ref="A32:B32"/>
    <mergeCell ref="A33:B33"/>
    <mergeCell ref="A2:B2"/>
    <mergeCell ref="C2:D2"/>
    <mergeCell ref="A3:B3"/>
  </mergeCells>
  <pageMargins left="0.25" right="0.25" top="0.75" bottom="0.75" header="0.3" footer="0.3"/>
  <pageSetup scale="65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0BAA-0B2F-461B-9143-77F4998989CD}">
  <sheetPr>
    <pageSetUpPr fitToPage="1"/>
  </sheetPr>
  <dimension ref="A1:H40"/>
  <sheetViews>
    <sheetView topLeftCell="A2" zoomScale="75" zoomScaleNormal="75" workbookViewId="0">
      <selection activeCell="L14" sqref="L14"/>
    </sheetView>
  </sheetViews>
  <sheetFormatPr defaultRowHeight="14.45"/>
  <cols>
    <col min="1" max="1" width="3.5703125" customWidth="1"/>
    <col min="2" max="2" width="22.85546875" customWidth="1"/>
    <col min="3" max="3" width="21.140625" customWidth="1"/>
    <col min="4" max="4" width="16.42578125" customWidth="1"/>
    <col min="5" max="5" width="42.42578125" customWidth="1"/>
    <col min="6" max="6" width="30.28515625" customWidth="1"/>
    <col min="7" max="7" width="1.7109375" customWidth="1"/>
    <col min="8" max="8" width="6.28515625" customWidth="1"/>
    <col min="9" max="9" width="5.7109375" customWidth="1"/>
    <col min="10" max="10" width="3.7109375" customWidth="1"/>
    <col min="11" max="11" width="13.7109375" customWidth="1"/>
    <col min="12" max="12" width="5.7109375" customWidth="1"/>
    <col min="13" max="13" width="3.7109375" customWidth="1"/>
    <col min="14" max="14" width="13.7109375" customWidth="1"/>
    <col min="15" max="15" width="5.7109375" customWidth="1"/>
    <col min="16" max="16" width="3.7109375" customWidth="1"/>
    <col min="17" max="17" width="5.7109375" customWidth="1"/>
  </cols>
  <sheetData>
    <row r="1" spans="1:8" ht="46.5">
      <c r="A1" s="390" t="s">
        <v>330</v>
      </c>
      <c r="B1" s="390"/>
      <c r="C1" s="390"/>
      <c r="D1" s="390"/>
      <c r="E1" s="390"/>
      <c r="F1" s="390"/>
    </row>
    <row r="2" spans="1:8" ht="9.75" customHeight="1">
      <c r="A2" s="42"/>
      <c r="B2" s="42"/>
      <c r="C2" s="42"/>
      <c r="D2" s="42"/>
      <c r="E2" s="42"/>
      <c r="F2" s="42"/>
    </row>
    <row r="3" spans="1:8" ht="50.25" customHeight="1">
      <c r="A3" s="43" t="s">
        <v>42</v>
      </c>
      <c r="B3" s="51" t="s">
        <v>43</v>
      </c>
      <c r="C3" s="51" t="s">
        <v>191</v>
      </c>
      <c r="D3" s="51" t="s">
        <v>192</v>
      </c>
      <c r="E3" s="51" t="s">
        <v>193</v>
      </c>
      <c r="F3" s="52" t="s">
        <v>194</v>
      </c>
      <c r="H3" s="109" t="s">
        <v>195</v>
      </c>
    </row>
    <row r="4" spans="1:8" ht="20.25" customHeight="1">
      <c r="A4" s="44"/>
      <c r="B4" s="45" t="s">
        <v>331</v>
      </c>
      <c r="C4" s="46">
        <v>447</v>
      </c>
      <c r="D4" s="46" t="s">
        <v>197</v>
      </c>
      <c r="E4" s="59" t="s">
        <v>332</v>
      </c>
      <c r="F4" s="46" t="s">
        <v>333</v>
      </c>
      <c r="H4" s="60" t="b">
        <v>1</v>
      </c>
    </row>
    <row r="5" spans="1:8" ht="20.25" customHeight="1">
      <c r="A5" s="44"/>
      <c r="B5" s="47" t="s">
        <v>309</v>
      </c>
      <c r="C5" s="84">
        <v>19</v>
      </c>
      <c r="D5" s="48" t="s">
        <v>197</v>
      </c>
      <c r="E5" s="179" t="s">
        <v>334</v>
      </c>
      <c r="F5" s="48" t="s">
        <v>333</v>
      </c>
      <c r="H5" s="60" t="b">
        <v>1</v>
      </c>
    </row>
    <row r="6" spans="1:8" ht="27" customHeight="1">
      <c r="A6" s="44"/>
      <c r="B6" s="45" t="s">
        <v>311</v>
      </c>
      <c r="C6" s="46">
        <v>531</v>
      </c>
      <c r="D6" s="46" t="s">
        <v>197</v>
      </c>
      <c r="E6" s="59" t="s">
        <v>335</v>
      </c>
      <c r="F6" s="46" t="s">
        <v>333</v>
      </c>
      <c r="H6" s="60" t="b">
        <v>1</v>
      </c>
    </row>
    <row r="7" spans="1:8" ht="20.25" customHeight="1">
      <c r="A7" s="44"/>
      <c r="B7" s="47" t="s">
        <v>314</v>
      </c>
      <c r="C7" s="48">
        <v>448</v>
      </c>
      <c r="D7" s="48" t="s">
        <v>219</v>
      </c>
      <c r="E7" s="179" t="s">
        <v>336</v>
      </c>
      <c r="F7" s="48" t="s">
        <v>333</v>
      </c>
      <c r="H7" s="60" t="b">
        <v>1</v>
      </c>
    </row>
    <row r="8" spans="1:8" ht="20.25" customHeight="1">
      <c r="A8" s="44"/>
      <c r="B8" s="45" t="s">
        <v>315</v>
      </c>
      <c r="C8" s="46">
        <v>531</v>
      </c>
      <c r="D8" s="46" t="s">
        <v>215</v>
      </c>
      <c r="E8" s="59" t="s">
        <v>337</v>
      </c>
      <c r="F8" s="46" t="s">
        <v>333</v>
      </c>
      <c r="H8" s="60" t="b">
        <v>1</v>
      </c>
    </row>
    <row r="9" spans="1:8" ht="20.25" customHeight="1">
      <c r="A9" s="44"/>
      <c r="B9" s="47" t="s">
        <v>317</v>
      </c>
      <c r="C9" s="48">
        <v>18</v>
      </c>
      <c r="D9" s="48" t="s">
        <v>219</v>
      </c>
      <c r="E9" s="179" t="s">
        <v>338</v>
      </c>
      <c r="F9" s="48" t="s">
        <v>333</v>
      </c>
      <c r="H9" s="60" t="b">
        <v>1</v>
      </c>
    </row>
    <row r="10" spans="1:8" ht="20.25" customHeight="1">
      <c r="A10" s="44"/>
      <c r="B10" s="45" t="s">
        <v>318</v>
      </c>
      <c r="C10" s="46">
        <v>717</v>
      </c>
      <c r="D10" s="46" t="s">
        <v>197</v>
      </c>
      <c r="E10" s="59" t="s">
        <v>339</v>
      </c>
      <c r="F10" s="46" t="s">
        <v>209</v>
      </c>
      <c r="H10" s="60" t="b">
        <v>1</v>
      </c>
    </row>
    <row r="11" spans="1:8" ht="20.25" customHeight="1">
      <c r="A11" s="44"/>
      <c r="B11" s="47" t="s">
        <v>320</v>
      </c>
      <c r="C11" s="48">
        <v>843</v>
      </c>
      <c r="D11" s="48" t="s">
        <v>197</v>
      </c>
      <c r="E11" s="179" t="s">
        <v>340</v>
      </c>
      <c r="F11" s="48" t="s">
        <v>209</v>
      </c>
      <c r="H11" s="60" t="b">
        <v>1</v>
      </c>
    </row>
    <row r="12" spans="1:8" ht="20.25" customHeight="1">
      <c r="A12" s="44"/>
      <c r="B12" s="45" t="s">
        <v>322</v>
      </c>
      <c r="C12" s="46">
        <v>641</v>
      </c>
      <c r="D12" s="46" t="s">
        <v>341</v>
      </c>
      <c r="E12" s="59" t="s">
        <v>342</v>
      </c>
      <c r="F12" s="46" t="s">
        <v>209</v>
      </c>
      <c r="H12" s="60" t="b">
        <v>1</v>
      </c>
    </row>
    <row r="13" spans="1:8" ht="20.25" customHeight="1">
      <c r="A13" s="44"/>
      <c r="B13" s="47" t="s">
        <v>325</v>
      </c>
      <c r="C13" s="48">
        <v>881</v>
      </c>
      <c r="D13" s="48" t="s">
        <v>197</v>
      </c>
      <c r="E13" s="179" t="s">
        <v>343</v>
      </c>
      <c r="F13" s="48" t="s">
        <v>209</v>
      </c>
      <c r="H13" s="60" t="b">
        <v>1</v>
      </c>
    </row>
    <row r="14" spans="1:8" ht="20.25" customHeight="1">
      <c r="A14" s="44"/>
      <c r="B14" s="45" t="s">
        <v>328</v>
      </c>
      <c r="C14" s="46">
        <v>14</v>
      </c>
      <c r="D14" s="46" t="s">
        <v>197</v>
      </c>
      <c r="E14" s="59" t="s">
        <v>344</v>
      </c>
      <c r="F14" s="46" t="s">
        <v>223</v>
      </c>
      <c r="H14" s="60" t="b">
        <v>1</v>
      </c>
    </row>
    <row r="15" spans="1:8" ht="20.25" customHeight="1">
      <c r="A15" s="44"/>
      <c r="B15" s="47" t="s">
        <v>226</v>
      </c>
      <c r="C15" s="48">
        <v>23</v>
      </c>
      <c r="D15" s="48" t="s">
        <v>197</v>
      </c>
      <c r="E15" s="179" t="s">
        <v>345</v>
      </c>
      <c r="F15" s="48" t="s">
        <v>223</v>
      </c>
      <c r="H15" s="60" t="b">
        <v>1</v>
      </c>
    </row>
    <row r="16" spans="1:8" ht="20.25" customHeight="1">
      <c r="A16" s="44"/>
      <c r="B16" s="45" t="s">
        <v>312</v>
      </c>
      <c r="C16" s="46">
        <v>720</v>
      </c>
      <c r="D16" s="46" t="s">
        <v>244</v>
      </c>
      <c r="E16" s="59" t="s">
        <v>346</v>
      </c>
      <c r="F16" s="46" t="s">
        <v>248</v>
      </c>
      <c r="H16" s="60" t="b">
        <v>1</v>
      </c>
    </row>
    <row r="17" spans="1:8" ht="20.25" customHeight="1">
      <c r="A17" s="44"/>
      <c r="B17" s="45" t="s">
        <v>312</v>
      </c>
      <c r="C17" s="49">
        <v>720</v>
      </c>
      <c r="D17" s="49" t="s">
        <v>244</v>
      </c>
      <c r="E17" s="59" t="s">
        <v>347</v>
      </c>
      <c r="F17" s="49" t="s">
        <v>248</v>
      </c>
      <c r="H17" s="60" t="b">
        <v>1</v>
      </c>
    </row>
    <row r="18" spans="1:8" ht="20.25" customHeight="1">
      <c r="A18" s="44"/>
      <c r="B18" s="45" t="s">
        <v>271</v>
      </c>
      <c r="C18" s="50">
        <v>280</v>
      </c>
      <c r="D18" s="50" t="s">
        <v>197</v>
      </c>
      <c r="E18" s="59" t="s">
        <v>348</v>
      </c>
      <c r="F18" s="50" t="s">
        <v>248</v>
      </c>
      <c r="H18" s="60" t="b">
        <v>1</v>
      </c>
    </row>
    <row r="19" spans="1:8" ht="20.25" customHeight="1">
      <c r="A19" s="44"/>
      <c r="B19" s="47" t="s">
        <v>316</v>
      </c>
      <c r="C19" s="49">
        <v>728</v>
      </c>
      <c r="D19" s="49" t="s">
        <v>215</v>
      </c>
      <c r="E19" s="179" t="s">
        <v>349</v>
      </c>
      <c r="F19" s="49" t="s">
        <v>248</v>
      </c>
      <c r="H19" s="60" t="b">
        <v>1</v>
      </c>
    </row>
    <row r="20" spans="1:8" ht="20.25" customHeight="1">
      <c r="A20" s="44"/>
      <c r="B20" s="45" t="s">
        <v>252</v>
      </c>
      <c r="C20" s="50">
        <v>6</v>
      </c>
      <c r="D20" s="50" t="s">
        <v>197</v>
      </c>
      <c r="E20" s="59" t="s">
        <v>350</v>
      </c>
      <c r="F20" s="50" t="s">
        <v>202</v>
      </c>
      <c r="H20" s="60" t="b">
        <v>1</v>
      </c>
    </row>
    <row r="21" spans="1:8" ht="20.25" customHeight="1">
      <c r="A21" s="44"/>
      <c r="B21" s="47" t="s">
        <v>319</v>
      </c>
      <c r="C21" s="49">
        <v>32</v>
      </c>
      <c r="D21" s="49" t="s">
        <v>244</v>
      </c>
      <c r="E21" s="179" t="s">
        <v>351</v>
      </c>
      <c r="F21" s="49" t="s">
        <v>202</v>
      </c>
      <c r="H21" s="60" t="b">
        <v>1</v>
      </c>
    </row>
    <row r="22" spans="1:8" ht="20.25" customHeight="1">
      <c r="A22" s="44"/>
      <c r="B22" s="45" t="s">
        <v>256</v>
      </c>
      <c r="C22" s="50">
        <v>32</v>
      </c>
      <c r="D22" s="50" t="s">
        <v>197</v>
      </c>
      <c r="E22" s="59" t="s">
        <v>352</v>
      </c>
      <c r="F22" s="50" t="s">
        <v>202</v>
      </c>
      <c r="H22" s="60" t="b">
        <v>1</v>
      </c>
    </row>
    <row r="23" spans="1:8" ht="20.25" customHeight="1">
      <c r="A23" s="44"/>
      <c r="B23" s="47" t="s">
        <v>323</v>
      </c>
      <c r="C23" s="49">
        <v>15</v>
      </c>
      <c r="D23" s="49" t="s">
        <v>353</v>
      </c>
      <c r="E23" s="179" t="s">
        <v>354</v>
      </c>
      <c r="F23" s="49" t="s">
        <v>202</v>
      </c>
      <c r="H23" s="60" t="b">
        <v>1</v>
      </c>
    </row>
    <row r="24" spans="1:8" ht="20.25" customHeight="1">
      <c r="A24" s="44"/>
      <c r="B24" s="45" t="s">
        <v>326</v>
      </c>
      <c r="C24" s="50">
        <v>606</v>
      </c>
      <c r="D24" s="50" t="s">
        <v>197</v>
      </c>
      <c r="E24" s="59" t="s">
        <v>355</v>
      </c>
      <c r="F24" s="50" t="s">
        <v>202</v>
      </c>
      <c r="H24" s="60" t="b">
        <v>1</v>
      </c>
    </row>
    <row r="25" spans="1:8" ht="20.25" customHeight="1">
      <c r="A25" s="44"/>
      <c r="B25" s="47" t="s">
        <v>329</v>
      </c>
      <c r="C25" s="49">
        <v>32</v>
      </c>
      <c r="D25" s="49" t="s">
        <v>244</v>
      </c>
      <c r="E25" s="179" t="s">
        <v>356</v>
      </c>
      <c r="F25" s="49" t="s">
        <v>202</v>
      </c>
      <c r="H25" s="60" t="b">
        <v>1</v>
      </c>
    </row>
    <row r="26" spans="1:8" ht="20.25" customHeight="1">
      <c r="A26" s="44"/>
      <c r="B26" s="45" t="s">
        <v>310</v>
      </c>
      <c r="C26" s="50">
        <v>4</v>
      </c>
      <c r="D26" s="50" t="s">
        <v>353</v>
      </c>
      <c r="E26" s="59" t="s">
        <v>357</v>
      </c>
      <c r="F26" s="50" t="s">
        <v>202</v>
      </c>
      <c r="H26" s="60" t="b">
        <v>1</v>
      </c>
    </row>
    <row r="27" spans="1:8" ht="20.25" customHeight="1">
      <c r="A27" s="44"/>
      <c r="B27" s="47" t="s">
        <v>313</v>
      </c>
      <c r="C27" s="49">
        <v>919</v>
      </c>
      <c r="D27" s="49" t="s">
        <v>197</v>
      </c>
      <c r="E27" s="179" t="s">
        <v>358</v>
      </c>
      <c r="F27" s="49" t="s">
        <v>359</v>
      </c>
      <c r="H27" s="60" t="b">
        <v>1</v>
      </c>
    </row>
    <row r="28" spans="1:8" ht="20.25" customHeight="1">
      <c r="A28" s="44"/>
      <c r="B28" s="45" t="s">
        <v>62</v>
      </c>
      <c r="C28" s="50">
        <v>12</v>
      </c>
      <c r="D28" s="50" t="s">
        <v>197</v>
      </c>
      <c r="E28" s="59" t="s">
        <v>360</v>
      </c>
      <c r="F28" s="50" t="s">
        <v>235</v>
      </c>
      <c r="H28" s="60" t="b">
        <v>1</v>
      </c>
    </row>
    <row r="29" spans="1:8" ht="20.25" customHeight="1">
      <c r="A29" s="44"/>
      <c r="B29" s="47" t="s">
        <v>233</v>
      </c>
      <c r="C29" s="49">
        <v>116</v>
      </c>
      <c r="D29" s="49" t="s">
        <v>197</v>
      </c>
      <c r="E29" s="179" t="s">
        <v>361</v>
      </c>
      <c r="F29" s="49" t="s">
        <v>235</v>
      </c>
      <c r="H29" s="60" t="b">
        <v>1</v>
      </c>
    </row>
    <row r="30" spans="1:8" ht="20.25" customHeight="1">
      <c r="A30" s="44"/>
      <c r="B30" s="45" t="s">
        <v>287</v>
      </c>
      <c r="C30" s="50">
        <v>31</v>
      </c>
      <c r="D30" s="50" t="s">
        <v>197</v>
      </c>
      <c r="E30" s="59" t="s">
        <v>362</v>
      </c>
      <c r="F30" s="50" t="s">
        <v>235</v>
      </c>
      <c r="H30" s="60" t="b">
        <v>0</v>
      </c>
    </row>
    <row r="31" spans="1:8" ht="20.25" customHeight="1">
      <c r="A31" s="44"/>
      <c r="B31" s="47" t="s">
        <v>242</v>
      </c>
      <c r="C31" s="49">
        <v>10</v>
      </c>
      <c r="D31" s="49" t="s">
        <v>197</v>
      </c>
      <c r="E31" s="179" t="s">
        <v>363</v>
      </c>
      <c r="F31" s="49" t="s">
        <v>235</v>
      </c>
      <c r="H31" s="60" t="b">
        <v>1</v>
      </c>
    </row>
    <row r="32" spans="1:8" ht="20.25" customHeight="1">
      <c r="A32" s="44"/>
      <c r="B32" s="45" t="s">
        <v>321</v>
      </c>
      <c r="C32" s="50">
        <v>870</v>
      </c>
      <c r="D32" s="50" t="s">
        <v>215</v>
      </c>
      <c r="E32" s="59" t="s">
        <v>364</v>
      </c>
      <c r="F32" s="50" t="s">
        <v>235</v>
      </c>
      <c r="H32" s="60" t="b">
        <v>1</v>
      </c>
    </row>
    <row r="33" spans="1:8" ht="20.25" customHeight="1">
      <c r="A33" s="44"/>
      <c r="B33" s="47" t="s">
        <v>324</v>
      </c>
      <c r="C33" s="49">
        <v>12</v>
      </c>
      <c r="D33" s="49" t="s">
        <v>244</v>
      </c>
      <c r="E33" s="179" t="s">
        <v>365</v>
      </c>
      <c r="F33" s="49" t="s">
        <v>235</v>
      </c>
      <c r="H33" s="60" t="b">
        <v>1</v>
      </c>
    </row>
    <row r="34" spans="1:8" ht="15">
      <c r="A34" s="44"/>
      <c r="B34" s="45" t="s">
        <v>327</v>
      </c>
      <c r="C34" s="50">
        <v>31</v>
      </c>
      <c r="D34" s="50" t="s">
        <v>244</v>
      </c>
      <c r="E34" s="59" t="s">
        <v>366</v>
      </c>
      <c r="F34" s="50" t="s">
        <v>235</v>
      </c>
      <c r="H34" s="60" t="b">
        <v>1</v>
      </c>
    </row>
    <row r="35" spans="1:8" ht="20.25" customHeight="1">
      <c r="A35" s="44"/>
      <c r="B35" s="47"/>
      <c r="C35" s="49"/>
      <c r="D35" s="49"/>
      <c r="E35" s="179"/>
      <c r="F35" s="49"/>
      <c r="H35" s="60" t="b">
        <v>0</v>
      </c>
    </row>
    <row r="36" spans="1:8" ht="20.25" customHeight="1">
      <c r="A36" s="44"/>
      <c r="B36" s="45"/>
      <c r="C36" s="50"/>
      <c r="D36" s="50"/>
      <c r="E36" s="59"/>
      <c r="F36" s="50"/>
      <c r="H36" s="60" t="b">
        <v>0</v>
      </c>
    </row>
    <row r="37" spans="1:8">
      <c r="B37" s="40"/>
      <c r="C37" s="40"/>
      <c r="D37" s="41"/>
      <c r="E37" s="40"/>
      <c r="F37" s="40"/>
    </row>
    <row r="38" spans="1:8">
      <c r="B38" s="40"/>
      <c r="C38" s="40"/>
      <c r="D38" s="41"/>
      <c r="E38" s="40"/>
      <c r="F38" s="40"/>
    </row>
    <row r="39" spans="1:8">
      <c r="B39" s="40"/>
      <c r="C39" s="40"/>
      <c r="D39" s="41"/>
      <c r="E39" s="40"/>
      <c r="F39" s="40"/>
    </row>
    <row r="40" spans="1:8">
      <c r="B40" s="40"/>
      <c r="C40" s="40"/>
      <c r="D40" s="41"/>
      <c r="E40" s="40"/>
      <c r="F40" s="40"/>
    </row>
  </sheetData>
  <mergeCells count="1">
    <mergeCell ref="A1:F1"/>
  </mergeCells>
  <pageMargins left="0" right="0" top="0" bottom="0" header="0.3" footer="0.3"/>
  <pageSetup scale="77" orientation="landscape" horizontalDpi="0" verticalDpi="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9D96-E37B-4963-99AE-E2F8D4767B10}">
  <dimension ref="A1:R53"/>
  <sheetViews>
    <sheetView topLeftCell="A5" workbookViewId="0">
      <selection activeCell="E20" sqref="E20"/>
    </sheetView>
  </sheetViews>
  <sheetFormatPr defaultColWidth="9.140625" defaultRowHeight="15" customHeight="1"/>
  <cols>
    <col min="1" max="1" width="14.7109375" customWidth="1"/>
    <col min="2" max="2" width="8.28515625" customWidth="1"/>
    <col min="3" max="4" width="10.7109375" customWidth="1"/>
    <col min="5" max="8" width="15.7109375" customWidth="1"/>
    <col min="24" max="24" width="9.28515625" bestFit="1" customWidth="1"/>
  </cols>
  <sheetData>
    <row r="1" spans="1:18" ht="46.5" customHeight="1">
      <c r="A1" s="445" t="s">
        <v>367</v>
      </c>
      <c r="B1" s="445"/>
      <c r="C1" s="445"/>
      <c r="D1" s="445"/>
      <c r="E1" s="445"/>
      <c r="F1" s="445"/>
      <c r="G1" s="445"/>
      <c r="H1" s="445"/>
      <c r="I1" s="180"/>
      <c r="J1" s="180"/>
      <c r="K1" s="180"/>
      <c r="L1" s="180"/>
      <c r="M1" s="180"/>
      <c r="N1" s="180"/>
      <c r="O1" s="180"/>
      <c r="P1" s="180"/>
      <c r="Q1" s="180"/>
      <c r="R1" s="180"/>
    </row>
    <row r="2" spans="1:18" ht="21.75" customHeight="1">
      <c r="A2" s="415" t="s">
        <v>45</v>
      </c>
      <c r="B2" s="415"/>
      <c r="C2" s="416" t="s">
        <v>46</v>
      </c>
      <c r="D2" s="416"/>
      <c r="E2" s="417" t="s">
        <v>269</v>
      </c>
      <c r="F2" s="417"/>
      <c r="G2" s="417"/>
      <c r="H2" s="417"/>
      <c r="I2" s="180"/>
      <c r="J2" s="180"/>
      <c r="K2" s="180"/>
      <c r="L2" s="180"/>
      <c r="M2" s="180"/>
      <c r="N2" s="180"/>
      <c r="O2" s="180"/>
      <c r="P2" s="180"/>
      <c r="Q2" s="180"/>
      <c r="R2" s="180"/>
    </row>
    <row r="3" spans="1:18" ht="39.75" customHeight="1">
      <c r="A3" s="509" t="s">
        <v>270</v>
      </c>
      <c r="B3" s="510"/>
      <c r="C3" s="424" t="s">
        <v>97</v>
      </c>
      <c r="D3" s="425"/>
      <c r="E3" s="420" t="s">
        <v>368</v>
      </c>
      <c r="F3" s="421"/>
      <c r="G3" s="420" t="s">
        <v>369</v>
      </c>
      <c r="H3" s="422"/>
      <c r="I3" s="180"/>
      <c r="J3" s="423" t="s">
        <v>154</v>
      </c>
      <c r="K3" s="423"/>
      <c r="L3" s="423"/>
      <c r="M3" s="423"/>
      <c r="N3" s="423"/>
      <c r="O3" s="423"/>
      <c r="P3" s="423"/>
      <c r="Q3" s="423"/>
      <c r="R3" s="423"/>
    </row>
    <row r="4" spans="1:18" ht="39.75" customHeight="1">
      <c r="A4" s="509" t="s">
        <v>99</v>
      </c>
      <c r="B4" s="510"/>
      <c r="C4" s="418" t="s">
        <v>100</v>
      </c>
      <c r="D4" s="419"/>
      <c r="E4" s="420" t="s">
        <v>256</v>
      </c>
      <c r="F4" s="421"/>
      <c r="G4" s="420" t="s">
        <v>370</v>
      </c>
      <c r="H4" s="422"/>
      <c r="I4" s="180"/>
      <c r="J4" s="180"/>
      <c r="K4" s="180"/>
      <c r="L4" s="180"/>
      <c r="M4" s="180"/>
      <c r="N4" s="180"/>
      <c r="O4" s="180"/>
      <c r="P4" s="180"/>
      <c r="Q4" s="180"/>
      <c r="R4" s="180"/>
    </row>
    <row r="5" spans="1:18" ht="39.75" customHeight="1">
      <c r="A5" s="509" t="s">
        <v>103</v>
      </c>
      <c r="B5" s="510"/>
      <c r="C5" s="418" t="s">
        <v>100</v>
      </c>
      <c r="D5" s="419"/>
      <c r="E5" s="420" t="s">
        <v>371</v>
      </c>
      <c r="F5" s="421"/>
      <c r="G5" s="420" t="s">
        <v>372</v>
      </c>
      <c r="H5" s="422"/>
      <c r="I5" s="180"/>
      <c r="J5" s="180"/>
      <c r="K5" s="426" t="s">
        <v>274</v>
      </c>
      <c r="L5" s="426"/>
      <c r="M5" s="426"/>
      <c r="N5" s="426"/>
      <c r="O5" s="426"/>
      <c r="P5" s="426"/>
      <c r="Q5" s="426"/>
      <c r="R5" s="426"/>
    </row>
    <row r="6" spans="1:18" ht="39.75" customHeight="1">
      <c r="A6" s="509" t="s">
        <v>106</v>
      </c>
      <c r="B6" s="510"/>
      <c r="C6" s="418" t="s">
        <v>100</v>
      </c>
      <c r="D6" s="419"/>
      <c r="E6" s="420" t="s">
        <v>373</v>
      </c>
      <c r="F6" s="421"/>
      <c r="G6" s="420" t="s">
        <v>374</v>
      </c>
      <c r="H6" s="422"/>
      <c r="I6" s="180"/>
      <c r="J6" s="180"/>
      <c r="K6" s="446" t="s">
        <v>159</v>
      </c>
      <c r="L6" s="447"/>
      <c r="M6" s="447"/>
      <c r="N6" s="447"/>
      <c r="O6" s="447"/>
      <c r="P6" s="447"/>
      <c r="Q6" s="447"/>
      <c r="R6" s="239"/>
    </row>
    <row r="7" spans="1:18" ht="26.25" customHeight="1">
      <c r="A7" s="513"/>
      <c r="B7" s="514"/>
      <c r="C7" s="514"/>
      <c r="D7" s="514"/>
      <c r="E7" s="515"/>
      <c r="F7" s="516"/>
      <c r="G7" s="516"/>
      <c r="H7" s="517"/>
      <c r="I7" s="180"/>
      <c r="J7" s="180"/>
      <c r="K7" s="236" t="s">
        <v>12</v>
      </c>
      <c r="L7" s="237" t="s">
        <v>13</v>
      </c>
      <c r="M7" s="237" t="s">
        <v>14</v>
      </c>
      <c r="N7" s="237" t="s">
        <v>15</v>
      </c>
      <c r="O7" s="237" t="s">
        <v>16</v>
      </c>
      <c r="P7" s="237" t="s">
        <v>17</v>
      </c>
      <c r="Q7" s="238" t="s">
        <v>18</v>
      </c>
      <c r="R7" s="233"/>
    </row>
    <row r="8" spans="1:18" ht="39.75" customHeight="1">
      <c r="A8" s="506" t="s">
        <v>128</v>
      </c>
      <c r="B8" s="518"/>
      <c r="C8" s="427" t="s">
        <v>77</v>
      </c>
      <c r="D8" s="428"/>
      <c r="E8" s="429" t="s">
        <v>161</v>
      </c>
      <c r="F8" s="430"/>
      <c r="G8" s="431" t="s">
        <v>375</v>
      </c>
      <c r="H8" s="432"/>
      <c r="I8" s="180"/>
      <c r="J8" s="180"/>
      <c r="K8" s="216">
        <v>5</v>
      </c>
      <c r="L8" s="217">
        <v>1</v>
      </c>
      <c r="M8" s="217">
        <v>3</v>
      </c>
      <c r="N8" s="217">
        <v>2</v>
      </c>
      <c r="O8" s="217">
        <v>5</v>
      </c>
      <c r="P8" s="217">
        <v>4</v>
      </c>
      <c r="Q8" s="218">
        <v>3</v>
      </c>
      <c r="R8" s="235">
        <v>26</v>
      </c>
    </row>
    <row r="9" spans="1:18" ht="39.75" customHeight="1">
      <c r="A9" s="506" t="s">
        <v>78</v>
      </c>
      <c r="B9" s="518"/>
      <c r="C9" s="427" t="s">
        <v>79</v>
      </c>
      <c r="D9" s="428"/>
      <c r="E9" s="433" t="s">
        <v>279</v>
      </c>
      <c r="F9" s="434"/>
      <c r="G9" s="420" t="s">
        <v>376</v>
      </c>
      <c r="H9" s="422"/>
      <c r="I9" s="180"/>
      <c r="J9" s="180"/>
      <c r="K9" s="180"/>
      <c r="L9" s="180"/>
      <c r="M9" s="180"/>
      <c r="N9" s="180"/>
      <c r="O9" s="180"/>
      <c r="P9" s="180"/>
      <c r="Q9" s="180"/>
      <c r="R9" s="180"/>
    </row>
    <row r="10" spans="1:18" ht="39.75" customHeight="1">
      <c r="A10" s="506" t="s">
        <v>80</v>
      </c>
      <c r="B10" s="518"/>
      <c r="C10" s="427" t="s">
        <v>77</v>
      </c>
      <c r="D10" s="428"/>
      <c r="E10" s="433" t="s">
        <v>279</v>
      </c>
      <c r="F10" s="434"/>
      <c r="G10" s="420" t="s">
        <v>377</v>
      </c>
      <c r="H10" s="422"/>
      <c r="I10" s="180"/>
      <c r="J10" s="180"/>
      <c r="K10" s="454" t="s">
        <v>164</v>
      </c>
      <c r="L10" s="455"/>
      <c r="M10" s="455"/>
      <c r="N10" s="455"/>
      <c r="O10" s="455"/>
      <c r="P10" s="455"/>
      <c r="Q10" s="455"/>
      <c r="R10" s="456"/>
    </row>
    <row r="11" spans="1:18" ht="39.75" customHeight="1">
      <c r="A11" s="506" t="s">
        <v>81</v>
      </c>
      <c r="B11" s="518"/>
      <c r="C11" s="427" t="s">
        <v>82</v>
      </c>
      <c r="D11" s="428"/>
      <c r="E11" s="448" t="s">
        <v>373</v>
      </c>
      <c r="F11" s="449"/>
      <c r="G11" s="450" t="s">
        <v>378</v>
      </c>
      <c r="H11" s="451"/>
      <c r="I11" s="180"/>
      <c r="J11" s="180"/>
      <c r="K11" s="452" t="s">
        <v>166</v>
      </c>
      <c r="L11" s="453"/>
      <c r="M11" s="453"/>
      <c r="N11" s="453"/>
      <c r="O11" s="453"/>
      <c r="P11" s="453"/>
      <c r="Q11" s="453"/>
      <c r="R11" s="233"/>
    </row>
    <row r="12" spans="1:18" ht="15" customHeight="1">
      <c r="A12" s="521"/>
      <c r="B12" s="521"/>
      <c r="C12" s="457" t="s">
        <v>379</v>
      </c>
      <c r="D12" s="458"/>
      <c r="E12" s="459" t="s">
        <v>168</v>
      </c>
      <c r="F12" s="460"/>
      <c r="G12" s="461" t="s">
        <v>160</v>
      </c>
      <c r="H12" s="462"/>
      <c r="I12" s="180"/>
      <c r="J12" s="180"/>
      <c r="K12" s="227" t="s">
        <v>12</v>
      </c>
      <c r="L12" s="188" t="s">
        <v>13</v>
      </c>
      <c r="M12" s="229" t="s">
        <v>14</v>
      </c>
      <c r="N12" s="225" t="s">
        <v>15</v>
      </c>
      <c r="O12" s="191" t="s">
        <v>16</v>
      </c>
      <c r="P12" s="231" t="s">
        <v>17</v>
      </c>
      <c r="Q12" s="232" t="s">
        <v>18</v>
      </c>
      <c r="R12" s="234"/>
    </row>
    <row r="13" spans="1:18" ht="39.75" customHeight="1">
      <c r="A13" s="506" t="s">
        <v>52</v>
      </c>
      <c r="B13" s="518"/>
      <c r="C13" s="442" t="s">
        <v>53</v>
      </c>
      <c r="D13" s="443"/>
      <c r="E13" s="204" t="s">
        <v>282</v>
      </c>
      <c r="F13" s="200" t="s">
        <v>380</v>
      </c>
      <c r="G13" s="205" t="s">
        <v>371</v>
      </c>
      <c r="H13" s="249" t="s">
        <v>381</v>
      </c>
      <c r="I13" s="180"/>
      <c r="J13" s="180"/>
      <c r="K13" s="228">
        <v>2</v>
      </c>
      <c r="L13" s="214">
        <v>6</v>
      </c>
      <c r="M13" s="230">
        <v>4</v>
      </c>
      <c r="N13" s="226">
        <v>5</v>
      </c>
      <c r="O13" s="214">
        <v>2</v>
      </c>
      <c r="P13" s="214">
        <v>3</v>
      </c>
      <c r="Q13" s="215">
        <v>4</v>
      </c>
      <c r="R13" s="235">
        <v>24</v>
      </c>
    </row>
    <row r="14" spans="1:18" ht="39.75" customHeight="1">
      <c r="A14" s="506" t="s">
        <v>55</v>
      </c>
      <c r="B14" s="518"/>
      <c r="C14" s="442" t="s">
        <v>56</v>
      </c>
      <c r="D14" s="443"/>
      <c r="E14" s="204" t="s">
        <v>316</v>
      </c>
      <c r="F14" s="200" t="s">
        <v>382</v>
      </c>
      <c r="G14" s="204" t="s">
        <v>256</v>
      </c>
      <c r="H14" s="250" t="s">
        <v>383</v>
      </c>
      <c r="I14" s="180"/>
      <c r="J14" s="180"/>
      <c r="K14" s="180"/>
      <c r="L14" s="180"/>
      <c r="M14" s="180"/>
      <c r="N14" s="180"/>
      <c r="O14" s="180"/>
      <c r="P14" s="180"/>
      <c r="Q14" s="180"/>
      <c r="R14" s="195"/>
    </row>
    <row r="15" spans="1:18" ht="39.75" customHeight="1">
      <c r="A15" s="506" t="s">
        <v>57</v>
      </c>
      <c r="B15" s="518"/>
      <c r="C15" s="442" t="s">
        <v>176</v>
      </c>
      <c r="D15" s="443"/>
      <c r="E15" s="204" t="s">
        <v>384</v>
      </c>
      <c r="F15" s="200" t="s">
        <v>385</v>
      </c>
      <c r="G15" s="204" t="s">
        <v>187</v>
      </c>
      <c r="H15" s="250" t="s">
        <v>386</v>
      </c>
      <c r="I15" s="180"/>
      <c r="J15" s="180"/>
      <c r="K15" s="241" t="s">
        <v>173</v>
      </c>
      <c r="L15" s="242" t="s">
        <v>174</v>
      </c>
      <c r="M15" s="243" t="s">
        <v>175</v>
      </c>
      <c r="N15" s="244" t="s">
        <v>263</v>
      </c>
      <c r="O15" s="245" t="s">
        <v>292</v>
      </c>
      <c r="P15" s="246" t="s">
        <v>293</v>
      </c>
      <c r="Q15" s="247" t="s">
        <v>294</v>
      </c>
      <c r="R15" s="248"/>
    </row>
    <row r="16" spans="1:18" ht="39.75" customHeight="1">
      <c r="A16" s="506" t="s">
        <v>60</v>
      </c>
      <c r="B16" s="518"/>
      <c r="C16" s="442" t="s">
        <v>61</v>
      </c>
      <c r="D16" s="443"/>
      <c r="E16" s="204" t="s">
        <v>387</v>
      </c>
      <c r="F16" s="200" t="s">
        <v>388</v>
      </c>
      <c r="G16" s="204" t="s">
        <v>256</v>
      </c>
      <c r="H16" s="250" t="s">
        <v>389</v>
      </c>
      <c r="I16" s="180"/>
      <c r="J16" s="180"/>
      <c r="K16" s="196" t="s">
        <v>12</v>
      </c>
      <c r="L16" s="197" t="s">
        <v>13</v>
      </c>
      <c r="M16" s="197" t="s">
        <v>14</v>
      </c>
      <c r="N16" s="197" t="s">
        <v>15</v>
      </c>
      <c r="O16" s="208" t="s">
        <v>16</v>
      </c>
      <c r="P16" s="208" t="s">
        <v>17</v>
      </c>
      <c r="Q16" s="208" t="s">
        <v>18</v>
      </c>
      <c r="R16" s="209" t="s">
        <v>179</v>
      </c>
    </row>
    <row r="17" spans="1:18" ht="39.75" customHeight="1">
      <c r="A17" s="506" t="s">
        <v>65</v>
      </c>
      <c r="B17" s="518"/>
      <c r="C17" s="442" t="s">
        <v>66</v>
      </c>
      <c r="D17" s="443"/>
      <c r="E17" s="204" t="s">
        <v>390</v>
      </c>
      <c r="F17" s="200" t="s">
        <v>391</v>
      </c>
      <c r="G17" s="206"/>
      <c r="H17" s="202"/>
      <c r="I17" s="180"/>
      <c r="J17" s="180"/>
      <c r="K17" s="210">
        <v>7</v>
      </c>
      <c r="L17" s="211">
        <v>7</v>
      </c>
      <c r="M17" s="211">
        <v>7</v>
      </c>
      <c r="N17" s="211">
        <v>7</v>
      </c>
      <c r="O17" s="211">
        <v>7</v>
      </c>
      <c r="P17" s="211">
        <v>7</v>
      </c>
      <c r="Q17" s="211">
        <v>7</v>
      </c>
      <c r="R17" s="212">
        <v>49</v>
      </c>
    </row>
    <row r="18" spans="1:18" ht="39.75" customHeight="1">
      <c r="A18" s="506" t="s">
        <v>68</v>
      </c>
      <c r="B18" s="518"/>
      <c r="C18" s="442" t="s">
        <v>69</v>
      </c>
      <c r="D18" s="443"/>
      <c r="E18" s="204" t="s">
        <v>392</v>
      </c>
      <c r="F18" s="200" t="s">
        <v>393</v>
      </c>
      <c r="G18" s="204" t="s">
        <v>221</v>
      </c>
      <c r="H18" s="250" t="s">
        <v>394</v>
      </c>
      <c r="I18" s="180"/>
      <c r="J18" s="180"/>
      <c r="K18" s="180"/>
      <c r="L18" s="180"/>
      <c r="M18" s="180"/>
      <c r="N18" s="180"/>
      <c r="O18" s="180"/>
      <c r="P18" s="180"/>
      <c r="Q18" s="180"/>
      <c r="R18" s="180"/>
    </row>
    <row r="19" spans="1:18" ht="47.25" customHeight="1">
      <c r="A19" s="506" t="s">
        <v>71</v>
      </c>
      <c r="B19" s="518"/>
      <c r="C19" s="442" t="s">
        <v>61</v>
      </c>
      <c r="D19" s="443"/>
      <c r="E19" s="204" t="s">
        <v>395</v>
      </c>
      <c r="F19" s="200" t="s">
        <v>396</v>
      </c>
      <c r="G19" s="204" t="s">
        <v>309</v>
      </c>
      <c r="H19" s="250" t="s">
        <v>397</v>
      </c>
      <c r="I19" s="180"/>
      <c r="J19" s="180"/>
      <c r="K19" s="180"/>
      <c r="L19" s="180"/>
      <c r="M19" s="180"/>
      <c r="N19" s="180"/>
      <c r="O19" s="180"/>
      <c r="P19" s="180"/>
      <c r="Q19" s="180"/>
      <c r="R19" s="180"/>
    </row>
    <row r="20" spans="1:18" ht="39.75" customHeight="1">
      <c r="A20" s="506" t="s">
        <v>73</v>
      </c>
      <c r="B20" s="518"/>
      <c r="C20" s="442" t="s">
        <v>74</v>
      </c>
      <c r="D20" s="443"/>
      <c r="E20" s="204" t="s">
        <v>316</v>
      </c>
      <c r="F20" s="200" t="s">
        <v>398</v>
      </c>
      <c r="G20" s="207" t="s">
        <v>399</v>
      </c>
      <c r="H20" s="250" t="s">
        <v>400</v>
      </c>
      <c r="I20" s="180"/>
      <c r="J20" s="180"/>
      <c r="K20" s="180"/>
      <c r="L20" s="180"/>
      <c r="M20" s="180"/>
      <c r="N20" s="180"/>
      <c r="O20" s="180"/>
      <c r="P20" s="180"/>
      <c r="Q20" s="180"/>
      <c r="R20" s="180"/>
    </row>
    <row r="21" spans="1:18" ht="39.75" customHeight="1">
      <c r="A21" s="506" t="s">
        <v>124</v>
      </c>
      <c r="B21" s="518"/>
      <c r="C21" s="463" t="s">
        <v>125</v>
      </c>
      <c r="D21" s="464"/>
      <c r="E21" s="221"/>
      <c r="F21" s="221"/>
      <c r="G21" s="204" t="s">
        <v>187</v>
      </c>
      <c r="H21" s="250" t="s">
        <v>401</v>
      </c>
      <c r="I21" s="180"/>
      <c r="J21" s="180"/>
      <c r="K21" s="180"/>
      <c r="L21" s="180"/>
      <c r="M21" s="180"/>
      <c r="N21" s="180"/>
      <c r="O21" s="180"/>
      <c r="P21" s="180"/>
      <c r="Q21" s="180"/>
      <c r="R21" s="180"/>
    </row>
    <row r="22" spans="1:18" ht="39.75" customHeight="1">
      <c r="A22" s="506" t="s">
        <v>402</v>
      </c>
      <c r="B22" s="518"/>
      <c r="C22" s="465" t="s">
        <v>403</v>
      </c>
      <c r="D22" s="466"/>
      <c r="E22" s="252" t="s">
        <v>327</v>
      </c>
      <c r="F22" s="224" t="s">
        <v>404</v>
      </c>
      <c r="G22" s="251" t="s">
        <v>405</v>
      </c>
      <c r="H22" s="250" t="s">
        <v>406</v>
      </c>
      <c r="I22" s="180"/>
      <c r="J22" s="180"/>
      <c r="K22" s="180"/>
      <c r="L22" s="180"/>
      <c r="M22" s="180"/>
      <c r="N22" s="180"/>
      <c r="O22" s="180"/>
      <c r="P22" s="180"/>
      <c r="Q22" s="180"/>
      <c r="R22" s="180"/>
    </row>
    <row r="23" spans="1:18" ht="9" customHeight="1">
      <c r="A23" s="199"/>
      <c r="B23" s="199"/>
      <c r="C23" s="222"/>
      <c r="D23" s="223"/>
      <c r="E23" s="220"/>
      <c r="F23" s="220"/>
      <c r="G23" s="186"/>
      <c r="H23" s="181"/>
      <c r="I23" s="180"/>
      <c r="J23" s="180"/>
      <c r="K23" s="180"/>
      <c r="L23" s="180"/>
      <c r="M23" s="180"/>
      <c r="N23" s="180"/>
      <c r="O23" s="180"/>
      <c r="P23" s="180"/>
      <c r="Q23" s="180"/>
      <c r="R23" s="180"/>
    </row>
    <row r="24" spans="1:18" ht="24" customHeight="1">
      <c r="A24" s="444" t="s">
        <v>136</v>
      </c>
      <c r="B24" s="444"/>
      <c r="C24" s="444"/>
      <c r="D24" s="444"/>
      <c r="E24" s="444"/>
      <c r="F24" s="444"/>
      <c r="G24" s="444"/>
      <c r="H24" s="444"/>
      <c r="I24" s="180"/>
      <c r="J24" s="180"/>
      <c r="K24" s="180"/>
      <c r="L24" s="180"/>
      <c r="N24" s="180"/>
      <c r="O24" s="180"/>
      <c r="P24" s="180"/>
      <c r="Q24" s="180"/>
      <c r="R24" s="180"/>
    </row>
    <row r="25" spans="1:18" ht="6.75" customHeight="1">
      <c r="M25" s="40"/>
    </row>
    <row r="26" spans="1:18" ht="17.25" customHeight="1">
      <c r="A26" s="414"/>
      <c r="B26" s="414"/>
      <c r="C26" s="219"/>
      <c r="D26" s="414"/>
      <c r="E26" s="414"/>
      <c r="F26" s="219"/>
      <c r="G26" s="414"/>
      <c r="H26" s="414"/>
      <c r="M26" s="40"/>
    </row>
    <row r="27" spans="1:18" ht="17.25" customHeight="1">
      <c r="A27" s="414"/>
      <c r="B27" s="414"/>
      <c r="C27" s="219"/>
      <c r="D27" s="414"/>
      <c r="E27" s="414"/>
      <c r="F27" s="219"/>
      <c r="G27" s="414"/>
      <c r="H27" s="414"/>
      <c r="M27" s="40"/>
    </row>
    <row r="28" spans="1:18" ht="17.25" customHeight="1">
      <c r="A28" s="414"/>
      <c r="B28" s="414"/>
      <c r="C28" s="219"/>
      <c r="D28" s="414"/>
      <c r="E28" s="414"/>
      <c r="F28" s="219"/>
      <c r="G28" s="414"/>
      <c r="H28" s="414"/>
      <c r="M28" s="40"/>
    </row>
    <row r="29" spans="1:18" ht="17.25" customHeight="1">
      <c r="A29" s="414"/>
      <c r="B29" s="414"/>
      <c r="C29" s="219"/>
      <c r="D29" s="414"/>
      <c r="E29" s="414"/>
      <c r="F29" s="219"/>
      <c r="G29" s="414"/>
      <c r="H29" s="414"/>
      <c r="M29" s="40"/>
    </row>
    <row r="30" spans="1:18" ht="17.25" customHeight="1">
      <c r="A30" s="414"/>
      <c r="B30" s="414"/>
      <c r="C30" s="219"/>
      <c r="D30" s="414"/>
      <c r="E30" s="414"/>
      <c r="F30" s="219"/>
      <c r="G30" s="414"/>
      <c r="H30" s="414"/>
      <c r="M30" s="40"/>
    </row>
    <row r="31" spans="1:18" ht="17.25" customHeight="1">
      <c r="A31" s="414"/>
      <c r="B31" s="414"/>
      <c r="C31" s="219"/>
      <c r="D31" s="414"/>
      <c r="E31" s="414"/>
      <c r="F31" s="219"/>
      <c r="G31" s="414"/>
      <c r="H31" s="414"/>
      <c r="M31" s="40"/>
    </row>
    <row r="32" spans="1:18" ht="17.25" customHeight="1">
      <c r="A32" s="414"/>
      <c r="B32" s="414"/>
      <c r="C32" s="219"/>
      <c r="D32" s="414"/>
      <c r="E32" s="414"/>
      <c r="F32" s="219"/>
      <c r="G32" s="414"/>
      <c r="H32" s="414"/>
      <c r="M32" s="40"/>
    </row>
    <row r="33" spans="1:13" ht="17.25" customHeight="1">
      <c r="A33" s="414"/>
      <c r="B33" s="414"/>
      <c r="C33" s="219"/>
      <c r="D33" s="414"/>
      <c r="E33" s="414"/>
      <c r="F33" s="219"/>
      <c r="G33" s="414"/>
      <c r="H33" s="414"/>
      <c r="M33" s="40"/>
    </row>
    <row r="34" spans="1:13" ht="17.25" customHeight="1">
      <c r="A34" s="414"/>
      <c r="B34" s="414"/>
      <c r="C34" s="219"/>
      <c r="D34" s="414"/>
      <c r="E34" s="414"/>
      <c r="F34" s="219"/>
      <c r="G34" s="414"/>
      <c r="H34" s="414"/>
      <c r="M34" s="40"/>
    </row>
    <row r="35" spans="1:13" ht="17.25" customHeight="1">
      <c r="A35" s="414"/>
      <c r="B35" s="414"/>
      <c r="C35" s="219"/>
      <c r="D35" s="414"/>
      <c r="E35" s="414"/>
      <c r="F35" s="219"/>
      <c r="G35" s="414"/>
      <c r="H35" s="414"/>
      <c r="M35" s="40"/>
    </row>
    <row r="36" spans="1:13">
      <c r="M36" s="40"/>
    </row>
    <row r="37" spans="1:13">
      <c r="M37" s="40"/>
    </row>
    <row r="38" spans="1:13">
      <c r="M38" s="40"/>
    </row>
    <row r="39" spans="1:13">
      <c r="M39" s="40"/>
    </row>
    <row r="40" spans="1:13">
      <c r="M40" s="40"/>
    </row>
    <row r="41" spans="1:13">
      <c r="M41" s="40"/>
    </row>
    <row r="42" spans="1:13">
      <c r="M42" s="40"/>
    </row>
    <row r="43" spans="1:13">
      <c r="M43" s="40"/>
    </row>
    <row r="44" spans="1:13">
      <c r="M44" s="40"/>
    </row>
    <row r="45" spans="1:13">
      <c r="M45" s="40"/>
    </row>
    <row r="46" spans="1:13">
      <c r="M46" s="40"/>
    </row>
    <row r="47" spans="1:13">
      <c r="M47" s="40"/>
    </row>
    <row r="48" spans="1:13">
      <c r="M48" s="40"/>
    </row>
    <row r="49" spans="13:13">
      <c r="M49" s="40"/>
    </row>
    <row r="50" spans="13:13">
      <c r="M50" s="40"/>
    </row>
    <row r="51" spans="13:13">
      <c r="M51" s="40"/>
    </row>
    <row r="52" spans="13:13">
      <c r="M52" s="40"/>
    </row>
    <row r="53" spans="13:13">
      <c r="M53" s="40"/>
    </row>
  </sheetData>
  <mergeCells count="98">
    <mergeCell ref="A35:B35"/>
    <mergeCell ref="D35:E35"/>
    <mergeCell ref="G35:H35"/>
    <mergeCell ref="A33:B33"/>
    <mergeCell ref="D33:E33"/>
    <mergeCell ref="G33:H33"/>
    <mergeCell ref="A34:B34"/>
    <mergeCell ref="D34:E34"/>
    <mergeCell ref="G34:H34"/>
    <mergeCell ref="A31:B31"/>
    <mergeCell ref="D31:E31"/>
    <mergeCell ref="G31:H31"/>
    <mergeCell ref="A32:B32"/>
    <mergeCell ref="D32:E32"/>
    <mergeCell ref="G32:H32"/>
    <mergeCell ref="A29:B29"/>
    <mergeCell ref="D29:E29"/>
    <mergeCell ref="G29:H29"/>
    <mergeCell ref="A30:B30"/>
    <mergeCell ref="D30:E30"/>
    <mergeCell ref="G30:H30"/>
    <mergeCell ref="A27:B27"/>
    <mergeCell ref="D27:E27"/>
    <mergeCell ref="G27:H27"/>
    <mergeCell ref="A28:B28"/>
    <mergeCell ref="D28:E28"/>
    <mergeCell ref="G28:H28"/>
    <mergeCell ref="A26:B26"/>
    <mergeCell ref="D26:E26"/>
    <mergeCell ref="G26:H26"/>
    <mergeCell ref="A17:B17"/>
    <mergeCell ref="C17:D17"/>
    <mergeCell ref="A18:B18"/>
    <mergeCell ref="C18:D18"/>
    <mergeCell ref="A19:B19"/>
    <mergeCell ref="C19:D19"/>
    <mergeCell ref="A21:B21"/>
    <mergeCell ref="C21:D21"/>
    <mergeCell ref="A20:B20"/>
    <mergeCell ref="C20:D20"/>
    <mergeCell ref="A22:B22"/>
    <mergeCell ref="C22:D22"/>
    <mergeCell ref="A24:H24"/>
    <mergeCell ref="A14:B14"/>
    <mergeCell ref="C14:D14"/>
    <mergeCell ref="A15:B15"/>
    <mergeCell ref="C15:D15"/>
    <mergeCell ref="A16:B16"/>
    <mergeCell ref="C16:D16"/>
    <mergeCell ref="A12:B12"/>
    <mergeCell ref="C12:D12"/>
    <mergeCell ref="E12:F12"/>
    <mergeCell ref="G12:H12"/>
    <mergeCell ref="A13:B13"/>
    <mergeCell ref="C13:D13"/>
    <mergeCell ref="K11:Q11"/>
    <mergeCell ref="A10:B10"/>
    <mergeCell ref="C10:D10"/>
    <mergeCell ref="E10:F10"/>
    <mergeCell ref="G10:H10"/>
    <mergeCell ref="K10:R10"/>
    <mergeCell ref="A9:B9"/>
    <mergeCell ref="C9:D9"/>
    <mergeCell ref="E9:F9"/>
    <mergeCell ref="G9:H9"/>
    <mergeCell ref="A11:B11"/>
    <mergeCell ref="C11:D11"/>
    <mergeCell ref="E11:F11"/>
    <mergeCell ref="G11:H11"/>
    <mergeCell ref="K6:Q6"/>
    <mergeCell ref="A8:B8"/>
    <mergeCell ref="C8:D8"/>
    <mergeCell ref="E8:F8"/>
    <mergeCell ref="G8:H8"/>
    <mergeCell ref="A7:D7"/>
    <mergeCell ref="E7:H7"/>
    <mergeCell ref="A6:B6"/>
    <mergeCell ref="C6:D6"/>
    <mergeCell ref="E6:F6"/>
    <mergeCell ref="G6:H6"/>
    <mergeCell ref="J3:R3"/>
    <mergeCell ref="A4:B4"/>
    <mergeCell ref="C4:D4"/>
    <mergeCell ref="E4:F4"/>
    <mergeCell ref="G4:H4"/>
    <mergeCell ref="A5:B5"/>
    <mergeCell ref="C5:D5"/>
    <mergeCell ref="E5:F5"/>
    <mergeCell ref="G5:H5"/>
    <mergeCell ref="K5:R5"/>
    <mergeCell ref="A1:H1"/>
    <mergeCell ref="A2:B2"/>
    <mergeCell ref="C2:D2"/>
    <mergeCell ref="E2:H2"/>
    <mergeCell ref="A3:B3"/>
    <mergeCell ref="C3:D3"/>
    <mergeCell ref="E3:F3"/>
    <mergeCell ref="G3:H3"/>
  </mergeCells>
  <pageMargins left="0.25" right="0.25" top="0.75" bottom="0.75" header="0.3" footer="0.3"/>
  <pageSetup scale="65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ADCD-C6E4-4509-8F9E-13A4A8857B9F}">
  <sheetPr>
    <pageSetUpPr fitToPage="1"/>
  </sheetPr>
  <dimension ref="A1:H40"/>
  <sheetViews>
    <sheetView zoomScale="75" zoomScaleNormal="75" workbookViewId="0">
      <selection activeCell="A3" sqref="A3"/>
    </sheetView>
  </sheetViews>
  <sheetFormatPr defaultRowHeight="15"/>
  <cols>
    <col min="1" max="1" width="3.5703125" customWidth="1"/>
    <col min="2" max="2" width="22.85546875" customWidth="1"/>
    <col min="3" max="3" width="21.140625" customWidth="1"/>
    <col min="4" max="4" width="16.42578125" customWidth="1"/>
    <col min="5" max="5" width="42.42578125" customWidth="1"/>
    <col min="6" max="6" width="30.28515625" customWidth="1"/>
    <col min="7" max="7" width="1.7109375" customWidth="1"/>
    <col min="8" max="8" width="6.28515625" customWidth="1"/>
    <col min="9" max="9" width="5.7109375" customWidth="1"/>
    <col min="10" max="10" width="3.7109375" customWidth="1"/>
    <col min="11" max="11" width="13.7109375" customWidth="1"/>
    <col min="12" max="12" width="5.7109375" customWidth="1"/>
    <col min="13" max="13" width="3.7109375" customWidth="1"/>
    <col min="14" max="14" width="13.7109375" customWidth="1"/>
    <col min="15" max="15" width="5.7109375" customWidth="1"/>
    <col min="16" max="16" width="3.7109375" customWidth="1"/>
    <col min="17" max="17" width="5.7109375" customWidth="1"/>
  </cols>
  <sheetData>
    <row r="1" spans="1:8" ht="46.5">
      <c r="A1" s="390" t="s">
        <v>330</v>
      </c>
      <c r="B1" s="390"/>
      <c r="C1" s="390"/>
      <c r="D1" s="390"/>
      <c r="E1" s="390"/>
      <c r="F1" s="390"/>
    </row>
    <row r="2" spans="1:8" ht="9.75" customHeight="1">
      <c r="A2" s="42"/>
      <c r="B2" s="42"/>
      <c r="C2" s="42"/>
      <c r="D2" s="42"/>
      <c r="E2" s="42"/>
      <c r="F2" s="42"/>
    </row>
    <row r="3" spans="1:8" ht="50.25" customHeight="1">
      <c r="A3" s="43" t="s">
        <v>42</v>
      </c>
      <c r="B3" s="51" t="s">
        <v>43</v>
      </c>
      <c r="C3" s="51" t="s">
        <v>191</v>
      </c>
      <c r="D3" s="51" t="s">
        <v>192</v>
      </c>
      <c r="E3" s="51" t="s">
        <v>193</v>
      </c>
      <c r="F3" s="52" t="s">
        <v>194</v>
      </c>
      <c r="H3" s="109" t="s">
        <v>195</v>
      </c>
    </row>
    <row r="4" spans="1:8" ht="20.25" customHeight="1">
      <c r="A4" s="44"/>
      <c r="B4" s="45" t="s">
        <v>407</v>
      </c>
      <c r="C4" s="46">
        <v>881</v>
      </c>
      <c r="D4" s="46" t="s">
        <v>244</v>
      </c>
      <c r="E4" s="59" t="s">
        <v>408</v>
      </c>
      <c r="F4" s="46" t="s">
        <v>209</v>
      </c>
      <c r="H4" s="60" t="b">
        <v>1</v>
      </c>
    </row>
    <row r="5" spans="1:8" ht="20.25" customHeight="1">
      <c r="A5" s="44"/>
      <c r="B5" s="47" t="s">
        <v>409</v>
      </c>
      <c r="C5" s="84">
        <v>641</v>
      </c>
      <c r="D5" s="48" t="s">
        <v>410</v>
      </c>
      <c r="E5" s="179" t="s">
        <v>411</v>
      </c>
      <c r="F5" s="48" t="s">
        <v>217</v>
      </c>
      <c r="H5" s="60" t="b">
        <v>1</v>
      </c>
    </row>
    <row r="6" spans="1:8" ht="27" customHeight="1">
      <c r="A6" s="44"/>
      <c r="B6" s="45" t="s">
        <v>318</v>
      </c>
      <c r="C6" s="46">
        <v>717</v>
      </c>
      <c r="D6" s="46" t="s">
        <v>197</v>
      </c>
      <c r="E6" s="59" t="s">
        <v>412</v>
      </c>
      <c r="F6" s="46" t="s">
        <v>217</v>
      </c>
      <c r="H6" s="60" t="b">
        <v>1</v>
      </c>
    </row>
    <row r="7" spans="1:8" ht="20.25" customHeight="1">
      <c r="A7" s="44"/>
      <c r="B7" s="47" t="s">
        <v>399</v>
      </c>
      <c r="C7" s="48">
        <v>17</v>
      </c>
      <c r="D7" s="48" t="s">
        <v>206</v>
      </c>
      <c r="E7" s="179" t="s">
        <v>413</v>
      </c>
      <c r="F7" s="48" t="s">
        <v>209</v>
      </c>
      <c r="H7" s="60" t="b">
        <v>1</v>
      </c>
    </row>
    <row r="8" spans="1:8" ht="20.25" customHeight="1">
      <c r="A8" s="44"/>
      <c r="B8" s="45" t="s">
        <v>414</v>
      </c>
      <c r="C8" s="46">
        <v>717</v>
      </c>
      <c r="D8" s="46" t="s">
        <v>410</v>
      </c>
      <c r="E8" s="59" t="s">
        <v>415</v>
      </c>
      <c r="F8" s="46" t="s">
        <v>209</v>
      </c>
      <c r="H8" s="60" t="b">
        <v>1</v>
      </c>
    </row>
    <row r="9" spans="1:8" ht="20.25" customHeight="1">
      <c r="A9" s="44"/>
      <c r="B9" s="47" t="s">
        <v>416</v>
      </c>
      <c r="C9" s="48">
        <v>22</v>
      </c>
      <c r="D9" s="48" t="s">
        <v>215</v>
      </c>
      <c r="E9" s="179" t="s">
        <v>417</v>
      </c>
      <c r="F9" s="48" t="s">
        <v>217</v>
      </c>
      <c r="H9" s="60" t="b">
        <v>1</v>
      </c>
    </row>
    <row r="10" spans="1:8" ht="20.25" customHeight="1">
      <c r="A10" s="44"/>
      <c r="B10" s="45" t="s">
        <v>418</v>
      </c>
      <c r="C10" s="46">
        <v>20</v>
      </c>
      <c r="D10" s="46" t="s">
        <v>206</v>
      </c>
      <c r="E10" s="59" t="s">
        <v>419</v>
      </c>
      <c r="F10" s="46" t="s">
        <v>223</v>
      </c>
      <c r="H10" s="60" t="b">
        <v>1</v>
      </c>
    </row>
    <row r="11" spans="1:8" ht="20.25" customHeight="1">
      <c r="A11" s="44"/>
      <c r="B11" s="47" t="s">
        <v>420</v>
      </c>
      <c r="C11" s="48">
        <v>21</v>
      </c>
      <c r="D11" s="48" t="s">
        <v>206</v>
      </c>
      <c r="E11" s="179" t="s">
        <v>421</v>
      </c>
      <c r="F11" s="48" t="s">
        <v>223</v>
      </c>
      <c r="H11" s="60" t="b">
        <v>1</v>
      </c>
    </row>
    <row r="12" spans="1:8" ht="20.25" customHeight="1">
      <c r="A12" s="44"/>
      <c r="B12" s="45" t="s">
        <v>226</v>
      </c>
      <c r="C12" s="46">
        <v>23</v>
      </c>
      <c r="D12" s="46" t="s">
        <v>206</v>
      </c>
      <c r="E12" s="59" t="s">
        <v>422</v>
      </c>
      <c r="F12" s="46" t="s">
        <v>223</v>
      </c>
      <c r="H12" s="60" t="b">
        <v>1</v>
      </c>
    </row>
    <row r="13" spans="1:8" ht="20.25" customHeight="1">
      <c r="A13" s="44"/>
      <c r="B13" s="47" t="s">
        <v>328</v>
      </c>
      <c r="C13" s="48">
        <v>14</v>
      </c>
      <c r="D13" s="48" t="s">
        <v>206</v>
      </c>
      <c r="E13" s="179" t="s">
        <v>423</v>
      </c>
      <c r="F13" s="48" t="s">
        <v>223</v>
      </c>
      <c r="H13" s="60" t="b">
        <v>1</v>
      </c>
    </row>
    <row r="14" spans="1:8" ht="20.25" customHeight="1">
      <c r="A14" s="44"/>
      <c r="B14" s="45" t="s">
        <v>261</v>
      </c>
      <c r="C14" s="46">
        <v>919</v>
      </c>
      <c r="D14" s="46" t="s">
        <v>206</v>
      </c>
      <c r="E14" s="59" t="s">
        <v>424</v>
      </c>
      <c r="F14" s="46" t="s">
        <v>359</v>
      </c>
      <c r="H14" s="60" t="b">
        <v>1</v>
      </c>
    </row>
    <row r="15" spans="1:8" ht="20.25" customHeight="1">
      <c r="A15" s="44"/>
      <c r="B15" s="47" t="s">
        <v>425</v>
      </c>
      <c r="C15" s="48">
        <v>919</v>
      </c>
      <c r="D15" s="48" t="s">
        <v>215</v>
      </c>
      <c r="E15" s="179" t="s">
        <v>426</v>
      </c>
      <c r="F15" s="48" t="s">
        <v>359</v>
      </c>
      <c r="H15" s="60" t="b">
        <v>1</v>
      </c>
    </row>
    <row r="16" spans="1:8" ht="20.25" customHeight="1">
      <c r="A16" s="44"/>
      <c r="B16" s="45" t="s">
        <v>427</v>
      </c>
      <c r="C16" s="46">
        <v>919</v>
      </c>
      <c r="D16" s="46" t="s">
        <v>215</v>
      </c>
      <c r="E16" s="240" t="s">
        <v>426</v>
      </c>
      <c r="F16" s="46" t="s">
        <v>359</v>
      </c>
      <c r="H16" s="60" t="b">
        <v>1</v>
      </c>
    </row>
    <row r="17" spans="1:8" ht="20.25" customHeight="1">
      <c r="A17" s="44"/>
      <c r="B17" s="49" t="s">
        <v>428</v>
      </c>
      <c r="C17" s="49">
        <v>975</v>
      </c>
      <c r="D17" s="49" t="s">
        <v>215</v>
      </c>
      <c r="E17" s="49" t="s">
        <v>429</v>
      </c>
      <c r="F17" s="49" t="s">
        <v>248</v>
      </c>
      <c r="H17" s="60" t="b">
        <v>0</v>
      </c>
    </row>
    <row r="18" spans="1:8" ht="20.25" customHeight="1">
      <c r="A18" s="44"/>
      <c r="B18" s="45" t="s">
        <v>430</v>
      </c>
      <c r="C18" s="50">
        <v>29</v>
      </c>
      <c r="D18" s="50" t="s">
        <v>244</v>
      </c>
      <c r="E18" s="59" t="s">
        <v>431</v>
      </c>
      <c r="F18" s="50" t="s">
        <v>248</v>
      </c>
      <c r="H18" s="60" t="b">
        <v>0</v>
      </c>
    </row>
    <row r="19" spans="1:8" ht="20.25" customHeight="1">
      <c r="A19" s="44"/>
      <c r="B19" s="45" t="s">
        <v>432</v>
      </c>
      <c r="C19" s="49">
        <v>29</v>
      </c>
      <c r="D19" s="49" t="s">
        <v>215</v>
      </c>
      <c r="E19" s="179" t="s">
        <v>433</v>
      </c>
      <c r="F19" s="49" t="s">
        <v>248</v>
      </c>
      <c r="H19" s="60" t="b">
        <v>0</v>
      </c>
    </row>
    <row r="20" spans="1:8" ht="20.25" customHeight="1">
      <c r="A20" s="44"/>
      <c r="B20" s="45" t="s">
        <v>434</v>
      </c>
      <c r="C20" s="50">
        <v>599</v>
      </c>
      <c r="D20" s="50" t="s">
        <v>410</v>
      </c>
      <c r="E20" s="59" t="s">
        <v>435</v>
      </c>
      <c r="F20" s="50" t="s">
        <v>248</v>
      </c>
      <c r="H20" s="60" t="b">
        <v>0</v>
      </c>
    </row>
    <row r="21" spans="1:8" ht="20.25" customHeight="1">
      <c r="A21" s="44"/>
      <c r="B21" s="47" t="s">
        <v>436</v>
      </c>
      <c r="C21" s="49">
        <v>32</v>
      </c>
      <c r="D21" s="49" t="s">
        <v>353</v>
      </c>
      <c r="E21" s="179" t="s">
        <v>437</v>
      </c>
      <c r="F21" s="49" t="s">
        <v>202</v>
      </c>
      <c r="H21" s="60" t="b">
        <v>1</v>
      </c>
    </row>
    <row r="22" spans="1:8" ht="20.25" customHeight="1">
      <c r="A22" s="44"/>
      <c r="B22" s="45" t="s">
        <v>438</v>
      </c>
      <c r="C22" s="50">
        <v>4</v>
      </c>
      <c r="D22" s="50" t="s">
        <v>244</v>
      </c>
      <c r="E22" s="59" t="s">
        <v>439</v>
      </c>
      <c r="F22" s="50" t="s">
        <v>202</v>
      </c>
      <c r="H22" s="60" t="b">
        <v>1</v>
      </c>
    </row>
    <row r="23" spans="1:8" ht="20.25" customHeight="1">
      <c r="A23" s="44"/>
      <c r="B23" s="47" t="s">
        <v>319</v>
      </c>
      <c r="C23" s="49">
        <v>32</v>
      </c>
      <c r="D23" s="49" t="s">
        <v>353</v>
      </c>
      <c r="E23" s="179" t="s">
        <v>440</v>
      </c>
      <c r="F23" s="49" t="s">
        <v>202</v>
      </c>
      <c r="H23" s="60" t="b">
        <v>1</v>
      </c>
    </row>
    <row r="24" spans="1:8" ht="20.25" customHeight="1">
      <c r="A24" s="44"/>
      <c r="B24" s="45" t="s">
        <v>441</v>
      </c>
      <c r="C24" s="50">
        <v>606</v>
      </c>
      <c r="D24" s="50" t="s">
        <v>353</v>
      </c>
      <c r="E24" s="59" t="s">
        <v>442</v>
      </c>
      <c r="F24" s="50" t="s">
        <v>202</v>
      </c>
      <c r="H24" s="60" t="b">
        <v>1</v>
      </c>
    </row>
    <row r="25" spans="1:8" ht="20.25" customHeight="1">
      <c r="A25" s="44"/>
      <c r="B25" s="47" t="s">
        <v>443</v>
      </c>
      <c r="C25" s="49">
        <v>8</v>
      </c>
      <c r="D25" s="49" t="s">
        <v>215</v>
      </c>
      <c r="E25" s="179" t="s">
        <v>444</v>
      </c>
      <c r="F25" s="49" t="s">
        <v>235</v>
      </c>
      <c r="H25" s="60" t="b">
        <v>1</v>
      </c>
    </row>
    <row r="26" spans="1:8" ht="20.25" customHeight="1">
      <c r="A26" s="44"/>
      <c r="B26" s="45" t="s">
        <v>445</v>
      </c>
      <c r="C26" s="50">
        <v>116</v>
      </c>
      <c r="D26" s="50" t="s">
        <v>353</v>
      </c>
      <c r="E26" s="59" t="s">
        <v>446</v>
      </c>
      <c r="F26" s="50" t="s">
        <v>235</v>
      </c>
      <c r="H26" s="60" t="b">
        <v>1</v>
      </c>
    </row>
    <row r="27" spans="1:8" ht="20.25" customHeight="1">
      <c r="A27" s="44"/>
      <c r="B27" s="47" t="s">
        <v>64</v>
      </c>
      <c r="C27" s="49">
        <v>12</v>
      </c>
      <c r="D27" s="49" t="s">
        <v>215</v>
      </c>
      <c r="E27" s="179" t="s">
        <v>447</v>
      </c>
      <c r="F27" s="49" t="s">
        <v>235</v>
      </c>
      <c r="H27" s="60" t="b">
        <v>1</v>
      </c>
    </row>
    <row r="28" spans="1:8" ht="20.25" customHeight="1">
      <c r="A28" s="44"/>
      <c r="B28" s="45"/>
      <c r="C28" s="50"/>
      <c r="D28" s="50"/>
      <c r="E28" s="59"/>
      <c r="F28" s="50"/>
      <c r="H28" s="60" t="b">
        <v>0</v>
      </c>
    </row>
    <row r="29" spans="1:8" ht="20.25" customHeight="1">
      <c r="A29" s="44"/>
      <c r="B29" s="47"/>
      <c r="C29" s="49"/>
      <c r="D29" s="49"/>
      <c r="E29" s="179"/>
      <c r="F29" s="49"/>
      <c r="H29" s="60" t="b">
        <v>0</v>
      </c>
    </row>
    <row r="30" spans="1:8" ht="20.25" customHeight="1">
      <c r="A30" s="44"/>
      <c r="B30" s="45"/>
      <c r="C30" s="50"/>
      <c r="D30" s="50"/>
      <c r="E30" s="59"/>
      <c r="F30" s="50"/>
      <c r="H30" s="60" t="b">
        <v>0</v>
      </c>
    </row>
    <row r="31" spans="1:8" ht="20.25" customHeight="1">
      <c r="A31" s="44"/>
      <c r="B31" s="47"/>
      <c r="C31" s="49"/>
      <c r="D31" s="49"/>
      <c r="E31" s="179"/>
      <c r="F31" s="49"/>
      <c r="H31" s="60" t="b">
        <v>0</v>
      </c>
    </row>
    <row r="32" spans="1:8" ht="20.25" customHeight="1">
      <c r="A32" s="44"/>
      <c r="B32" s="45"/>
      <c r="C32" s="50"/>
      <c r="D32" s="50"/>
      <c r="E32" s="59"/>
      <c r="F32" s="50"/>
      <c r="H32" s="60" t="b">
        <v>0</v>
      </c>
    </row>
    <row r="33" spans="1:8" ht="20.25" customHeight="1">
      <c r="A33" s="44"/>
      <c r="B33" s="47"/>
      <c r="C33" s="49"/>
      <c r="D33" s="49"/>
      <c r="E33" s="179"/>
      <c r="F33" s="49"/>
      <c r="H33" s="60" t="b">
        <v>0</v>
      </c>
    </row>
    <row r="34" spans="1:8">
      <c r="A34" s="44"/>
      <c r="B34" s="45"/>
      <c r="C34" s="50"/>
      <c r="D34" s="50"/>
      <c r="E34" s="59"/>
      <c r="F34" s="50"/>
      <c r="H34" s="60" t="b">
        <v>0</v>
      </c>
    </row>
    <row r="35" spans="1:8" ht="20.25" customHeight="1">
      <c r="A35" s="44"/>
      <c r="B35" s="47"/>
      <c r="C35" s="49"/>
      <c r="D35" s="49"/>
      <c r="E35" s="179"/>
      <c r="F35" s="49"/>
      <c r="H35" s="60" t="b">
        <v>0</v>
      </c>
    </row>
    <row r="36" spans="1:8" ht="20.25" customHeight="1">
      <c r="A36" s="44"/>
      <c r="B36" s="45"/>
      <c r="C36" s="50"/>
      <c r="D36" s="50"/>
      <c r="E36" s="59"/>
      <c r="F36" s="50"/>
      <c r="H36" s="60" t="b">
        <v>0</v>
      </c>
    </row>
    <row r="37" spans="1:8">
      <c r="B37" s="40"/>
      <c r="C37" s="40"/>
      <c r="D37" s="41"/>
      <c r="E37" s="40"/>
      <c r="F37" s="40"/>
    </row>
    <row r="38" spans="1:8">
      <c r="B38" s="40"/>
      <c r="C38" s="40"/>
      <c r="D38" s="41"/>
      <c r="E38" s="40"/>
      <c r="F38" s="40"/>
    </row>
    <row r="39" spans="1:8">
      <c r="B39" s="40"/>
      <c r="C39" s="40"/>
      <c r="D39" s="41"/>
      <c r="E39" s="40"/>
      <c r="F39" s="40"/>
    </row>
    <row r="40" spans="1:8">
      <c r="B40" s="40"/>
      <c r="C40" s="40"/>
      <c r="D40" s="41"/>
      <c r="E40" s="40"/>
      <c r="F40" s="40"/>
    </row>
  </sheetData>
  <mergeCells count="1">
    <mergeCell ref="A1:F1"/>
  </mergeCells>
  <pageMargins left="0" right="0" top="0" bottom="0" header="0.3" footer="0.3"/>
  <pageSetup scale="77" orientation="landscape" horizontalDpi="0" verticalDpi="0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4366-C0E0-4FA3-8B69-F297CCFCBAC6}">
  <dimension ref="A1:Q53"/>
  <sheetViews>
    <sheetView workbookViewId="0">
      <selection activeCell="H3" sqref="H3"/>
    </sheetView>
  </sheetViews>
  <sheetFormatPr defaultColWidth="9.140625" defaultRowHeight="15" customHeight="1"/>
  <cols>
    <col min="1" max="1" width="14.7109375" customWidth="1"/>
    <col min="2" max="3" width="8.28515625" customWidth="1"/>
    <col min="4" max="7" width="15.7109375" customWidth="1"/>
    <col min="23" max="23" width="9.28515625" bestFit="1" customWidth="1"/>
  </cols>
  <sheetData>
    <row r="1" spans="1:17" ht="46.5" customHeight="1">
      <c r="A1" s="482" t="s">
        <v>448</v>
      </c>
      <c r="B1" s="482"/>
      <c r="C1" s="482"/>
      <c r="D1" s="482"/>
      <c r="E1" s="482"/>
      <c r="F1" s="482"/>
      <c r="G1" s="482"/>
      <c r="H1" s="180"/>
      <c r="I1" s="180"/>
      <c r="J1" s="180"/>
      <c r="K1" s="180"/>
      <c r="L1" s="180"/>
      <c r="M1" s="180"/>
      <c r="N1" s="180"/>
      <c r="O1" s="180"/>
      <c r="P1" s="180"/>
      <c r="Q1" s="180"/>
    </row>
    <row r="2" spans="1:17" ht="21.75" customHeight="1">
      <c r="A2" s="483" t="s">
        <v>45</v>
      </c>
      <c r="B2" s="483"/>
      <c r="C2" s="268" t="s">
        <v>449</v>
      </c>
      <c r="D2" s="484" t="s">
        <v>160</v>
      </c>
      <c r="E2" s="484"/>
      <c r="F2" s="485"/>
      <c r="G2" s="485"/>
      <c r="H2" s="180"/>
      <c r="I2" s="180"/>
      <c r="J2" s="180"/>
      <c r="K2" s="180"/>
      <c r="L2" s="180"/>
      <c r="M2" s="180"/>
      <c r="N2" s="180"/>
      <c r="O2" s="180"/>
      <c r="P2" s="180"/>
      <c r="Q2" s="180"/>
    </row>
    <row r="3" spans="1:17" ht="39.75" customHeight="1">
      <c r="A3" s="509" t="s">
        <v>270</v>
      </c>
      <c r="B3" s="510"/>
      <c r="C3" s="262"/>
      <c r="D3" s="420"/>
      <c r="E3" s="421"/>
      <c r="F3" s="420"/>
      <c r="G3" s="422"/>
      <c r="H3" s="180"/>
      <c r="I3" s="423" t="s">
        <v>154</v>
      </c>
      <c r="J3" s="423"/>
      <c r="K3" s="423"/>
      <c r="L3" s="423"/>
      <c r="M3" s="423"/>
      <c r="N3" s="423"/>
      <c r="O3" s="423"/>
      <c r="P3" s="423"/>
      <c r="Q3" s="423"/>
    </row>
    <row r="4" spans="1:17" ht="39.75" customHeight="1">
      <c r="A4" s="509" t="s">
        <v>99</v>
      </c>
      <c r="B4" s="510"/>
      <c r="C4" s="262" t="s">
        <v>450</v>
      </c>
      <c r="D4" s="420" t="s">
        <v>451</v>
      </c>
      <c r="E4" s="421"/>
      <c r="F4" s="420" t="s">
        <v>99</v>
      </c>
      <c r="G4" s="422"/>
      <c r="H4" s="180"/>
      <c r="I4" s="180"/>
      <c r="J4" s="180"/>
      <c r="K4" s="180"/>
      <c r="L4" s="180"/>
      <c r="M4" s="180"/>
      <c r="N4" s="180"/>
      <c r="O4" s="180"/>
      <c r="P4" s="180"/>
      <c r="Q4" s="180"/>
    </row>
    <row r="5" spans="1:17" ht="39.75" customHeight="1">
      <c r="A5" s="509" t="s">
        <v>103</v>
      </c>
      <c r="B5" s="510"/>
      <c r="C5" s="262" t="s">
        <v>452</v>
      </c>
      <c r="D5" s="420" t="s">
        <v>453</v>
      </c>
      <c r="E5" s="421"/>
      <c r="F5" s="481" t="s">
        <v>103</v>
      </c>
      <c r="G5" s="472"/>
      <c r="H5" s="180"/>
      <c r="I5" s="180"/>
      <c r="J5" s="426" t="s">
        <v>274</v>
      </c>
      <c r="K5" s="426"/>
      <c r="L5" s="426"/>
      <c r="M5" s="426"/>
      <c r="N5" s="426"/>
      <c r="O5" s="426"/>
      <c r="P5" s="426"/>
      <c r="Q5" s="426"/>
    </row>
    <row r="6" spans="1:17" ht="39.75" customHeight="1">
      <c r="A6" s="509" t="s">
        <v>106</v>
      </c>
      <c r="B6" s="510"/>
      <c r="C6" s="263" t="s">
        <v>454</v>
      </c>
      <c r="D6" s="420" t="s">
        <v>455</v>
      </c>
      <c r="E6" s="421"/>
      <c r="F6" s="479" t="s">
        <v>106</v>
      </c>
      <c r="G6" s="480"/>
      <c r="H6" s="180"/>
      <c r="I6" s="180"/>
      <c r="J6" s="446" t="s">
        <v>159</v>
      </c>
      <c r="K6" s="447"/>
      <c r="L6" s="447"/>
      <c r="M6" s="447"/>
      <c r="N6" s="447"/>
      <c r="O6" s="447"/>
      <c r="P6" s="447"/>
      <c r="Q6" s="239"/>
    </row>
    <row r="7" spans="1:17" ht="26.25" customHeight="1">
      <c r="A7" s="513"/>
      <c r="B7" s="514"/>
      <c r="C7" s="258"/>
      <c r="D7" s="515"/>
      <c r="E7" s="516"/>
      <c r="F7" s="522"/>
      <c r="G7" s="523"/>
      <c r="H7" s="180"/>
      <c r="I7" s="180"/>
      <c r="J7" s="236" t="s">
        <v>12</v>
      </c>
      <c r="K7" s="237" t="s">
        <v>13</v>
      </c>
      <c r="L7" s="237" t="s">
        <v>14</v>
      </c>
      <c r="M7" s="237" t="s">
        <v>15</v>
      </c>
      <c r="N7" s="237" t="s">
        <v>16</v>
      </c>
      <c r="O7" s="237" t="s">
        <v>17</v>
      </c>
      <c r="P7" s="238" t="s">
        <v>18</v>
      </c>
      <c r="Q7" s="233"/>
    </row>
    <row r="8" spans="1:17" ht="39.75" customHeight="1">
      <c r="A8" s="506" t="s">
        <v>128</v>
      </c>
      <c r="B8" s="518"/>
      <c r="C8" s="262" t="s">
        <v>452</v>
      </c>
      <c r="D8" s="429" t="s">
        <v>456</v>
      </c>
      <c r="E8" s="430"/>
      <c r="F8" s="431">
        <v>113</v>
      </c>
      <c r="G8" s="432"/>
      <c r="H8" s="180"/>
      <c r="I8" s="180"/>
      <c r="J8" s="216">
        <f>J17-J13</f>
        <v>6</v>
      </c>
      <c r="K8" s="216">
        <f t="shared" ref="K8:P8" si="0">K17-K13</f>
        <v>7</v>
      </c>
      <c r="L8" s="216">
        <f t="shared" si="0"/>
        <v>7</v>
      </c>
      <c r="M8" s="216">
        <f t="shared" si="0"/>
        <v>3</v>
      </c>
      <c r="N8" s="216">
        <f t="shared" si="0"/>
        <v>4</v>
      </c>
      <c r="O8" s="216">
        <f t="shared" si="0"/>
        <v>5</v>
      </c>
      <c r="P8" s="216">
        <f t="shared" si="0"/>
        <v>3</v>
      </c>
      <c r="Q8" s="235">
        <v>26</v>
      </c>
    </row>
    <row r="9" spans="1:17" ht="39.75" customHeight="1">
      <c r="A9" s="506" t="s">
        <v>78</v>
      </c>
      <c r="B9" s="518"/>
      <c r="C9" s="262" t="s">
        <v>452</v>
      </c>
      <c r="D9" s="433" t="s">
        <v>456</v>
      </c>
      <c r="E9" s="434"/>
      <c r="F9" s="469">
        <v>0.16400000000000001</v>
      </c>
      <c r="G9" s="422"/>
      <c r="H9" s="180"/>
      <c r="I9" s="180"/>
      <c r="J9" s="180"/>
      <c r="K9" s="180"/>
      <c r="L9" s="180"/>
      <c r="M9" s="180"/>
      <c r="N9" s="180"/>
      <c r="O9" s="180"/>
      <c r="P9" s="180"/>
      <c r="Q9" s="180"/>
    </row>
    <row r="10" spans="1:17" ht="39.75" customHeight="1">
      <c r="A10" s="506" t="s">
        <v>80</v>
      </c>
      <c r="B10" s="518"/>
      <c r="C10" s="262" t="s">
        <v>450</v>
      </c>
      <c r="D10" s="433" t="s">
        <v>457</v>
      </c>
      <c r="E10" s="434"/>
      <c r="F10" s="473">
        <v>0.25</v>
      </c>
      <c r="G10" s="422"/>
      <c r="H10" s="180"/>
      <c r="I10" s="180"/>
      <c r="J10" s="454" t="s">
        <v>164</v>
      </c>
      <c r="K10" s="455"/>
      <c r="L10" s="455"/>
      <c r="M10" s="455"/>
      <c r="N10" s="455"/>
      <c r="O10" s="455"/>
      <c r="P10" s="455"/>
      <c r="Q10" s="456"/>
    </row>
    <row r="11" spans="1:17" ht="39.75" customHeight="1">
      <c r="A11" s="506" t="s">
        <v>81</v>
      </c>
      <c r="B11" s="518"/>
      <c r="C11" s="263" t="s">
        <v>458</v>
      </c>
      <c r="D11" s="448" t="s">
        <v>459</v>
      </c>
      <c r="E11" s="449"/>
      <c r="F11" s="467">
        <v>0.49299999999999999</v>
      </c>
      <c r="G11" s="451"/>
      <c r="H11" s="180"/>
      <c r="I11" s="180"/>
      <c r="J11" s="452" t="s">
        <v>166</v>
      </c>
      <c r="K11" s="453"/>
      <c r="L11" s="453"/>
      <c r="M11" s="453"/>
      <c r="N11" s="453"/>
      <c r="O11" s="453"/>
      <c r="P11" s="453"/>
      <c r="Q11" s="233"/>
    </row>
    <row r="12" spans="1:17" ht="15" customHeight="1">
      <c r="A12" s="521"/>
      <c r="B12" s="521"/>
      <c r="C12" s="259" t="s">
        <v>460</v>
      </c>
      <c r="D12" s="459" t="s">
        <v>461</v>
      </c>
      <c r="E12" s="460"/>
      <c r="F12" s="461" t="s">
        <v>462</v>
      </c>
      <c r="G12" s="462"/>
      <c r="H12" s="180"/>
      <c r="I12" s="180"/>
      <c r="J12" s="227" t="s">
        <v>12</v>
      </c>
      <c r="K12" s="188" t="s">
        <v>13</v>
      </c>
      <c r="L12" s="229" t="s">
        <v>14</v>
      </c>
      <c r="M12" s="225" t="s">
        <v>15</v>
      </c>
      <c r="N12" s="191" t="s">
        <v>16</v>
      </c>
      <c r="O12" s="231" t="s">
        <v>17</v>
      </c>
      <c r="P12" s="232" t="s">
        <v>18</v>
      </c>
      <c r="Q12" s="234"/>
    </row>
    <row r="13" spans="1:17" ht="39.75" customHeight="1">
      <c r="A13" s="506" t="s">
        <v>52</v>
      </c>
      <c r="B13" s="518"/>
      <c r="C13" s="260" t="s">
        <v>452</v>
      </c>
      <c r="D13" s="449" t="s">
        <v>463</v>
      </c>
      <c r="E13" s="449"/>
      <c r="F13" s="450" t="s">
        <v>464</v>
      </c>
      <c r="G13" s="451"/>
      <c r="H13" s="180"/>
      <c r="I13" s="180"/>
      <c r="J13" s="228">
        <v>1</v>
      </c>
      <c r="K13" s="214">
        <v>0</v>
      </c>
      <c r="L13" s="230">
        <v>0</v>
      </c>
      <c r="M13" s="226">
        <v>4</v>
      </c>
      <c r="N13" s="214">
        <v>3</v>
      </c>
      <c r="O13" s="214">
        <v>2</v>
      </c>
      <c r="P13" s="215">
        <v>4</v>
      </c>
      <c r="Q13" s="235">
        <f>SUM(J13:P13)</f>
        <v>14</v>
      </c>
    </row>
    <row r="14" spans="1:17" ht="39.75" customHeight="1">
      <c r="A14" s="506" t="s">
        <v>55</v>
      </c>
      <c r="B14" s="518"/>
      <c r="C14" s="260" t="s">
        <v>465</v>
      </c>
      <c r="D14" s="449" t="s">
        <v>466</v>
      </c>
      <c r="E14" s="449"/>
      <c r="F14" s="467">
        <v>0.83499999999999996</v>
      </c>
      <c r="G14" s="451"/>
      <c r="H14" s="180"/>
      <c r="I14" s="180"/>
      <c r="J14" s="180"/>
      <c r="K14" s="180"/>
      <c r="L14" s="180"/>
      <c r="M14" s="180"/>
      <c r="N14" s="180"/>
      <c r="O14" s="180"/>
      <c r="P14" s="180"/>
      <c r="Q14" s="195"/>
    </row>
    <row r="15" spans="1:17" ht="39.75" customHeight="1">
      <c r="A15" s="506" t="s">
        <v>57</v>
      </c>
      <c r="B15" s="518"/>
      <c r="C15" s="260" t="s">
        <v>452</v>
      </c>
      <c r="D15" s="449" t="s">
        <v>467</v>
      </c>
      <c r="E15" s="449"/>
      <c r="F15" s="467">
        <v>0.98799999999999999</v>
      </c>
      <c r="G15" s="451"/>
      <c r="H15" s="180"/>
      <c r="I15" s="180"/>
      <c r="J15" s="241" t="s">
        <v>173</v>
      </c>
      <c r="K15" s="242" t="s">
        <v>174</v>
      </c>
      <c r="L15" s="243" t="s">
        <v>175</v>
      </c>
      <c r="M15" s="244" t="s">
        <v>263</v>
      </c>
      <c r="N15" s="245" t="s">
        <v>292</v>
      </c>
      <c r="O15" s="246" t="s">
        <v>293</v>
      </c>
      <c r="P15" s="247" t="s">
        <v>294</v>
      </c>
      <c r="Q15" s="248"/>
    </row>
    <row r="16" spans="1:17" ht="39.75" customHeight="1">
      <c r="A16" s="506" t="s">
        <v>60</v>
      </c>
      <c r="B16" s="518"/>
      <c r="C16" s="260" t="s">
        <v>465</v>
      </c>
      <c r="D16" s="449" t="s">
        <v>468</v>
      </c>
      <c r="E16" s="449"/>
      <c r="F16" s="478">
        <v>0.70699999999999996</v>
      </c>
      <c r="G16" s="451"/>
      <c r="H16" s="180"/>
      <c r="I16" s="180"/>
      <c r="J16" s="196" t="s">
        <v>12</v>
      </c>
      <c r="K16" s="197" t="s">
        <v>13</v>
      </c>
      <c r="L16" s="197" t="s">
        <v>14</v>
      </c>
      <c r="M16" s="197" t="s">
        <v>15</v>
      </c>
      <c r="N16" s="208" t="s">
        <v>16</v>
      </c>
      <c r="O16" s="208" t="s">
        <v>17</v>
      </c>
      <c r="P16" s="208" t="s">
        <v>18</v>
      </c>
      <c r="Q16" s="209" t="s">
        <v>179</v>
      </c>
    </row>
    <row r="17" spans="1:17" ht="39.75" customHeight="1">
      <c r="A17" s="506" t="s">
        <v>469</v>
      </c>
      <c r="B17" s="518"/>
      <c r="C17" s="260" t="s">
        <v>470</v>
      </c>
      <c r="D17" s="449" t="s">
        <v>471</v>
      </c>
      <c r="E17" s="449"/>
      <c r="F17" s="473">
        <v>1.2</v>
      </c>
      <c r="G17" s="422"/>
      <c r="H17" s="180"/>
      <c r="I17" s="180"/>
      <c r="J17" s="210">
        <v>7</v>
      </c>
      <c r="K17" s="211">
        <v>7</v>
      </c>
      <c r="L17" s="211">
        <v>7</v>
      </c>
      <c r="M17" s="211">
        <v>7</v>
      </c>
      <c r="N17" s="211">
        <v>7</v>
      </c>
      <c r="O17" s="211">
        <v>7</v>
      </c>
      <c r="P17" s="211">
        <v>7</v>
      </c>
      <c r="Q17" s="212">
        <v>49</v>
      </c>
    </row>
    <row r="18" spans="1:17" ht="39.75" customHeight="1">
      <c r="A18" s="506" t="s">
        <v>68</v>
      </c>
      <c r="B18" s="518"/>
      <c r="C18" s="260" t="s">
        <v>450</v>
      </c>
      <c r="D18" s="449" t="s">
        <v>451</v>
      </c>
      <c r="E18" s="449"/>
      <c r="F18" s="474">
        <v>148</v>
      </c>
      <c r="G18" s="475"/>
      <c r="H18" s="180"/>
      <c r="I18" s="180"/>
      <c r="J18" s="180"/>
      <c r="K18" s="180"/>
      <c r="L18" s="180"/>
      <c r="M18" s="180"/>
      <c r="N18" s="180"/>
      <c r="O18" s="180"/>
      <c r="P18" s="180"/>
      <c r="Q18" s="180"/>
    </row>
    <row r="19" spans="1:17" ht="47.25" customHeight="1">
      <c r="A19" s="506" t="s">
        <v>71</v>
      </c>
      <c r="B19" s="518"/>
      <c r="C19" s="260" t="s">
        <v>472</v>
      </c>
      <c r="D19" s="449" t="s">
        <v>459</v>
      </c>
      <c r="E19" s="449"/>
      <c r="F19" s="476">
        <v>0.16800000000000001</v>
      </c>
      <c r="G19" s="477"/>
      <c r="H19" s="180"/>
      <c r="I19" s="180"/>
      <c r="J19" s="180"/>
      <c r="K19" s="180"/>
      <c r="L19" s="180"/>
      <c r="M19" s="180"/>
      <c r="N19" s="180"/>
      <c r="O19" s="180"/>
      <c r="P19" s="180"/>
      <c r="Q19" s="180"/>
    </row>
    <row r="20" spans="1:17" ht="39.75" customHeight="1">
      <c r="A20" s="506" t="s">
        <v>73</v>
      </c>
      <c r="B20" s="518"/>
      <c r="C20" s="260" t="s">
        <v>465</v>
      </c>
      <c r="D20" s="449" t="s">
        <v>466</v>
      </c>
      <c r="E20" s="449"/>
      <c r="F20" s="467">
        <v>6.5000000000000002E-2</v>
      </c>
      <c r="G20" s="451"/>
      <c r="H20" s="180"/>
      <c r="I20" s="180"/>
      <c r="J20" s="180"/>
      <c r="K20" s="180"/>
      <c r="L20" s="180"/>
      <c r="M20" s="180"/>
      <c r="N20" s="180"/>
      <c r="O20" s="180"/>
      <c r="P20" s="180"/>
      <c r="Q20" s="180"/>
    </row>
    <row r="21" spans="1:17" ht="39.75" customHeight="1">
      <c r="A21" s="506" t="s">
        <v>124</v>
      </c>
      <c r="B21" s="518"/>
      <c r="C21" s="260" t="s">
        <v>465</v>
      </c>
      <c r="D21" s="468" t="s">
        <v>473</v>
      </c>
      <c r="E21" s="468"/>
      <c r="F21" s="469">
        <v>6.6000000000000003E-2</v>
      </c>
      <c r="G21" s="422"/>
      <c r="H21" s="180"/>
      <c r="I21" s="180"/>
      <c r="J21" s="180"/>
      <c r="K21" s="180"/>
      <c r="L21" s="180"/>
      <c r="M21" s="180"/>
      <c r="N21" s="180"/>
      <c r="O21" s="180"/>
      <c r="P21" s="180"/>
      <c r="Q21" s="180"/>
    </row>
    <row r="22" spans="1:17" ht="39.75" customHeight="1">
      <c r="A22" s="506" t="s">
        <v>402</v>
      </c>
      <c r="B22" s="518"/>
      <c r="C22" s="261"/>
      <c r="D22" s="470" t="s">
        <v>474</v>
      </c>
      <c r="E22" s="470"/>
      <c r="F22" s="471">
        <v>1021.5</v>
      </c>
      <c r="G22" s="472"/>
      <c r="H22" s="180"/>
      <c r="I22" s="180"/>
      <c r="J22" s="180"/>
      <c r="K22" s="180"/>
      <c r="L22" s="180"/>
      <c r="M22" s="180"/>
      <c r="N22" s="180"/>
      <c r="O22" s="180"/>
      <c r="P22" s="180"/>
      <c r="Q22" s="180"/>
    </row>
    <row r="23" spans="1:17" ht="9" customHeight="1">
      <c r="A23" s="199"/>
      <c r="B23" s="199"/>
      <c r="C23" s="222"/>
      <c r="D23" s="220"/>
      <c r="E23" s="220"/>
      <c r="F23" s="220"/>
      <c r="G23" s="181"/>
      <c r="H23" s="180"/>
      <c r="I23" s="180"/>
      <c r="J23" s="180"/>
      <c r="K23" s="180"/>
      <c r="L23" s="180"/>
      <c r="M23" s="180"/>
      <c r="N23" s="180"/>
      <c r="O23" s="180"/>
      <c r="P23" s="180"/>
      <c r="Q23" s="180"/>
    </row>
    <row r="24" spans="1:17" ht="24" customHeight="1">
      <c r="A24" s="444" t="s">
        <v>136</v>
      </c>
      <c r="B24" s="444"/>
      <c r="C24" s="444"/>
      <c r="D24" s="444"/>
      <c r="E24" s="444"/>
      <c r="F24" s="444"/>
      <c r="G24" s="444"/>
      <c r="H24" s="180"/>
      <c r="I24" s="180"/>
      <c r="J24" s="180"/>
      <c r="K24" s="180"/>
      <c r="M24" s="180"/>
      <c r="N24" s="180"/>
      <c r="O24" s="180"/>
      <c r="P24" s="180"/>
      <c r="Q24" s="180"/>
    </row>
    <row r="25" spans="1:17" ht="6.75" customHeight="1">
      <c r="L25" s="40"/>
    </row>
    <row r="26" spans="1:17" ht="17.25" customHeight="1">
      <c r="A26" s="414"/>
      <c r="B26" s="414"/>
      <c r="C26" s="253"/>
      <c r="D26" s="253"/>
      <c r="E26" s="219"/>
      <c r="F26" s="414"/>
      <c r="G26" s="414"/>
      <c r="L26" s="40"/>
    </row>
    <row r="27" spans="1:17" ht="17.25" customHeight="1">
      <c r="A27" s="414"/>
      <c r="B27" s="414"/>
      <c r="C27" s="253"/>
      <c r="D27" s="253"/>
      <c r="E27" s="219"/>
      <c r="F27" s="414"/>
      <c r="G27" s="414"/>
      <c r="L27" s="40"/>
    </row>
    <row r="28" spans="1:17" ht="17.25" customHeight="1">
      <c r="A28" s="414"/>
      <c r="B28" s="414"/>
      <c r="C28" s="253"/>
      <c r="D28" s="253"/>
      <c r="E28" s="219"/>
      <c r="F28" s="414"/>
      <c r="G28" s="414"/>
      <c r="L28" s="40"/>
    </row>
    <row r="29" spans="1:17" ht="17.25" customHeight="1">
      <c r="A29" s="414"/>
      <c r="B29" s="414"/>
      <c r="C29" s="253"/>
      <c r="D29" s="253"/>
      <c r="E29" s="219"/>
      <c r="F29" s="414"/>
      <c r="G29" s="414"/>
      <c r="L29" s="40"/>
    </row>
    <row r="30" spans="1:17" ht="17.25" customHeight="1">
      <c r="A30" s="414"/>
      <c r="B30" s="414"/>
      <c r="C30" s="253"/>
      <c r="D30" s="253"/>
      <c r="E30" s="219"/>
      <c r="F30" s="414"/>
      <c r="G30" s="414"/>
      <c r="L30" s="40"/>
    </row>
    <row r="31" spans="1:17" ht="17.25" customHeight="1">
      <c r="A31" s="414"/>
      <c r="B31" s="414"/>
      <c r="C31" s="253"/>
      <c r="D31" s="253"/>
      <c r="E31" s="219"/>
      <c r="F31" s="414"/>
      <c r="G31" s="414"/>
      <c r="L31" s="40"/>
    </row>
    <row r="32" spans="1:17" ht="17.25" customHeight="1">
      <c r="A32" s="414"/>
      <c r="B32" s="414"/>
      <c r="C32" s="253"/>
      <c r="D32" s="253"/>
      <c r="E32" s="219"/>
      <c r="F32" s="414"/>
      <c r="G32" s="414"/>
      <c r="L32" s="40"/>
    </row>
    <row r="33" spans="1:12" ht="17.25" customHeight="1">
      <c r="A33" s="414"/>
      <c r="B33" s="414"/>
      <c r="C33" s="253"/>
      <c r="D33" s="253"/>
      <c r="E33" s="219"/>
      <c r="F33" s="414"/>
      <c r="G33" s="414"/>
      <c r="L33" s="40"/>
    </row>
    <row r="34" spans="1:12" ht="17.25" customHeight="1">
      <c r="A34" s="414"/>
      <c r="B34" s="414"/>
      <c r="C34" s="253"/>
      <c r="D34" s="253"/>
      <c r="E34" s="219"/>
      <c r="F34" s="414"/>
      <c r="G34" s="414"/>
      <c r="L34" s="40"/>
    </row>
    <row r="35" spans="1:12" ht="17.25" customHeight="1">
      <c r="A35" s="414"/>
      <c r="B35" s="414"/>
      <c r="C35" s="253"/>
      <c r="D35" s="253"/>
      <c r="E35" s="219"/>
      <c r="F35" s="414"/>
      <c r="G35" s="414"/>
      <c r="L35" s="40"/>
    </row>
    <row r="36" spans="1:12">
      <c r="L36" s="40"/>
    </row>
    <row r="37" spans="1:12">
      <c r="L37" s="40"/>
    </row>
    <row r="38" spans="1:12">
      <c r="L38" s="40"/>
    </row>
    <row r="39" spans="1:12">
      <c r="L39" s="40"/>
    </row>
    <row r="40" spans="1:12">
      <c r="L40" s="40"/>
    </row>
    <row r="41" spans="1:12">
      <c r="L41" s="40"/>
    </row>
    <row r="42" spans="1:12">
      <c r="L42" s="40"/>
    </row>
    <row r="43" spans="1:12">
      <c r="L43" s="40"/>
    </row>
    <row r="44" spans="1:12">
      <c r="L44" s="40"/>
    </row>
    <row r="45" spans="1:12">
      <c r="L45" s="40"/>
    </row>
    <row r="46" spans="1:12">
      <c r="L46" s="40"/>
    </row>
    <row r="47" spans="1:12">
      <c r="L47" s="40"/>
    </row>
    <row r="48" spans="1:12">
      <c r="L48" s="40"/>
    </row>
    <row r="49" spans="12:12">
      <c r="L49" s="40"/>
    </row>
    <row r="50" spans="12:12">
      <c r="L50" s="40"/>
    </row>
    <row r="51" spans="12:12">
      <c r="L51" s="40"/>
    </row>
    <row r="52" spans="12:12">
      <c r="L52" s="40"/>
    </row>
    <row r="53" spans="12:12">
      <c r="L53" s="40"/>
    </row>
  </sheetData>
  <mergeCells count="88">
    <mergeCell ref="A1:G1"/>
    <mergeCell ref="A2:B2"/>
    <mergeCell ref="D2:G2"/>
    <mergeCell ref="A3:B3"/>
    <mergeCell ref="D3:E3"/>
    <mergeCell ref="F3:G3"/>
    <mergeCell ref="I3:Q3"/>
    <mergeCell ref="A4:B4"/>
    <mergeCell ref="D4:E4"/>
    <mergeCell ref="F4:G4"/>
    <mergeCell ref="A5:B5"/>
    <mergeCell ref="D5:E5"/>
    <mergeCell ref="F5:G5"/>
    <mergeCell ref="J5:Q5"/>
    <mergeCell ref="A6:B6"/>
    <mergeCell ref="D6:E6"/>
    <mergeCell ref="F6:G6"/>
    <mergeCell ref="J6:P6"/>
    <mergeCell ref="A7:B7"/>
    <mergeCell ref="D7:G7"/>
    <mergeCell ref="A8:B8"/>
    <mergeCell ref="D8:E8"/>
    <mergeCell ref="F8:G8"/>
    <mergeCell ref="A9:B9"/>
    <mergeCell ref="D9:E9"/>
    <mergeCell ref="F9:G9"/>
    <mergeCell ref="J10:Q10"/>
    <mergeCell ref="A11:B11"/>
    <mergeCell ref="D11:E11"/>
    <mergeCell ref="F11:G11"/>
    <mergeCell ref="J11:P11"/>
    <mergeCell ref="F12:G12"/>
    <mergeCell ref="A13:B13"/>
    <mergeCell ref="D13:E13"/>
    <mergeCell ref="F13:G13"/>
    <mergeCell ref="A10:B10"/>
    <mergeCell ref="D10:E10"/>
    <mergeCell ref="F10:G10"/>
    <mergeCell ref="A14:B14"/>
    <mergeCell ref="A15:B15"/>
    <mergeCell ref="A16:B16"/>
    <mergeCell ref="A12:B12"/>
    <mergeCell ref="D12:E12"/>
    <mergeCell ref="D14:E14"/>
    <mergeCell ref="A20:B20"/>
    <mergeCell ref="A21:B21"/>
    <mergeCell ref="A22:B22"/>
    <mergeCell ref="A17:B17"/>
    <mergeCell ref="A18:B18"/>
    <mergeCell ref="A19:B19"/>
    <mergeCell ref="A24:G24"/>
    <mergeCell ref="A26:B26"/>
    <mergeCell ref="F26:G26"/>
    <mergeCell ref="A27:B27"/>
    <mergeCell ref="F27:G27"/>
    <mergeCell ref="A30:B30"/>
    <mergeCell ref="F30:G30"/>
    <mergeCell ref="A31:B31"/>
    <mergeCell ref="F31:G31"/>
    <mergeCell ref="A28:B28"/>
    <mergeCell ref="F28:G28"/>
    <mergeCell ref="A29:B29"/>
    <mergeCell ref="F29:G29"/>
    <mergeCell ref="A34:B34"/>
    <mergeCell ref="F34:G34"/>
    <mergeCell ref="A35:B35"/>
    <mergeCell ref="F35:G35"/>
    <mergeCell ref="A32:B32"/>
    <mergeCell ref="F32:G32"/>
    <mergeCell ref="A33:B33"/>
    <mergeCell ref="F33:G33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</mergeCells>
  <pageMargins left="0.25" right="0.25" top="0.75" bottom="0.75" header="0.3" footer="0.3"/>
  <pageSetup scale="65" fitToWidth="0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F5C8-081E-4C8B-BC96-83F140B07989}">
  <dimension ref="A1:Q100"/>
  <sheetViews>
    <sheetView workbookViewId="0">
      <selection activeCell="E26" sqref="E26"/>
    </sheetView>
  </sheetViews>
  <sheetFormatPr defaultRowHeight="15"/>
  <cols>
    <col min="1" max="1" width="4.140625" bestFit="1" customWidth="1"/>
    <col min="2" max="2" width="26.28515625" customWidth="1"/>
    <col min="4" max="4" width="12.5703125" customWidth="1"/>
    <col min="5" max="5" width="30.5703125" customWidth="1"/>
    <col min="6" max="6" width="19.42578125" customWidth="1"/>
  </cols>
  <sheetData>
    <row r="1" spans="1:17" ht="18.75">
      <c r="A1" s="43" t="s">
        <v>42</v>
      </c>
      <c r="B1" s="51" t="s">
        <v>43</v>
      </c>
      <c r="C1" s="51" t="s">
        <v>191</v>
      </c>
      <c r="D1" s="51" t="s">
        <v>192</v>
      </c>
      <c r="E1" s="51" t="s">
        <v>193</v>
      </c>
      <c r="F1" s="52" t="s">
        <v>194</v>
      </c>
      <c r="K1" s="486" t="s">
        <v>475</v>
      </c>
      <c r="L1" s="487"/>
      <c r="M1" s="487"/>
      <c r="N1" s="487"/>
      <c r="O1" s="487"/>
      <c r="P1" s="487"/>
      <c r="Q1" s="488"/>
    </row>
    <row r="2" spans="1:17">
      <c r="A2" s="266"/>
      <c r="B2" s="49" t="s">
        <v>318</v>
      </c>
      <c r="C2" s="48">
        <v>717</v>
      </c>
      <c r="D2" s="255" t="s">
        <v>197</v>
      </c>
      <c r="E2" s="179" t="s">
        <v>476</v>
      </c>
      <c r="F2" s="48" t="s">
        <v>209</v>
      </c>
      <c r="K2" s="489"/>
      <c r="L2" s="490"/>
      <c r="M2" s="490"/>
      <c r="N2" s="490"/>
      <c r="O2" s="490"/>
      <c r="P2" s="490"/>
      <c r="Q2" s="491"/>
    </row>
    <row r="3" spans="1:17">
      <c r="A3" s="266"/>
      <c r="B3" s="50" t="s">
        <v>126</v>
      </c>
      <c r="C3" s="46">
        <v>22</v>
      </c>
      <c r="D3" s="255" t="s">
        <v>197</v>
      </c>
      <c r="E3" s="59" t="s">
        <v>477</v>
      </c>
      <c r="F3" s="46" t="s">
        <v>217</v>
      </c>
      <c r="K3" s="489"/>
      <c r="L3" s="490"/>
      <c r="M3" s="490"/>
      <c r="N3" s="490"/>
      <c r="O3" s="490"/>
      <c r="P3" s="490"/>
      <c r="Q3" s="491"/>
    </row>
    <row r="4" spans="1:17">
      <c r="A4" s="266"/>
      <c r="B4" s="49" t="s">
        <v>478</v>
      </c>
      <c r="C4" s="48">
        <v>843</v>
      </c>
      <c r="D4" s="255" t="s">
        <v>197</v>
      </c>
      <c r="E4" s="179" t="s">
        <v>479</v>
      </c>
      <c r="F4" s="48" t="s">
        <v>217</v>
      </c>
      <c r="K4" s="489"/>
      <c r="L4" s="490"/>
      <c r="M4" s="490"/>
      <c r="N4" s="490"/>
      <c r="O4" s="490"/>
      <c r="P4" s="490"/>
      <c r="Q4" s="491"/>
    </row>
    <row r="5" spans="1:17">
      <c r="A5" s="266"/>
      <c r="B5" s="50" t="s">
        <v>480</v>
      </c>
      <c r="C5" s="46">
        <v>881</v>
      </c>
      <c r="D5" s="255" t="s">
        <v>197</v>
      </c>
      <c r="E5" s="59" t="s">
        <v>481</v>
      </c>
      <c r="F5" s="46" t="s">
        <v>209</v>
      </c>
      <c r="K5" s="492" t="s">
        <v>482</v>
      </c>
      <c r="L5" s="493"/>
      <c r="M5" s="493"/>
      <c r="N5" s="493"/>
      <c r="O5" s="493"/>
      <c r="P5" s="493"/>
      <c r="Q5" s="494"/>
    </row>
    <row r="6" spans="1:17">
      <c r="A6" s="266"/>
      <c r="B6" s="49" t="s">
        <v>318</v>
      </c>
      <c r="C6" s="48">
        <v>717</v>
      </c>
      <c r="D6" s="255" t="s">
        <v>197</v>
      </c>
      <c r="E6" s="179" t="s">
        <v>483</v>
      </c>
      <c r="F6" s="48" t="s">
        <v>217</v>
      </c>
      <c r="K6" s="495"/>
      <c r="L6" s="496"/>
      <c r="M6" s="496"/>
      <c r="N6" s="496"/>
      <c r="O6" s="496"/>
      <c r="P6" s="496"/>
      <c r="Q6" s="497"/>
    </row>
    <row r="7" spans="1:17">
      <c r="A7" s="266"/>
      <c r="B7" s="50" t="s">
        <v>322</v>
      </c>
      <c r="C7" s="46">
        <v>641</v>
      </c>
      <c r="D7" s="255" t="s">
        <v>197</v>
      </c>
      <c r="E7" s="59" t="s">
        <v>484</v>
      </c>
      <c r="F7" s="46" t="s">
        <v>209</v>
      </c>
      <c r="K7" s="495"/>
      <c r="L7" s="496"/>
      <c r="M7" s="496"/>
      <c r="N7" s="496"/>
      <c r="O7" s="496"/>
      <c r="P7" s="496"/>
      <c r="Q7" s="497"/>
    </row>
    <row r="8" spans="1:17">
      <c r="A8" s="266"/>
      <c r="B8" s="50" t="s">
        <v>485</v>
      </c>
      <c r="C8" s="46">
        <v>641</v>
      </c>
      <c r="D8" s="254" t="s">
        <v>219</v>
      </c>
      <c r="E8" s="59" t="s">
        <v>486</v>
      </c>
      <c r="F8" s="46" t="s">
        <v>209</v>
      </c>
      <c r="K8" s="495"/>
      <c r="L8" s="496"/>
      <c r="M8" s="496"/>
      <c r="N8" s="496"/>
      <c r="O8" s="496"/>
      <c r="P8" s="496"/>
      <c r="Q8" s="497"/>
    </row>
    <row r="9" spans="1:17">
      <c r="A9" s="266"/>
      <c r="B9" s="49" t="s">
        <v>485</v>
      </c>
      <c r="C9" s="84">
        <v>641</v>
      </c>
      <c r="D9" s="254" t="s">
        <v>219</v>
      </c>
      <c r="E9" s="179" t="s">
        <v>487</v>
      </c>
      <c r="F9" s="48" t="s">
        <v>209</v>
      </c>
      <c r="K9" s="498"/>
      <c r="L9" s="499"/>
      <c r="M9" s="499"/>
      <c r="N9" s="499"/>
      <c r="O9" s="499"/>
      <c r="P9" s="499"/>
      <c r="Q9" s="500"/>
    </row>
    <row r="10" spans="1:17">
      <c r="A10" s="266"/>
      <c r="B10" s="50" t="s">
        <v>488</v>
      </c>
      <c r="C10" s="46">
        <v>717</v>
      </c>
      <c r="D10" s="254" t="s">
        <v>219</v>
      </c>
      <c r="E10" s="59" t="s">
        <v>489</v>
      </c>
      <c r="F10" s="46" t="s">
        <v>209</v>
      </c>
    </row>
    <row r="11" spans="1:17">
      <c r="A11" s="266"/>
      <c r="B11" s="49" t="s">
        <v>490</v>
      </c>
      <c r="C11" s="48">
        <v>22</v>
      </c>
      <c r="D11" s="256" t="s">
        <v>219</v>
      </c>
      <c r="E11" s="179" t="s">
        <v>491</v>
      </c>
      <c r="F11" s="48" t="s">
        <v>217</v>
      </c>
    </row>
    <row r="12" spans="1:17">
      <c r="A12" s="266"/>
      <c r="B12" s="50" t="s">
        <v>492</v>
      </c>
      <c r="C12" s="46">
        <v>17</v>
      </c>
      <c r="D12" s="256" t="s">
        <v>215</v>
      </c>
      <c r="E12" s="59" t="s">
        <v>493</v>
      </c>
      <c r="F12" s="46" t="s">
        <v>209</v>
      </c>
    </row>
    <row r="13" spans="1:17">
      <c r="A13" s="266"/>
      <c r="B13" s="49" t="s">
        <v>494</v>
      </c>
      <c r="C13" s="48">
        <v>22</v>
      </c>
      <c r="D13" s="256" t="s">
        <v>219</v>
      </c>
      <c r="E13" s="179" t="s">
        <v>495</v>
      </c>
      <c r="F13" s="48" t="s">
        <v>209</v>
      </c>
    </row>
    <row r="14" spans="1:17">
      <c r="A14" s="266"/>
      <c r="B14" s="50" t="s">
        <v>496</v>
      </c>
      <c r="C14" s="46">
        <v>22</v>
      </c>
      <c r="D14" s="256" t="s">
        <v>219</v>
      </c>
      <c r="E14" s="240" t="s">
        <v>497</v>
      </c>
      <c r="F14" s="46" t="s">
        <v>217</v>
      </c>
    </row>
    <row r="15" spans="1:17">
      <c r="A15" s="266"/>
      <c r="B15" s="49" t="s">
        <v>496</v>
      </c>
      <c r="C15" s="49">
        <v>22</v>
      </c>
      <c r="D15" s="257" t="s">
        <v>498</v>
      </c>
      <c r="E15" s="49" t="s">
        <v>499</v>
      </c>
      <c r="F15" s="49" t="s">
        <v>217</v>
      </c>
    </row>
    <row r="16" spans="1:17">
      <c r="A16" s="266"/>
      <c r="B16" s="49" t="s">
        <v>500</v>
      </c>
      <c r="C16" s="49">
        <v>975</v>
      </c>
      <c r="D16" s="265" t="s">
        <v>197</v>
      </c>
      <c r="E16" s="59" t="s">
        <v>477</v>
      </c>
      <c r="F16" s="49" t="s">
        <v>501</v>
      </c>
    </row>
    <row r="17" spans="1:6">
      <c r="A17" s="266"/>
      <c r="B17" s="50" t="s">
        <v>502</v>
      </c>
      <c r="C17" s="50">
        <v>830</v>
      </c>
      <c r="D17" s="265" t="s">
        <v>197</v>
      </c>
      <c r="E17" s="179" t="s">
        <v>483</v>
      </c>
      <c r="F17" s="49" t="s">
        <v>501</v>
      </c>
    </row>
    <row r="18" spans="1:6">
      <c r="A18" s="266"/>
      <c r="B18" s="49" t="s">
        <v>502</v>
      </c>
      <c r="C18" s="49">
        <v>830</v>
      </c>
      <c r="D18" s="265" t="s">
        <v>197</v>
      </c>
      <c r="E18" s="59" t="s">
        <v>481</v>
      </c>
      <c r="F18" s="49" t="s">
        <v>501</v>
      </c>
    </row>
    <row r="19" spans="1:6">
      <c r="A19" s="266"/>
      <c r="B19" s="50" t="s">
        <v>503</v>
      </c>
      <c r="C19" s="50">
        <v>720</v>
      </c>
      <c r="D19" s="265" t="s">
        <v>197</v>
      </c>
      <c r="E19" s="179" t="s">
        <v>491</v>
      </c>
      <c r="F19" s="49" t="s">
        <v>501</v>
      </c>
    </row>
    <row r="20" spans="1:6">
      <c r="A20" s="266"/>
      <c r="B20" s="49" t="s">
        <v>504</v>
      </c>
      <c r="C20" s="49">
        <v>448</v>
      </c>
      <c r="D20" s="265" t="s">
        <v>505</v>
      </c>
      <c r="E20" s="179" t="s">
        <v>506</v>
      </c>
      <c r="F20" s="49" t="s">
        <v>507</v>
      </c>
    </row>
    <row r="21" spans="1:6">
      <c r="A21" s="266"/>
      <c r="B21" s="50" t="s">
        <v>508</v>
      </c>
      <c r="C21" s="50">
        <v>19</v>
      </c>
      <c r="D21" s="265" t="s">
        <v>197</v>
      </c>
      <c r="E21" s="59" t="s">
        <v>499</v>
      </c>
      <c r="F21" s="49" t="s">
        <v>507</v>
      </c>
    </row>
    <row r="22" spans="1:6">
      <c r="A22" s="266"/>
      <c r="B22" s="49" t="s">
        <v>508</v>
      </c>
      <c r="C22" s="49">
        <v>19</v>
      </c>
      <c r="D22" s="265" t="s">
        <v>197</v>
      </c>
      <c r="E22" s="179" t="s">
        <v>497</v>
      </c>
      <c r="F22" s="49" t="s">
        <v>507</v>
      </c>
    </row>
    <row r="23" spans="1:6">
      <c r="A23" s="266"/>
      <c r="B23" s="50" t="s">
        <v>104</v>
      </c>
      <c r="C23" s="50">
        <v>448</v>
      </c>
      <c r="D23" s="265" t="s">
        <v>197</v>
      </c>
      <c r="E23" s="59" t="s">
        <v>509</v>
      </c>
      <c r="F23" s="49" t="s">
        <v>507</v>
      </c>
    </row>
    <row r="24" spans="1:6">
      <c r="A24" s="266"/>
      <c r="B24" s="49" t="s">
        <v>187</v>
      </c>
      <c r="C24" s="49">
        <v>531</v>
      </c>
      <c r="D24" s="265" t="s">
        <v>197</v>
      </c>
      <c r="E24" s="179" t="s">
        <v>510</v>
      </c>
      <c r="F24" s="49" t="s">
        <v>507</v>
      </c>
    </row>
    <row r="25" spans="1:6">
      <c r="A25" s="266"/>
      <c r="B25" s="50" t="s">
        <v>511</v>
      </c>
      <c r="C25" s="50">
        <v>282</v>
      </c>
      <c r="D25" s="265" t="s">
        <v>197</v>
      </c>
      <c r="E25" s="59" t="s">
        <v>512</v>
      </c>
      <c r="F25" s="49" t="s">
        <v>507</v>
      </c>
    </row>
    <row r="26" spans="1:6">
      <c r="A26" s="266"/>
      <c r="B26" s="49" t="s">
        <v>513</v>
      </c>
      <c r="C26" s="49">
        <v>19</v>
      </c>
      <c r="D26" s="265" t="s">
        <v>197</v>
      </c>
      <c r="E26" s="179" t="s">
        <v>514</v>
      </c>
      <c r="F26" s="49" t="s">
        <v>507</v>
      </c>
    </row>
    <row r="27" spans="1:6">
      <c r="A27" s="266"/>
      <c r="B27" s="50" t="s">
        <v>515</v>
      </c>
      <c r="C27" s="50">
        <v>448</v>
      </c>
      <c r="D27" s="265" t="s">
        <v>516</v>
      </c>
      <c r="E27" s="59" t="s">
        <v>517</v>
      </c>
      <c r="F27" s="49" t="s">
        <v>507</v>
      </c>
    </row>
    <row r="28" spans="1:6">
      <c r="A28" s="266"/>
      <c r="B28" s="49" t="s">
        <v>504</v>
      </c>
      <c r="C28" s="49">
        <v>531</v>
      </c>
      <c r="D28" s="265" t="s">
        <v>516</v>
      </c>
      <c r="E28" s="179" t="s">
        <v>518</v>
      </c>
      <c r="F28" s="49" t="s">
        <v>507</v>
      </c>
    </row>
    <row r="29" spans="1:6">
      <c r="A29" s="266"/>
      <c r="B29" s="50" t="s">
        <v>519</v>
      </c>
      <c r="C29" s="50">
        <v>531</v>
      </c>
      <c r="D29" s="265" t="s">
        <v>520</v>
      </c>
      <c r="E29" s="59" t="s">
        <v>521</v>
      </c>
      <c r="F29" s="49" t="s">
        <v>507</v>
      </c>
    </row>
    <row r="30" spans="1:6">
      <c r="A30" s="266"/>
      <c r="B30" s="49" t="s">
        <v>522</v>
      </c>
      <c r="C30" s="49">
        <v>19</v>
      </c>
      <c r="D30" s="265" t="s">
        <v>523</v>
      </c>
      <c r="E30" s="179" t="s">
        <v>524</v>
      </c>
      <c r="F30" s="49" t="s">
        <v>507</v>
      </c>
    </row>
    <row r="31" spans="1:6">
      <c r="A31" s="266"/>
      <c r="B31" s="49" t="s">
        <v>525</v>
      </c>
      <c r="C31" s="49">
        <v>19</v>
      </c>
      <c r="D31" s="265" t="s">
        <v>516</v>
      </c>
      <c r="E31" s="179" t="s">
        <v>512</v>
      </c>
      <c r="F31" s="49" t="s">
        <v>507</v>
      </c>
    </row>
    <row r="32" spans="1:6">
      <c r="A32" s="266"/>
      <c r="B32" s="50" t="s">
        <v>526</v>
      </c>
      <c r="C32" s="50">
        <v>18</v>
      </c>
      <c r="D32" s="265" t="s">
        <v>523</v>
      </c>
      <c r="E32" s="59" t="s">
        <v>527</v>
      </c>
      <c r="F32" s="50" t="s">
        <v>507</v>
      </c>
    </row>
    <row r="33" spans="1:6">
      <c r="A33" s="266"/>
      <c r="B33" s="49" t="s">
        <v>371</v>
      </c>
      <c r="C33" s="48">
        <v>870</v>
      </c>
      <c r="D33" s="264" t="s">
        <v>197</v>
      </c>
      <c r="E33" s="179" t="s">
        <v>528</v>
      </c>
      <c r="F33" s="49" t="s">
        <v>235</v>
      </c>
    </row>
    <row r="34" spans="1:6">
      <c r="A34" s="266"/>
      <c r="B34" s="50" t="s">
        <v>529</v>
      </c>
      <c r="C34" s="46">
        <v>13</v>
      </c>
      <c r="D34" s="264" t="s">
        <v>197</v>
      </c>
      <c r="E34" s="59" t="s">
        <v>530</v>
      </c>
      <c r="F34" s="50" t="s">
        <v>235</v>
      </c>
    </row>
    <row r="35" spans="1:6">
      <c r="A35" s="266"/>
      <c r="B35" s="49" t="s">
        <v>371</v>
      </c>
      <c r="C35" s="48">
        <v>870</v>
      </c>
      <c r="D35" s="264" t="s">
        <v>197</v>
      </c>
      <c r="E35" s="179" t="s">
        <v>531</v>
      </c>
      <c r="F35" s="49" t="s">
        <v>235</v>
      </c>
    </row>
    <row r="36" spans="1:6">
      <c r="A36" s="266"/>
      <c r="B36" s="50" t="s">
        <v>532</v>
      </c>
      <c r="C36" s="46">
        <v>10</v>
      </c>
      <c r="D36" s="264" t="s">
        <v>197</v>
      </c>
      <c r="E36" s="59" t="s">
        <v>533</v>
      </c>
      <c r="F36" s="50" t="s">
        <v>235</v>
      </c>
    </row>
    <row r="37" spans="1:6">
      <c r="A37" s="266"/>
      <c r="B37" s="50" t="s">
        <v>534</v>
      </c>
      <c r="C37" s="50">
        <v>3</v>
      </c>
      <c r="D37" s="265" t="s">
        <v>197</v>
      </c>
      <c r="E37" s="59" t="s">
        <v>535</v>
      </c>
      <c r="F37" s="50" t="s">
        <v>223</v>
      </c>
    </row>
    <row r="38" spans="1:6">
      <c r="A38" s="266"/>
      <c r="B38" s="49" t="s">
        <v>221</v>
      </c>
      <c r="C38" s="267" t="s">
        <v>536</v>
      </c>
      <c r="D38" s="265" t="s">
        <v>197</v>
      </c>
      <c r="E38" s="179" t="s">
        <v>537</v>
      </c>
      <c r="F38" s="50" t="s">
        <v>223</v>
      </c>
    </row>
    <row r="39" spans="1:6">
      <c r="A39" s="266"/>
      <c r="B39" s="50" t="s">
        <v>221</v>
      </c>
      <c r="C39" s="267" t="s">
        <v>536</v>
      </c>
      <c r="D39" s="265" t="s">
        <v>197</v>
      </c>
      <c r="E39" s="59" t="s">
        <v>538</v>
      </c>
      <c r="F39" s="50" t="s">
        <v>223</v>
      </c>
    </row>
    <row r="40" spans="1:6">
      <c r="A40" s="266"/>
      <c r="B40" s="49" t="s">
        <v>420</v>
      </c>
      <c r="C40" s="48">
        <v>21</v>
      </c>
      <c r="D40" s="265" t="s">
        <v>197</v>
      </c>
      <c r="E40" s="179" t="s">
        <v>539</v>
      </c>
      <c r="F40" s="50" t="s">
        <v>223</v>
      </c>
    </row>
    <row r="41" spans="1:6">
      <c r="A41" s="266"/>
      <c r="B41" s="50" t="s">
        <v>540</v>
      </c>
      <c r="C41" s="46">
        <v>5</v>
      </c>
      <c r="D41" s="265" t="s">
        <v>197</v>
      </c>
      <c r="E41" s="59" t="s">
        <v>541</v>
      </c>
      <c r="F41" s="50" t="s">
        <v>223</v>
      </c>
    </row>
    <row r="42" spans="1:6">
      <c r="A42" s="266"/>
      <c r="B42" s="49" t="s">
        <v>395</v>
      </c>
      <c r="C42" s="48">
        <v>14</v>
      </c>
      <c r="D42" s="265" t="s">
        <v>523</v>
      </c>
      <c r="E42" s="179" t="s">
        <v>542</v>
      </c>
      <c r="F42" s="50" t="s">
        <v>223</v>
      </c>
    </row>
    <row r="43" spans="1:6">
      <c r="A43" s="266"/>
      <c r="B43" s="50" t="s">
        <v>224</v>
      </c>
      <c r="C43" s="50">
        <v>11</v>
      </c>
      <c r="D43" s="265" t="s">
        <v>523</v>
      </c>
      <c r="E43" s="179" t="s">
        <v>543</v>
      </c>
      <c r="F43" s="50" t="s">
        <v>223</v>
      </c>
    </row>
    <row r="44" spans="1:6">
      <c r="A44" s="266"/>
      <c r="B44" s="50" t="s">
        <v>256</v>
      </c>
      <c r="C44" s="46">
        <v>32</v>
      </c>
      <c r="D44" s="50" t="s">
        <v>197</v>
      </c>
      <c r="E44" s="59" t="s">
        <v>544</v>
      </c>
      <c r="F44" s="50" t="s">
        <v>202</v>
      </c>
    </row>
    <row r="45" spans="1:6">
      <c r="A45" s="266"/>
      <c r="B45" s="49" t="s">
        <v>545</v>
      </c>
      <c r="C45" s="48">
        <v>606</v>
      </c>
      <c r="D45" s="49" t="s">
        <v>197</v>
      </c>
      <c r="E45" s="179" t="s">
        <v>546</v>
      </c>
      <c r="F45" s="50" t="s">
        <v>202</v>
      </c>
    </row>
    <row r="46" spans="1:6">
      <c r="A46" s="266"/>
      <c r="B46" s="50" t="s">
        <v>319</v>
      </c>
      <c r="C46" s="46">
        <v>32</v>
      </c>
      <c r="D46" s="50" t="s">
        <v>523</v>
      </c>
      <c r="E46" s="59" t="s">
        <v>547</v>
      </c>
      <c r="F46" s="50" t="s">
        <v>202</v>
      </c>
    </row>
    <row r="47" spans="1:6">
      <c r="A47" s="266"/>
      <c r="B47" s="49" t="s">
        <v>438</v>
      </c>
      <c r="C47" s="48">
        <v>4</v>
      </c>
      <c r="D47" s="49" t="s">
        <v>498</v>
      </c>
      <c r="E47" s="179" t="s">
        <v>548</v>
      </c>
      <c r="F47" s="50" t="s">
        <v>202</v>
      </c>
    </row>
    <row r="48" spans="1:6">
      <c r="A48" s="266"/>
      <c r="B48" s="50" t="s">
        <v>549</v>
      </c>
      <c r="C48" s="50">
        <v>4</v>
      </c>
      <c r="D48" s="50" t="s">
        <v>498</v>
      </c>
      <c r="E48" s="59" t="s">
        <v>550</v>
      </c>
      <c r="F48" s="50" t="s">
        <v>202</v>
      </c>
    </row>
    <row r="49" spans="1:6">
      <c r="A49" s="266"/>
      <c r="B49" s="49" t="s">
        <v>549</v>
      </c>
      <c r="C49" s="48">
        <v>4</v>
      </c>
      <c r="D49" s="49" t="s">
        <v>498</v>
      </c>
      <c r="E49" s="179" t="s">
        <v>551</v>
      </c>
      <c r="F49" s="50" t="s">
        <v>202</v>
      </c>
    </row>
    <row r="50" spans="1:6">
      <c r="A50" s="266"/>
      <c r="B50" s="50" t="s">
        <v>254</v>
      </c>
      <c r="C50" s="46">
        <v>2</v>
      </c>
      <c r="D50" s="50" t="s">
        <v>197</v>
      </c>
      <c r="E50" s="59" t="s">
        <v>552</v>
      </c>
      <c r="F50" s="50" t="s">
        <v>202</v>
      </c>
    </row>
    <row r="51" spans="1:6">
      <c r="A51" s="266"/>
      <c r="B51" s="50" t="s">
        <v>553</v>
      </c>
      <c r="C51" s="46">
        <v>283</v>
      </c>
      <c r="D51" s="50" t="s">
        <v>554</v>
      </c>
      <c r="E51" s="59" t="s">
        <v>555</v>
      </c>
      <c r="F51" s="50" t="s">
        <v>359</v>
      </c>
    </row>
    <row r="52" spans="1:6" ht="30.75">
      <c r="A52" s="266"/>
      <c r="B52" s="49" t="s">
        <v>161</v>
      </c>
      <c r="C52" s="48">
        <v>865</v>
      </c>
      <c r="D52" s="49" t="s">
        <v>197</v>
      </c>
      <c r="E52" s="179" t="s">
        <v>556</v>
      </c>
      <c r="F52" s="49" t="s">
        <v>359</v>
      </c>
    </row>
    <row r="53" spans="1:6">
      <c r="A53" s="266"/>
      <c r="B53" s="50" t="s">
        <v>557</v>
      </c>
      <c r="C53" s="50">
        <v>847</v>
      </c>
      <c r="D53" s="50" t="s">
        <v>197</v>
      </c>
      <c r="E53" s="59" t="s">
        <v>558</v>
      </c>
      <c r="F53" s="50" t="s">
        <v>359</v>
      </c>
    </row>
    <row r="54" spans="1:6">
      <c r="A54" s="266"/>
      <c r="B54" s="49"/>
      <c r="C54" s="48"/>
      <c r="D54" s="49"/>
      <c r="E54" s="179"/>
      <c r="F54" s="49"/>
    </row>
    <row r="55" spans="1:6">
      <c r="A55" s="266"/>
      <c r="B55" s="50"/>
      <c r="C55" s="46"/>
      <c r="D55" s="50"/>
      <c r="E55" s="59"/>
      <c r="F55" s="50"/>
    </row>
    <row r="56" spans="1:6">
      <c r="A56" s="266"/>
      <c r="B56" s="49"/>
      <c r="C56" s="48"/>
      <c r="D56" s="49"/>
      <c r="E56" s="179"/>
      <c r="F56" s="49"/>
    </row>
    <row r="57" spans="1:6">
      <c r="A57" s="266"/>
      <c r="B57" s="50"/>
      <c r="C57" s="46"/>
      <c r="D57" s="50"/>
      <c r="E57" s="59"/>
      <c r="F57" s="50"/>
    </row>
    <row r="58" spans="1:6">
      <c r="A58" s="266"/>
      <c r="B58" s="49"/>
      <c r="C58" s="48"/>
      <c r="D58" s="49"/>
      <c r="E58" s="179"/>
      <c r="F58" s="49"/>
    </row>
    <row r="59" spans="1:6">
      <c r="A59" s="266"/>
      <c r="B59" s="50"/>
      <c r="C59" s="50"/>
      <c r="D59" s="50"/>
      <c r="E59" s="59"/>
      <c r="F59" s="50"/>
    </row>
    <row r="60" spans="1:6">
      <c r="A60" s="266"/>
      <c r="B60" s="49"/>
      <c r="C60" s="48"/>
      <c r="D60" s="49"/>
      <c r="E60" s="179"/>
      <c r="F60" s="49"/>
    </row>
    <row r="61" spans="1:6">
      <c r="A61" s="266"/>
      <c r="B61" s="50"/>
      <c r="C61" s="46"/>
      <c r="D61" s="50"/>
      <c r="E61" s="59"/>
      <c r="F61" s="50"/>
    </row>
    <row r="62" spans="1:6">
      <c r="A62" s="266"/>
      <c r="B62" s="49"/>
      <c r="C62" s="48"/>
      <c r="D62" s="49"/>
      <c r="E62" s="179"/>
      <c r="F62" s="49"/>
    </row>
    <row r="63" spans="1:6">
      <c r="A63" s="266"/>
      <c r="B63" s="50"/>
      <c r="C63" s="46"/>
      <c r="D63" s="50"/>
      <c r="E63" s="59"/>
      <c r="F63" s="50"/>
    </row>
    <row r="64" spans="1:6">
      <c r="A64" s="266"/>
      <c r="B64" s="49"/>
      <c r="C64" s="48"/>
      <c r="D64" s="49"/>
      <c r="E64" s="179"/>
      <c r="F64" s="49"/>
    </row>
    <row r="65" spans="1:6">
      <c r="A65" s="266"/>
      <c r="B65" s="50"/>
      <c r="C65" s="50"/>
      <c r="D65" s="50"/>
      <c r="E65" s="59"/>
      <c r="F65" s="50"/>
    </row>
    <row r="66" spans="1:6">
      <c r="A66" s="266"/>
      <c r="B66" s="49"/>
      <c r="C66" s="48"/>
      <c r="D66" s="49"/>
      <c r="E66" s="179"/>
      <c r="F66" s="49"/>
    </row>
    <row r="67" spans="1:6">
      <c r="A67" s="266"/>
      <c r="B67" s="50"/>
      <c r="C67" s="46"/>
      <c r="D67" s="50"/>
      <c r="E67" s="59"/>
      <c r="F67" s="50"/>
    </row>
    <row r="68" spans="1:6">
      <c r="A68" s="266"/>
      <c r="B68" s="49"/>
      <c r="C68" s="48"/>
      <c r="D68" s="49"/>
      <c r="E68" s="179"/>
      <c r="F68" s="49"/>
    </row>
    <row r="69" spans="1:6">
      <c r="A69" s="266"/>
      <c r="B69" s="50"/>
      <c r="C69" s="46"/>
      <c r="D69" s="50"/>
      <c r="E69" s="59"/>
      <c r="F69" s="50"/>
    </row>
    <row r="70" spans="1:6">
      <c r="A70" s="266"/>
      <c r="B70" s="49"/>
      <c r="C70" s="48"/>
      <c r="D70" s="49"/>
      <c r="E70" s="179"/>
      <c r="F70" s="49"/>
    </row>
    <row r="71" spans="1:6">
      <c r="A71" s="266"/>
      <c r="B71" s="50"/>
      <c r="C71" s="50"/>
      <c r="D71" s="50"/>
      <c r="E71" s="59"/>
      <c r="F71" s="50"/>
    </row>
    <row r="72" spans="1:6">
      <c r="A72" s="266"/>
      <c r="B72" s="49"/>
      <c r="C72" s="48"/>
      <c r="D72" s="49"/>
      <c r="E72" s="179"/>
      <c r="F72" s="49"/>
    </row>
    <row r="73" spans="1:6">
      <c r="A73" s="266"/>
      <c r="B73" s="50"/>
      <c r="C73" s="46"/>
      <c r="D73" s="50"/>
      <c r="E73" s="59"/>
      <c r="F73" s="50"/>
    </row>
    <row r="74" spans="1:6">
      <c r="A74" s="266"/>
      <c r="B74" s="49"/>
      <c r="C74" s="48"/>
      <c r="D74" s="49"/>
      <c r="E74" s="179"/>
      <c r="F74" s="49"/>
    </row>
    <row r="75" spans="1:6">
      <c r="A75" s="266"/>
      <c r="B75" s="50"/>
      <c r="C75" s="46"/>
      <c r="D75" s="50"/>
      <c r="E75" s="59"/>
      <c r="F75" s="50"/>
    </row>
    <row r="76" spans="1:6">
      <c r="A76" s="266"/>
      <c r="B76" s="49"/>
      <c r="C76" s="48"/>
      <c r="D76" s="49"/>
      <c r="E76" s="179"/>
      <c r="F76" s="49"/>
    </row>
    <row r="77" spans="1:6">
      <c r="A77" s="266"/>
      <c r="B77" s="50"/>
      <c r="C77" s="50"/>
      <c r="D77" s="50"/>
      <c r="E77" s="59"/>
      <c r="F77" s="50"/>
    </row>
    <row r="78" spans="1:6">
      <c r="A78" s="266"/>
      <c r="B78" s="50"/>
      <c r="C78" s="50"/>
      <c r="D78" s="50"/>
      <c r="E78" s="59"/>
      <c r="F78" s="50"/>
    </row>
    <row r="79" spans="1:6">
      <c r="A79" s="266"/>
      <c r="B79" s="50"/>
      <c r="C79" s="50"/>
      <c r="D79" s="50"/>
      <c r="E79" s="59"/>
      <c r="F79" s="50"/>
    </row>
    <row r="80" spans="1:6">
      <c r="A80" s="266"/>
      <c r="B80" s="50"/>
      <c r="C80" s="50"/>
      <c r="D80" s="50"/>
      <c r="E80" s="59"/>
      <c r="F80" s="50"/>
    </row>
    <row r="81" spans="1:6">
      <c r="A81" s="266"/>
      <c r="B81" s="50"/>
      <c r="C81" s="50"/>
      <c r="D81" s="50"/>
      <c r="E81" s="59"/>
      <c r="F81" s="50"/>
    </row>
    <row r="82" spans="1:6">
      <c r="A82" s="266"/>
      <c r="B82" s="50"/>
      <c r="C82" s="50"/>
      <c r="D82" s="50"/>
      <c r="E82" s="59"/>
      <c r="F82" s="50"/>
    </row>
    <row r="83" spans="1:6">
      <c r="A83" s="266"/>
      <c r="B83" s="50"/>
      <c r="C83" s="50"/>
      <c r="D83" s="50"/>
      <c r="E83" s="59"/>
      <c r="F83" s="50"/>
    </row>
    <row r="84" spans="1:6">
      <c r="A84" s="266"/>
      <c r="B84" s="50"/>
      <c r="C84" s="50"/>
      <c r="D84" s="50"/>
      <c r="E84" s="59"/>
      <c r="F84" s="50"/>
    </row>
    <row r="85" spans="1:6">
      <c r="A85" s="266"/>
      <c r="B85" s="50"/>
      <c r="C85" s="50"/>
      <c r="D85" s="50"/>
      <c r="E85" s="59"/>
      <c r="F85" s="50"/>
    </row>
    <row r="86" spans="1:6">
      <c r="A86" s="266"/>
      <c r="B86" s="50"/>
      <c r="C86" s="50"/>
      <c r="D86" s="50"/>
      <c r="E86" s="59"/>
      <c r="F86" s="50"/>
    </row>
    <row r="87" spans="1:6">
      <c r="A87" s="266"/>
      <c r="B87" s="50"/>
      <c r="C87" s="50"/>
      <c r="D87" s="50"/>
      <c r="E87" s="59"/>
      <c r="F87" s="50"/>
    </row>
    <row r="88" spans="1:6">
      <c r="A88" s="266"/>
      <c r="B88" s="50"/>
      <c r="C88" s="50"/>
      <c r="D88" s="50"/>
      <c r="E88" s="59"/>
      <c r="F88" s="50"/>
    </row>
    <row r="89" spans="1:6">
      <c r="A89" s="266"/>
      <c r="B89" s="50"/>
      <c r="C89" s="50"/>
      <c r="D89" s="50"/>
      <c r="E89" s="59"/>
      <c r="F89" s="50"/>
    </row>
    <row r="90" spans="1:6">
      <c r="A90" s="266"/>
      <c r="B90" s="50"/>
      <c r="C90" s="50"/>
      <c r="D90" s="50"/>
      <c r="E90" s="59"/>
      <c r="F90" s="50"/>
    </row>
    <row r="91" spans="1:6">
      <c r="A91" s="266"/>
      <c r="B91" s="50"/>
      <c r="C91" s="50"/>
      <c r="D91" s="50"/>
      <c r="E91" s="59"/>
      <c r="F91" s="50"/>
    </row>
    <row r="92" spans="1:6">
      <c r="A92" s="266"/>
      <c r="B92" s="50"/>
      <c r="C92" s="50"/>
      <c r="D92" s="50"/>
      <c r="E92" s="59"/>
      <c r="F92" s="50"/>
    </row>
    <row r="93" spans="1:6">
      <c r="A93" s="266"/>
      <c r="B93" s="50"/>
      <c r="C93" s="50"/>
      <c r="D93" s="50"/>
      <c r="E93" s="59"/>
      <c r="F93" s="50"/>
    </row>
    <row r="94" spans="1:6">
      <c r="A94" s="266"/>
      <c r="B94" s="50"/>
      <c r="C94" s="50"/>
      <c r="D94" s="50"/>
      <c r="E94" s="59"/>
      <c r="F94" s="50"/>
    </row>
    <row r="95" spans="1:6">
      <c r="A95" s="266"/>
      <c r="B95" s="50"/>
      <c r="C95" s="50"/>
      <c r="D95" s="50"/>
      <c r="E95" s="59"/>
      <c r="F95" s="50"/>
    </row>
    <row r="96" spans="1:6">
      <c r="A96" s="266"/>
      <c r="B96" s="50"/>
      <c r="C96" s="50"/>
      <c r="D96" s="50"/>
      <c r="E96" s="59"/>
      <c r="F96" s="50"/>
    </row>
    <row r="97" spans="1:6">
      <c r="A97" s="266"/>
      <c r="B97" s="50"/>
      <c r="C97" s="50"/>
      <c r="D97" s="50"/>
      <c r="E97" s="59"/>
      <c r="F97" s="50"/>
    </row>
    <row r="98" spans="1:6">
      <c r="A98" s="266"/>
      <c r="B98" s="50"/>
      <c r="C98" s="50"/>
      <c r="D98" s="50"/>
      <c r="E98" s="59"/>
      <c r="F98" s="50"/>
    </row>
    <row r="99" spans="1:6">
      <c r="A99" s="266"/>
      <c r="B99" s="50"/>
      <c r="C99" s="50"/>
      <c r="D99" s="50"/>
      <c r="E99" s="59"/>
      <c r="F99" s="50"/>
    </row>
    <row r="100" spans="1:6">
      <c r="A100" s="266"/>
      <c r="B100" s="50"/>
      <c r="C100" s="50"/>
      <c r="D100" s="50"/>
      <c r="E100" s="59"/>
      <c r="F100" s="50"/>
    </row>
  </sheetData>
  <mergeCells count="2">
    <mergeCell ref="K1:Q4"/>
    <mergeCell ref="K5:Q9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A927-9B2F-46EF-A42A-0545F37D18C1}">
  <dimension ref="A1:Q53"/>
  <sheetViews>
    <sheetView tabSelected="1" workbookViewId="0">
      <selection activeCell="A13" sqref="A13:B13"/>
    </sheetView>
  </sheetViews>
  <sheetFormatPr defaultColWidth="9.140625" defaultRowHeight="15" customHeight="1"/>
  <cols>
    <col min="1" max="1" width="14.7109375" customWidth="1"/>
    <col min="2" max="3" width="8.28515625" customWidth="1"/>
    <col min="4" max="7" width="15.7109375" customWidth="1"/>
    <col min="23" max="23" width="9.28515625" bestFit="1" customWidth="1"/>
  </cols>
  <sheetData>
    <row r="1" spans="1:17" ht="46.5" customHeight="1">
      <c r="A1" s="482" t="s">
        <v>448</v>
      </c>
      <c r="B1" s="482"/>
      <c r="C1" s="482"/>
      <c r="D1" s="482"/>
      <c r="E1" s="482"/>
      <c r="F1" s="482"/>
      <c r="G1" s="482"/>
      <c r="H1" s="180"/>
      <c r="I1" s="180"/>
      <c r="J1" s="180"/>
      <c r="K1" s="180"/>
      <c r="L1" s="180"/>
      <c r="M1" s="180"/>
      <c r="N1" s="180"/>
      <c r="O1" s="180"/>
      <c r="P1" s="180"/>
      <c r="Q1" s="180"/>
    </row>
    <row r="2" spans="1:17" ht="21.75" customHeight="1">
      <c r="A2" s="483" t="s">
        <v>45</v>
      </c>
      <c r="B2" s="483"/>
      <c r="C2" s="268" t="s">
        <v>449</v>
      </c>
      <c r="D2" s="484" t="s">
        <v>160</v>
      </c>
      <c r="E2" s="484"/>
      <c r="F2" s="485"/>
      <c r="G2" s="485"/>
      <c r="H2" s="180"/>
      <c r="I2" s="180"/>
      <c r="J2" s="180"/>
      <c r="K2" s="180"/>
      <c r="L2" s="180"/>
      <c r="M2" s="180"/>
      <c r="N2" s="180"/>
      <c r="O2" s="180"/>
      <c r="P2" s="180"/>
      <c r="Q2" s="180"/>
    </row>
    <row r="3" spans="1:17" ht="39.75" customHeight="1">
      <c r="A3" s="509" t="s">
        <v>270</v>
      </c>
      <c r="B3" s="510"/>
      <c r="C3" s="262"/>
      <c r="D3" s="420"/>
      <c r="E3" s="421"/>
      <c r="F3" s="420"/>
      <c r="G3" s="422"/>
      <c r="H3" s="180"/>
      <c r="I3" s="423" t="s">
        <v>154</v>
      </c>
      <c r="J3" s="423"/>
      <c r="K3" s="423"/>
      <c r="L3" s="423"/>
      <c r="M3" s="423"/>
      <c r="N3" s="423"/>
      <c r="O3" s="423"/>
      <c r="P3" s="423"/>
      <c r="Q3" s="423"/>
    </row>
    <row r="4" spans="1:17" ht="39.75" customHeight="1">
      <c r="A4" s="509" t="s">
        <v>99</v>
      </c>
      <c r="B4" s="510"/>
      <c r="C4" s="262"/>
      <c r="D4" s="420"/>
      <c r="E4" s="421"/>
      <c r="F4" s="420"/>
      <c r="G4" s="422"/>
      <c r="H4" s="180"/>
      <c r="I4" s="180"/>
      <c r="J4" s="180"/>
      <c r="K4" s="180"/>
      <c r="L4" s="180"/>
      <c r="M4" s="180"/>
      <c r="N4" s="180"/>
      <c r="O4" s="180"/>
      <c r="P4" s="180"/>
      <c r="Q4" s="180"/>
    </row>
    <row r="5" spans="1:17" ht="39.75" customHeight="1">
      <c r="A5" s="509" t="s">
        <v>103</v>
      </c>
      <c r="B5" s="510"/>
      <c r="C5" s="262"/>
      <c r="D5" s="420"/>
      <c r="E5" s="421"/>
      <c r="F5" s="481"/>
      <c r="G5" s="472"/>
      <c r="H5" s="180"/>
      <c r="I5" s="180"/>
      <c r="J5" s="426" t="s">
        <v>274</v>
      </c>
      <c r="K5" s="426"/>
      <c r="L5" s="426"/>
      <c r="M5" s="426"/>
      <c r="N5" s="426"/>
      <c r="O5" s="426"/>
      <c r="P5" s="426"/>
      <c r="Q5" s="426"/>
    </row>
    <row r="6" spans="1:17" ht="39.75" customHeight="1">
      <c r="A6" s="509" t="s">
        <v>106</v>
      </c>
      <c r="B6" s="510"/>
      <c r="C6" s="263"/>
      <c r="D6" s="420"/>
      <c r="E6" s="421"/>
      <c r="F6" s="479"/>
      <c r="G6" s="480"/>
      <c r="H6" s="180"/>
      <c r="I6" s="180"/>
      <c r="J6" s="446" t="s">
        <v>159</v>
      </c>
      <c r="K6" s="447"/>
      <c r="L6" s="447"/>
      <c r="M6" s="447"/>
      <c r="N6" s="447"/>
      <c r="O6" s="447"/>
      <c r="P6" s="447"/>
      <c r="Q6" s="239"/>
    </row>
    <row r="7" spans="1:17" ht="26.25" customHeight="1">
      <c r="A7" s="513"/>
      <c r="B7" s="514"/>
      <c r="C7" s="258"/>
      <c r="D7" s="515"/>
      <c r="E7" s="516"/>
      <c r="F7" s="522"/>
      <c r="G7" s="523"/>
      <c r="H7" s="180"/>
      <c r="I7" s="180"/>
      <c r="J7" s="236" t="s">
        <v>12</v>
      </c>
      <c r="K7" s="237" t="s">
        <v>13</v>
      </c>
      <c r="L7" s="237" t="s">
        <v>14</v>
      </c>
      <c r="M7" s="237" t="s">
        <v>15</v>
      </c>
      <c r="N7" s="237" t="s">
        <v>16</v>
      </c>
      <c r="O7" s="237" t="s">
        <v>17</v>
      </c>
      <c r="P7" s="238" t="s">
        <v>18</v>
      </c>
      <c r="Q7" s="233"/>
    </row>
    <row r="8" spans="1:17" ht="39.75" customHeight="1">
      <c r="A8" s="506" t="s">
        <v>128</v>
      </c>
      <c r="B8" s="518"/>
      <c r="C8" s="262" t="s">
        <v>452</v>
      </c>
      <c r="D8" s="429"/>
      <c r="E8" s="430"/>
      <c r="F8" s="431"/>
      <c r="G8" s="432"/>
      <c r="H8" s="180"/>
      <c r="I8" s="180"/>
      <c r="J8" s="216">
        <f>J17-J13</f>
        <v>6</v>
      </c>
      <c r="K8" s="216">
        <f t="shared" ref="K8:P8" si="0">K17-K13</f>
        <v>7</v>
      </c>
      <c r="L8" s="216">
        <f t="shared" si="0"/>
        <v>7</v>
      </c>
      <c r="M8" s="216">
        <f t="shared" si="0"/>
        <v>3</v>
      </c>
      <c r="N8" s="216">
        <f t="shared" si="0"/>
        <v>4</v>
      </c>
      <c r="O8" s="216">
        <f t="shared" si="0"/>
        <v>5</v>
      </c>
      <c r="P8" s="216">
        <f t="shared" si="0"/>
        <v>3</v>
      </c>
      <c r="Q8" s="235">
        <v>26</v>
      </c>
    </row>
    <row r="9" spans="1:17" ht="39.75" customHeight="1">
      <c r="A9" s="506" t="s">
        <v>78</v>
      </c>
      <c r="B9" s="518"/>
      <c r="C9" s="262" t="s">
        <v>452</v>
      </c>
      <c r="D9" s="433"/>
      <c r="E9" s="434"/>
      <c r="F9" s="469"/>
      <c r="G9" s="422"/>
      <c r="H9" s="180"/>
      <c r="I9" s="180"/>
      <c r="J9" s="180"/>
      <c r="K9" s="180"/>
      <c r="L9" s="180"/>
      <c r="M9" s="180"/>
      <c r="N9" s="180"/>
      <c r="O9" s="180"/>
      <c r="P9" s="180"/>
      <c r="Q9" s="180"/>
    </row>
    <row r="10" spans="1:17" ht="39.75" customHeight="1">
      <c r="A10" s="506" t="s">
        <v>80</v>
      </c>
      <c r="B10" s="518"/>
      <c r="C10" s="262" t="s">
        <v>450</v>
      </c>
      <c r="D10" s="433"/>
      <c r="E10" s="434"/>
      <c r="F10" s="473"/>
      <c r="G10" s="422"/>
      <c r="H10" s="180"/>
      <c r="I10" s="180"/>
      <c r="J10" s="454" t="s">
        <v>164</v>
      </c>
      <c r="K10" s="455"/>
      <c r="L10" s="455"/>
      <c r="M10" s="455"/>
      <c r="N10" s="455"/>
      <c r="O10" s="455"/>
      <c r="P10" s="455"/>
      <c r="Q10" s="456"/>
    </row>
    <row r="11" spans="1:17" ht="39.75" customHeight="1">
      <c r="A11" s="506" t="s">
        <v>81</v>
      </c>
      <c r="B11" s="518"/>
      <c r="C11" s="263" t="s">
        <v>458</v>
      </c>
      <c r="D11" s="448"/>
      <c r="E11" s="449"/>
      <c r="F11" s="467"/>
      <c r="G11" s="451"/>
      <c r="H11" s="180"/>
      <c r="I11" s="180"/>
      <c r="J11" s="452" t="s">
        <v>166</v>
      </c>
      <c r="K11" s="453"/>
      <c r="L11" s="453"/>
      <c r="M11" s="453"/>
      <c r="N11" s="453"/>
      <c r="O11" s="453"/>
      <c r="P11" s="453"/>
      <c r="Q11" s="233"/>
    </row>
    <row r="12" spans="1:17" ht="15" customHeight="1">
      <c r="A12" s="521"/>
      <c r="B12" s="521"/>
      <c r="C12" s="259" t="s">
        <v>460</v>
      </c>
      <c r="D12" s="459" t="s">
        <v>559</v>
      </c>
      <c r="E12" s="460"/>
      <c r="F12" s="461" t="s">
        <v>560</v>
      </c>
      <c r="G12" s="462"/>
      <c r="H12" s="180"/>
      <c r="I12" s="180"/>
      <c r="J12" s="227" t="s">
        <v>12</v>
      </c>
      <c r="K12" s="188" t="s">
        <v>13</v>
      </c>
      <c r="L12" s="229" t="s">
        <v>14</v>
      </c>
      <c r="M12" s="225" t="s">
        <v>15</v>
      </c>
      <c r="N12" s="191" t="s">
        <v>16</v>
      </c>
      <c r="O12" s="231" t="s">
        <v>17</v>
      </c>
      <c r="P12" s="232" t="s">
        <v>18</v>
      </c>
      <c r="Q12" s="234"/>
    </row>
    <row r="13" spans="1:17" ht="39.75" customHeight="1">
      <c r="A13" s="507" t="s">
        <v>52</v>
      </c>
      <c r="B13" s="508"/>
      <c r="C13" s="260" t="s">
        <v>452</v>
      </c>
      <c r="D13" s="449"/>
      <c r="E13" s="449"/>
      <c r="F13" s="450"/>
      <c r="G13" s="451"/>
      <c r="H13" s="180"/>
      <c r="I13" s="180"/>
      <c r="J13" s="228">
        <v>1</v>
      </c>
      <c r="K13" s="214">
        <v>0</v>
      </c>
      <c r="L13" s="230">
        <v>0</v>
      </c>
      <c r="M13" s="226">
        <v>4</v>
      </c>
      <c r="N13" s="214">
        <v>3</v>
      </c>
      <c r="O13" s="214">
        <v>2</v>
      </c>
      <c r="P13" s="215">
        <v>4</v>
      </c>
      <c r="Q13" s="235">
        <f>SUM(J13:P13)</f>
        <v>14</v>
      </c>
    </row>
    <row r="14" spans="1:17" ht="39.75" customHeight="1">
      <c r="A14" s="506" t="s">
        <v>55</v>
      </c>
      <c r="B14" s="518"/>
      <c r="C14" s="260" t="s">
        <v>465</v>
      </c>
      <c r="D14" s="449"/>
      <c r="E14" s="449"/>
      <c r="F14" s="467"/>
      <c r="G14" s="451"/>
      <c r="H14" s="180"/>
      <c r="I14" s="180"/>
      <c r="J14" s="180"/>
      <c r="K14" s="180"/>
      <c r="L14" s="180"/>
      <c r="M14" s="180"/>
      <c r="N14" s="180"/>
      <c r="O14" s="180"/>
      <c r="P14" s="180"/>
      <c r="Q14" s="195"/>
    </row>
    <row r="15" spans="1:17" ht="39.75" customHeight="1">
      <c r="A15" s="506" t="s">
        <v>57</v>
      </c>
      <c r="B15" s="518"/>
      <c r="C15" s="260" t="s">
        <v>452</v>
      </c>
      <c r="D15" s="449"/>
      <c r="E15" s="449"/>
      <c r="F15" s="467"/>
      <c r="G15" s="451"/>
      <c r="H15" s="180"/>
      <c r="I15" s="180"/>
      <c r="J15" s="241" t="s">
        <v>173</v>
      </c>
      <c r="K15" s="242" t="s">
        <v>174</v>
      </c>
      <c r="L15" s="243" t="s">
        <v>175</v>
      </c>
      <c r="M15" s="244" t="s">
        <v>263</v>
      </c>
      <c r="N15" s="245" t="s">
        <v>292</v>
      </c>
      <c r="O15" s="246" t="s">
        <v>293</v>
      </c>
      <c r="P15" s="247" t="s">
        <v>294</v>
      </c>
      <c r="Q15" s="248"/>
    </row>
    <row r="16" spans="1:17" ht="39.75" customHeight="1">
      <c r="A16" s="506" t="s">
        <v>60</v>
      </c>
      <c r="B16" s="518"/>
      <c r="C16" s="260" t="s">
        <v>465</v>
      </c>
      <c r="D16" s="449"/>
      <c r="E16" s="449"/>
      <c r="F16" s="478"/>
      <c r="G16" s="451"/>
      <c r="H16" s="180"/>
      <c r="I16" s="180"/>
      <c r="J16" s="196" t="s">
        <v>12</v>
      </c>
      <c r="K16" s="197" t="s">
        <v>13</v>
      </c>
      <c r="L16" s="197" t="s">
        <v>14</v>
      </c>
      <c r="M16" s="197" t="s">
        <v>15</v>
      </c>
      <c r="N16" s="208" t="s">
        <v>16</v>
      </c>
      <c r="O16" s="208" t="s">
        <v>17</v>
      </c>
      <c r="P16" s="208" t="s">
        <v>18</v>
      </c>
      <c r="Q16" s="209" t="s">
        <v>179</v>
      </c>
    </row>
    <row r="17" spans="1:17" ht="39.75" customHeight="1">
      <c r="A17" s="506" t="s">
        <v>469</v>
      </c>
      <c r="B17" s="518"/>
      <c r="C17" s="260" t="s">
        <v>470</v>
      </c>
      <c r="D17" s="449"/>
      <c r="E17" s="449"/>
      <c r="F17" s="473"/>
      <c r="G17" s="422"/>
      <c r="H17" s="180"/>
      <c r="I17" s="180"/>
      <c r="J17" s="210">
        <v>7</v>
      </c>
      <c r="K17" s="211">
        <v>7</v>
      </c>
      <c r="L17" s="211">
        <v>7</v>
      </c>
      <c r="M17" s="211">
        <v>7</v>
      </c>
      <c r="N17" s="211">
        <v>7</v>
      </c>
      <c r="O17" s="211">
        <v>7</v>
      </c>
      <c r="P17" s="211">
        <v>7</v>
      </c>
      <c r="Q17" s="212">
        <v>49</v>
      </c>
    </row>
    <row r="18" spans="1:17" ht="39.75" customHeight="1">
      <c r="A18" s="506" t="s">
        <v>68</v>
      </c>
      <c r="B18" s="518"/>
      <c r="C18" s="260" t="s">
        <v>450</v>
      </c>
      <c r="D18" s="449"/>
      <c r="E18" s="449"/>
      <c r="F18" s="474"/>
      <c r="G18" s="475"/>
      <c r="H18" s="180"/>
      <c r="I18" s="180"/>
      <c r="J18" s="180"/>
      <c r="K18" s="180"/>
      <c r="L18" s="180"/>
      <c r="M18" s="180"/>
      <c r="N18" s="180"/>
      <c r="O18" s="180"/>
      <c r="P18" s="180"/>
      <c r="Q18" s="180"/>
    </row>
    <row r="19" spans="1:17" ht="47.25" customHeight="1">
      <c r="A19" s="506" t="s">
        <v>71</v>
      </c>
      <c r="B19" s="518"/>
      <c r="C19" s="260" t="s">
        <v>472</v>
      </c>
      <c r="D19" s="449"/>
      <c r="E19" s="449"/>
      <c r="F19" s="476"/>
      <c r="G19" s="477"/>
      <c r="H19" s="180"/>
      <c r="I19" s="180"/>
      <c r="J19" s="180"/>
      <c r="K19" s="180"/>
      <c r="L19" s="180"/>
      <c r="M19" s="180"/>
      <c r="N19" s="180"/>
      <c r="O19" s="180"/>
      <c r="P19" s="180"/>
      <c r="Q19" s="180"/>
    </row>
    <row r="20" spans="1:17" ht="39.75" customHeight="1">
      <c r="A20" s="506" t="s">
        <v>73</v>
      </c>
      <c r="B20" s="518"/>
      <c r="C20" s="260" t="s">
        <v>465</v>
      </c>
      <c r="D20" s="449"/>
      <c r="E20" s="449"/>
      <c r="F20" s="467"/>
      <c r="G20" s="451"/>
      <c r="H20" s="180"/>
      <c r="I20" s="180"/>
      <c r="J20" s="180"/>
      <c r="K20" s="180"/>
      <c r="L20" s="180"/>
      <c r="M20" s="180"/>
      <c r="N20" s="180"/>
      <c r="O20" s="180"/>
      <c r="P20" s="180"/>
      <c r="Q20" s="180"/>
    </row>
    <row r="21" spans="1:17" ht="39.75" customHeight="1">
      <c r="A21" s="506" t="s">
        <v>124</v>
      </c>
      <c r="B21" s="518"/>
      <c r="C21" s="260" t="s">
        <v>465</v>
      </c>
      <c r="D21" s="468"/>
      <c r="E21" s="468"/>
      <c r="F21" s="469"/>
      <c r="G21" s="422"/>
      <c r="H21" s="180"/>
      <c r="I21" s="180"/>
      <c r="J21" s="180"/>
      <c r="K21" s="180"/>
      <c r="L21" s="180"/>
      <c r="M21" s="180"/>
      <c r="N21" s="180"/>
      <c r="O21" s="180"/>
      <c r="P21" s="180"/>
      <c r="Q21" s="180"/>
    </row>
    <row r="22" spans="1:17" ht="39.75" customHeight="1">
      <c r="A22" s="506" t="s">
        <v>402</v>
      </c>
      <c r="B22" s="518"/>
      <c r="C22" s="261"/>
      <c r="D22" s="470"/>
      <c r="E22" s="470"/>
      <c r="F22" s="471"/>
      <c r="G22" s="472"/>
      <c r="H22" s="180"/>
      <c r="I22" s="180"/>
      <c r="J22" s="180"/>
      <c r="K22" s="180"/>
      <c r="L22" s="180"/>
      <c r="M22" s="180"/>
      <c r="N22" s="180"/>
      <c r="O22" s="180"/>
      <c r="P22" s="180"/>
      <c r="Q22" s="180"/>
    </row>
    <row r="23" spans="1:17" ht="9" customHeight="1">
      <c r="A23" s="199"/>
      <c r="B23" s="199"/>
      <c r="C23" s="222"/>
      <c r="D23" s="220"/>
      <c r="E23" s="220"/>
      <c r="F23" s="220"/>
      <c r="G23" s="181"/>
      <c r="H23" s="180"/>
      <c r="I23" s="180"/>
      <c r="J23" s="180"/>
      <c r="K23" s="180"/>
      <c r="L23" s="180"/>
      <c r="M23" s="180"/>
      <c r="N23" s="180"/>
      <c r="O23" s="180"/>
      <c r="P23" s="180"/>
      <c r="Q23" s="180"/>
    </row>
    <row r="24" spans="1:17" ht="24" customHeight="1">
      <c r="A24" s="444" t="s">
        <v>136</v>
      </c>
      <c r="B24" s="444"/>
      <c r="C24" s="444"/>
      <c r="D24" s="444"/>
      <c r="E24" s="444"/>
      <c r="F24" s="444"/>
      <c r="G24" s="444"/>
      <c r="H24" s="180"/>
      <c r="I24" s="180"/>
      <c r="J24" s="180"/>
      <c r="K24" s="180"/>
      <c r="M24" s="180"/>
      <c r="N24" s="180"/>
      <c r="O24" s="180"/>
      <c r="P24" s="180"/>
      <c r="Q24" s="180"/>
    </row>
    <row r="25" spans="1:17" ht="6.75" customHeight="1">
      <c r="L25" s="40"/>
    </row>
    <row r="26" spans="1:17" ht="17.25" customHeight="1">
      <c r="A26" s="414"/>
      <c r="B26" s="414"/>
      <c r="C26" s="253"/>
      <c r="D26" s="253"/>
      <c r="E26" s="219"/>
      <c r="F26" s="414"/>
      <c r="G26" s="414"/>
      <c r="L26" s="40"/>
    </row>
    <row r="27" spans="1:17" ht="17.25" customHeight="1">
      <c r="A27" s="414"/>
      <c r="B27" s="414"/>
      <c r="C27" s="253"/>
      <c r="D27" s="253"/>
      <c r="E27" s="219"/>
      <c r="F27" s="414"/>
      <c r="G27" s="414"/>
      <c r="L27" s="40"/>
    </row>
    <row r="28" spans="1:17" ht="17.25" customHeight="1">
      <c r="A28" s="414"/>
      <c r="B28" s="414"/>
      <c r="C28" s="253"/>
      <c r="D28" s="253"/>
      <c r="E28" s="219"/>
      <c r="F28" s="414"/>
      <c r="G28" s="414"/>
      <c r="L28" s="40"/>
    </row>
    <row r="29" spans="1:17" ht="17.25" customHeight="1">
      <c r="A29" s="414"/>
      <c r="B29" s="414"/>
      <c r="C29" s="253"/>
      <c r="D29" s="253"/>
      <c r="E29" s="219"/>
      <c r="F29" s="414"/>
      <c r="G29" s="414"/>
      <c r="L29" s="40"/>
    </row>
    <row r="30" spans="1:17" ht="17.25" customHeight="1">
      <c r="A30" s="414"/>
      <c r="B30" s="414"/>
      <c r="C30" s="253"/>
      <c r="D30" s="253"/>
      <c r="E30" s="219"/>
      <c r="F30" s="414"/>
      <c r="G30" s="414"/>
      <c r="L30" s="40"/>
    </row>
    <row r="31" spans="1:17" ht="17.25" customHeight="1">
      <c r="A31" s="414"/>
      <c r="B31" s="414"/>
      <c r="C31" s="253"/>
      <c r="D31" s="253"/>
      <c r="E31" s="219"/>
      <c r="F31" s="414"/>
      <c r="G31" s="414"/>
      <c r="L31" s="40"/>
    </row>
    <row r="32" spans="1:17" ht="17.25" customHeight="1">
      <c r="A32" s="414"/>
      <c r="B32" s="414"/>
      <c r="C32" s="253"/>
      <c r="D32" s="253"/>
      <c r="E32" s="219"/>
      <c r="F32" s="414"/>
      <c r="G32" s="414"/>
      <c r="L32" s="40"/>
    </row>
    <row r="33" spans="1:12" ht="17.25" customHeight="1">
      <c r="A33" s="414"/>
      <c r="B33" s="414"/>
      <c r="C33" s="253"/>
      <c r="D33" s="253"/>
      <c r="E33" s="219"/>
      <c r="F33" s="414"/>
      <c r="G33" s="414"/>
      <c r="L33" s="40"/>
    </row>
    <row r="34" spans="1:12" ht="17.25" customHeight="1">
      <c r="A34" s="414"/>
      <c r="B34" s="414"/>
      <c r="C34" s="253"/>
      <c r="D34" s="253"/>
      <c r="E34" s="219"/>
      <c r="F34" s="414"/>
      <c r="G34" s="414"/>
      <c r="L34" s="40"/>
    </row>
    <row r="35" spans="1:12" ht="17.25" customHeight="1">
      <c r="A35" s="414"/>
      <c r="B35" s="414"/>
      <c r="C35" s="253"/>
      <c r="D35" s="253"/>
      <c r="E35" s="219"/>
      <c r="F35" s="414"/>
      <c r="G35" s="414"/>
      <c r="L35" s="40"/>
    </row>
    <row r="36" spans="1:12">
      <c r="L36" s="40"/>
    </row>
    <row r="37" spans="1:12">
      <c r="L37" s="40"/>
    </row>
    <row r="38" spans="1:12">
      <c r="L38" s="40"/>
    </row>
    <row r="39" spans="1:12">
      <c r="L39" s="40"/>
    </row>
    <row r="40" spans="1:12">
      <c r="L40" s="40"/>
    </row>
    <row r="41" spans="1:12">
      <c r="L41" s="40"/>
    </row>
    <row r="42" spans="1:12">
      <c r="L42" s="40"/>
    </row>
    <row r="43" spans="1:12">
      <c r="L43" s="40"/>
    </row>
    <row r="44" spans="1:12">
      <c r="L44" s="40"/>
    </row>
    <row r="45" spans="1:12">
      <c r="L45" s="40"/>
    </row>
    <row r="46" spans="1:12">
      <c r="L46" s="40"/>
    </row>
    <row r="47" spans="1:12">
      <c r="L47" s="40"/>
    </row>
    <row r="48" spans="1:12">
      <c r="L48" s="40"/>
    </row>
    <row r="49" spans="12:12">
      <c r="L49" s="40"/>
    </row>
    <row r="50" spans="12:12">
      <c r="L50" s="40"/>
    </row>
    <row r="51" spans="12:12">
      <c r="L51" s="40"/>
    </row>
    <row r="52" spans="12:12">
      <c r="L52" s="40"/>
    </row>
    <row r="53" spans="12:12">
      <c r="L53" s="40"/>
    </row>
  </sheetData>
  <mergeCells count="88">
    <mergeCell ref="A1:G1"/>
    <mergeCell ref="A2:B2"/>
    <mergeCell ref="D2:G2"/>
    <mergeCell ref="A3:B3"/>
    <mergeCell ref="D3:E3"/>
    <mergeCell ref="F3:G3"/>
    <mergeCell ref="I3:Q3"/>
    <mergeCell ref="A4:B4"/>
    <mergeCell ref="D4:E4"/>
    <mergeCell ref="F4:G4"/>
    <mergeCell ref="A5:B5"/>
    <mergeCell ref="D5:E5"/>
    <mergeCell ref="F5:G5"/>
    <mergeCell ref="J5:Q5"/>
    <mergeCell ref="A6:B6"/>
    <mergeCell ref="D6:E6"/>
    <mergeCell ref="F6:G6"/>
    <mergeCell ref="J6:P6"/>
    <mergeCell ref="A7:B7"/>
    <mergeCell ref="D7:G7"/>
    <mergeCell ref="A8:B8"/>
    <mergeCell ref="D8:E8"/>
    <mergeCell ref="F8:G8"/>
    <mergeCell ref="A9:B9"/>
    <mergeCell ref="D9:E9"/>
    <mergeCell ref="F9:G9"/>
    <mergeCell ref="A10:B10"/>
    <mergeCell ref="D10:E10"/>
    <mergeCell ref="F10:G10"/>
    <mergeCell ref="J10:Q10"/>
    <mergeCell ref="A11:B11"/>
    <mergeCell ref="D11:E11"/>
    <mergeCell ref="F11:G11"/>
    <mergeCell ref="J11:P11"/>
    <mergeCell ref="A12:B12"/>
    <mergeCell ref="D12:E12"/>
    <mergeCell ref="F12:G12"/>
    <mergeCell ref="A13:B13"/>
    <mergeCell ref="D13:E13"/>
    <mergeCell ref="F13:G13"/>
    <mergeCell ref="A14:B14"/>
    <mergeCell ref="D14:E14"/>
    <mergeCell ref="F14:G14"/>
    <mergeCell ref="A15:B15"/>
    <mergeCell ref="D15:E15"/>
    <mergeCell ref="F15:G15"/>
    <mergeCell ref="A16:B16"/>
    <mergeCell ref="D16:E16"/>
    <mergeCell ref="F16:G16"/>
    <mergeCell ref="A17:B17"/>
    <mergeCell ref="D17:E17"/>
    <mergeCell ref="F17:G17"/>
    <mergeCell ref="A18:B18"/>
    <mergeCell ref="D18:E18"/>
    <mergeCell ref="F18:G18"/>
    <mergeCell ref="A19:B19"/>
    <mergeCell ref="D19:E19"/>
    <mergeCell ref="F19:G19"/>
    <mergeCell ref="A20:B20"/>
    <mergeCell ref="D20:E20"/>
    <mergeCell ref="F20:G20"/>
    <mergeCell ref="A21:B21"/>
    <mergeCell ref="D21:E21"/>
    <mergeCell ref="F21:G21"/>
    <mergeCell ref="A22:B22"/>
    <mergeCell ref="D22:E22"/>
    <mergeCell ref="F22:G22"/>
    <mergeCell ref="A24:G24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</mergeCells>
  <pageMargins left="0.25" right="0.25" top="0.75" bottom="0.75" header="0.3" footer="0.3"/>
  <pageSetup scale="65" fitToWidth="0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03D7-5F72-425C-B7DA-E91A622BDD13}">
  <dimension ref="A1:R1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42578125" bestFit="1" customWidth="1"/>
    <col min="2" max="2" width="47.42578125" bestFit="1" customWidth="1"/>
    <col min="4" max="4" width="12.5703125" customWidth="1"/>
    <col min="5" max="5" width="30.5703125" customWidth="1"/>
    <col min="6" max="6" width="19.42578125" customWidth="1"/>
    <col min="14" max="14" width="15.5703125" customWidth="1"/>
    <col min="17" max="17" width="15.7109375" bestFit="1" customWidth="1"/>
  </cols>
  <sheetData>
    <row r="1" spans="1:6" ht="18.75" customHeight="1">
      <c r="A1" s="43" t="s">
        <v>42</v>
      </c>
      <c r="B1" s="51" t="s">
        <v>43</v>
      </c>
      <c r="C1" s="51" t="s">
        <v>191</v>
      </c>
      <c r="D1" s="51" t="s">
        <v>192</v>
      </c>
      <c r="E1" s="51" t="s">
        <v>193</v>
      </c>
      <c r="F1" s="52" t="s">
        <v>194</v>
      </c>
    </row>
    <row r="2" spans="1:6">
      <c r="A2" s="266"/>
      <c r="B2" s="266" t="s">
        <v>490</v>
      </c>
      <c r="C2" s="269">
        <v>22</v>
      </c>
      <c r="D2" s="269"/>
      <c r="E2" s="58" t="s">
        <v>561</v>
      </c>
      <c r="F2" s="277" t="s">
        <v>209</v>
      </c>
    </row>
    <row r="3" spans="1:6">
      <c r="A3" s="266"/>
      <c r="B3" s="50" t="s">
        <v>325</v>
      </c>
      <c r="C3" s="50">
        <v>881</v>
      </c>
      <c r="D3" s="50" t="s">
        <v>206</v>
      </c>
      <c r="E3" s="179" t="s">
        <v>562</v>
      </c>
      <c r="F3" s="277" t="s">
        <v>217</v>
      </c>
    </row>
    <row r="4" spans="1:6" ht="30.75">
      <c r="A4" s="266"/>
      <c r="B4" s="49" t="s">
        <v>126</v>
      </c>
      <c r="C4" s="48">
        <v>22</v>
      </c>
      <c r="D4" s="49" t="s">
        <v>206</v>
      </c>
      <c r="E4" s="179" t="s">
        <v>563</v>
      </c>
      <c r="F4" s="277" t="s">
        <v>217</v>
      </c>
    </row>
    <row r="5" spans="1:6">
      <c r="A5" s="266"/>
      <c r="B5" s="266"/>
      <c r="C5" s="269"/>
      <c r="D5" s="269"/>
      <c r="E5" s="58"/>
      <c r="F5" s="277" t="s">
        <v>209</v>
      </c>
    </row>
    <row r="6" spans="1:6">
      <c r="A6" s="266"/>
      <c r="B6" s="266"/>
      <c r="C6" s="269"/>
      <c r="D6" s="269"/>
      <c r="E6" s="58"/>
      <c r="F6" s="277" t="s">
        <v>217</v>
      </c>
    </row>
    <row r="7" spans="1:6">
      <c r="A7" s="266"/>
      <c r="B7" s="266"/>
      <c r="C7" s="269"/>
      <c r="D7" s="269"/>
      <c r="E7" s="58"/>
      <c r="F7" s="277" t="s">
        <v>209</v>
      </c>
    </row>
    <row r="8" spans="1:6">
      <c r="A8" s="266"/>
      <c r="B8" s="50"/>
      <c r="C8" s="46"/>
      <c r="D8" s="50"/>
      <c r="E8" s="59"/>
      <c r="F8" s="277" t="s">
        <v>209</v>
      </c>
    </row>
    <row r="9" spans="1:6" ht="30.75" customHeight="1">
      <c r="A9" s="266"/>
      <c r="B9" s="266" t="s">
        <v>564</v>
      </c>
      <c r="C9" s="269">
        <v>19</v>
      </c>
      <c r="D9" s="269" t="s">
        <v>523</v>
      </c>
      <c r="E9" s="58" t="s">
        <v>565</v>
      </c>
      <c r="F9" s="278" t="s">
        <v>507</v>
      </c>
    </row>
    <row r="10" spans="1:6" ht="30.75" customHeight="1">
      <c r="A10" s="266"/>
      <c r="B10" s="266" t="s">
        <v>566</v>
      </c>
      <c r="C10" s="270">
        <v>19</v>
      </c>
      <c r="D10" s="269" t="s">
        <v>197</v>
      </c>
      <c r="E10" s="58" t="s">
        <v>567</v>
      </c>
      <c r="F10" s="278" t="s">
        <v>507</v>
      </c>
    </row>
    <row r="11" spans="1:6">
      <c r="A11" s="266"/>
      <c r="B11" s="266" t="s">
        <v>566</v>
      </c>
      <c r="C11" s="270">
        <v>19</v>
      </c>
      <c r="D11" s="269" t="s">
        <v>197</v>
      </c>
      <c r="E11" s="58" t="s">
        <v>568</v>
      </c>
      <c r="F11" s="278" t="s">
        <v>507</v>
      </c>
    </row>
    <row r="12" spans="1:6" ht="30.75">
      <c r="A12" s="266"/>
      <c r="B12" s="266" t="s">
        <v>566</v>
      </c>
      <c r="C12" s="269">
        <v>19</v>
      </c>
      <c r="D12" s="269" t="s">
        <v>197</v>
      </c>
      <c r="E12" s="58" t="s">
        <v>569</v>
      </c>
      <c r="F12" s="278" t="s">
        <v>507</v>
      </c>
    </row>
    <row r="13" spans="1:6">
      <c r="A13" s="266"/>
      <c r="B13" s="266" t="s">
        <v>104</v>
      </c>
      <c r="C13" s="269">
        <v>448</v>
      </c>
      <c r="D13" s="269" t="s">
        <v>197</v>
      </c>
      <c r="E13" s="58" t="s">
        <v>570</v>
      </c>
      <c r="F13" s="278" t="s">
        <v>507</v>
      </c>
    </row>
    <row r="14" spans="1:6">
      <c r="A14" s="266"/>
      <c r="B14" s="266" t="s">
        <v>571</v>
      </c>
      <c r="C14" s="269">
        <v>19</v>
      </c>
      <c r="D14" s="269" t="s">
        <v>523</v>
      </c>
      <c r="E14" s="58" t="s">
        <v>572</v>
      </c>
      <c r="F14" s="278" t="s">
        <v>507</v>
      </c>
    </row>
    <row r="15" spans="1:6">
      <c r="A15" s="266"/>
      <c r="B15" s="266" t="s">
        <v>573</v>
      </c>
      <c r="C15" s="269">
        <v>531</v>
      </c>
      <c r="D15" s="269" t="s">
        <v>498</v>
      </c>
      <c r="E15" s="271" t="s">
        <v>574</v>
      </c>
      <c r="F15" s="278" t="s">
        <v>507</v>
      </c>
    </row>
    <row r="16" spans="1:6">
      <c r="A16" s="266"/>
      <c r="B16" s="266" t="s">
        <v>420</v>
      </c>
      <c r="C16" s="266">
        <v>21</v>
      </c>
      <c r="D16" s="266" t="s">
        <v>197</v>
      </c>
      <c r="E16" s="266" t="s">
        <v>575</v>
      </c>
      <c r="F16" s="279" t="s">
        <v>223</v>
      </c>
    </row>
    <row r="17" spans="1:6">
      <c r="A17" s="266"/>
      <c r="B17" s="266" t="s">
        <v>224</v>
      </c>
      <c r="C17" s="266">
        <v>11</v>
      </c>
      <c r="D17" s="266" t="s">
        <v>197</v>
      </c>
      <c r="E17" s="58" t="s">
        <v>576</v>
      </c>
      <c r="F17" s="279" t="s">
        <v>223</v>
      </c>
    </row>
    <row r="18" spans="1:6">
      <c r="A18" s="266"/>
      <c r="B18" s="266" t="s">
        <v>577</v>
      </c>
      <c r="C18" s="266">
        <v>24</v>
      </c>
      <c r="D18" s="266" t="s">
        <v>206</v>
      </c>
      <c r="E18" s="58" t="s">
        <v>578</v>
      </c>
      <c r="F18" s="279" t="s">
        <v>223</v>
      </c>
    </row>
    <row r="19" spans="1:6">
      <c r="A19" s="266"/>
      <c r="B19" s="266" t="s">
        <v>328</v>
      </c>
      <c r="C19" s="266">
        <v>14</v>
      </c>
      <c r="D19" s="266" t="s">
        <v>206</v>
      </c>
      <c r="E19" s="58" t="s">
        <v>579</v>
      </c>
      <c r="F19" s="279" t="s">
        <v>223</v>
      </c>
    </row>
    <row r="20" spans="1:6">
      <c r="A20" s="266"/>
      <c r="B20" s="266" t="s">
        <v>226</v>
      </c>
      <c r="C20" s="266">
        <v>23</v>
      </c>
      <c r="D20" s="266" t="s">
        <v>206</v>
      </c>
      <c r="E20" s="58" t="s">
        <v>580</v>
      </c>
      <c r="F20" s="279" t="s">
        <v>223</v>
      </c>
    </row>
    <row r="21" spans="1:6">
      <c r="A21" s="266"/>
      <c r="B21" s="266" t="s">
        <v>534</v>
      </c>
      <c r="C21" s="266">
        <v>3</v>
      </c>
      <c r="D21" s="266" t="s">
        <v>206</v>
      </c>
      <c r="E21" s="58" t="s">
        <v>581</v>
      </c>
      <c r="F21" s="279" t="s">
        <v>223</v>
      </c>
    </row>
    <row r="22" spans="1:6">
      <c r="A22" s="266"/>
      <c r="B22" s="266" t="s">
        <v>534</v>
      </c>
      <c r="C22" s="266">
        <v>3</v>
      </c>
      <c r="D22" s="266" t="s">
        <v>206</v>
      </c>
      <c r="E22" s="58" t="s">
        <v>582</v>
      </c>
      <c r="F22" s="279" t="s">
        <v>223</v>
      </c>
    </row>
    <row r="23" spans="1:6">
      <c r="A23" s="272"/>
      <c r="B23" s="273" t="s">
        <v>583</v>
      </c>
      <c r="C23" s="273"/>
      <c r="D23" s="273"/>
      <c r="E23" s="274"/>
      <c r="F23" s="273"/>
    </row>
    <row r="24" spans="1:6" ht="30.75">
      <c r="A24" s="266"/>
      <c r="B24" s="266" t="s">
        <v>243</v>
      </c>
      <c r="C24" s="266">
        <v>720</v>
      </c>
      <c r="D24" s="266" t="s">
        <v>244</v>
      </c>
      <c r="E24" s="58" t="s">
        <v>584</v>
      </c>
      <c r="F24" s="280" t="s">
        <v>501</v>
      </c>
    </row>
    <row r="25" spans="1:6" ht="30.75">
      <c r="A25" s="266"/>
      <c r="B25" s="266" t="s">
        <v>585</v>
      </c>
      <c r="C25" s="266">
        <v>40</v>
      </c>
      <c r="D25" s="266" t="s">
        <v>244</v>
      </c>
      <c r="E25" s="58" t="s">
        <v>586</v>
      </c>
      <c r="F25" s="280" t="s">
        <v>501</v>
      </c>
    </row>
    <row r="26" spans="1:6" ht="30.75">
      <c r="A26" s="266"/>
      <c r="B26" s="266" t="s">
        <v>587</v>
      </c>
      <c r="C26" s="266">
        <v>728</v>
      </c>
      <c r="D26" s="266" t="s">
        <v>197</v>
      </c>
      <c r="E26" s="59" t="s">
        <v>588</v>
      </c>
      <c r="F26" s="280" t="s">
        <v>501</v>
      </c>
    </row>
    <row r="27" spans="1:6">
      <c r="A27" s="266"/>
      <c r="B27" s="266" t="s">
        <v>589</v>
      </c>
      <c r="C27" s="266">
        <v>40</v>
      </c>
      <c r="D27" s="266" t="s">
        <v>197</v>
      </c>
      <c r="E27" s="58" t="s">
        <v>590</v>
      </c>
      <c r="F27" s="280" t="s">
        <v>501</v>
      </c>
    </row>
    <row r="28" spans="1:6">
      <c r="A28" s="266"/>
      <c r="B28" s="266" t="s">
        <v>591</v>
      </c>
      <c r="C28" s="266">
        <v>975</v>
      </c>
      <c r="D28" s="266" t="s">
        <v>523</v>
      </c>
      <c r="E28" s="58" t="s">
        <v>592</v>
      </c>
      <c r="F28" s="280" t="s">
        <v>501</v>
      </c>
    </row>
    <row r="29" spans="1:6">
      <c r="A29" s="266"/>
      <c r="B29" s="266" t="s">
        <v>247</v>
      </c>
      <c r="C29" s="266">
        <v>975</v>
      </c>
      <c r="D29" s="266" t="s">
        <v>197</v>
      </c>
      <c r="E29" s="58" t="s">
        <v>593</v>
      </c>
      <c r="F29" s="280" t="s">
        <v>501</v>
      </c>
    </row>
    <row r="30" spans="1:6">
      <c r="A30" s="266"/>
      <c r="B30" s="266" t="s">
        <v>591</v>
      </c>
      <c r="C30" s="266">
        <v>975</v>
      </c>
      <c r="D30" s="266" t="s">
        <v>523</v>
      </c>
      <c r="E30" s="58" t="s">
        <v>594</v>
      </c>
      <c r="F30" s="280" t="s">
        <v>501</v>
      </c>
    </row>
    <row r="31" spans="1:6">
      <c r="A31" s="266"/>
      <c r="B31" s="50" t="s">
        <v>368</v>
      </c>
      <c r="C31" s="50">
        <v>865</v>
      </c>
      <c r="D31" s="50" t="s">
        <v>353</v>
      </c>
      <c r="E31" s="59" t="s">
        <v>595</v>
      </c>
      <c r="F31" s="281" t="s">
        <v>359</v>
      </c>
    </row>
    <row r="32" spans="1:6" ht="30.75">
      <c r="A32" s="266"/>
      <c r="B32" s="266" t="s">
        <v>298</v>
      </c>
      <c r="C32" s="50">
        <v>865</v>
      </c>
      <c r="D32" s="50" t="s">
        <v>353</v>
      </c>
      <c r="E32" s="59" t="s">
        <v>596</v>
      </c>
      <c r="F32" s="281" t="s">
        <v>359</v>
      </c>
    </row>
    <row r="33" spans="1:6" ht="30.75">
      <c r="A33" s="266"/>
      <c r="B33" s="266" t="s">
        <v>597</v>
      </c>
      <c r="C33" s="266">
        <v>919</v>
      </c>
      <c r="D33" s="266" t="s">
        <v>523</v>
      </c>
      <c r="E33" s="58" t="s">
        <v>598</v>
      </c>
      <c r="F33" s="281" t="s">
        <v>359</v>
      </c>
    </row>
    <row r="34" spans="1:6" ht="30.75">
      <c r="A34" s="266"/>
      <c r="B34" s="266" t="s">
        <v>282</v>
      </c>
      <c r="C34" s="266">
        <v>865</v>
      </c>
      <c r="D34" s="266" t="s">
        <v>523</v>
      </c>
      <c r="E34" s="58" t="s">
        <v>599</v>
      </c>
      <c r="F34" s="281" t="s">
        <v>359</v>
      </c>
    </row>
    <row r="35" spans="1:6">
      <c r="A35" s="266"/>
      <c r="B35" s="266" t="s">
        <v>368</v>
      </c>
      <c r="C35" s="266">
        <v>865</v>
      </c>
      <c r="D35" s="266" t="s">
        <v>353</v>
      </c>
      <c r="E35" s="58" t="s">
        <v>600</v>
      </c>
      <c r="F35" s="281" t="s">
        <v>359</v>
      </c>
    </row>
    <row r="36" spans="1:6">
      <c r="A36" s="266"/>
      <c r="B36" s="266" t="s">
        <v>601</v>
      </c>
      <c r="C36" s="266">
        <v>919</v>
      </c>
      <c r="D36" s="266" t="s">
        <v>197</v>
      </c>
      <c r="E36" s="58" t="s">
        <v>602</v>
      </c>
      <c r="F36" s="281" t="s">
        <v>359</v>
      </c>
    </row>
    <row r="37" spans="1:6" ht="30.75">
      <c r="A37" s="266"/>
      <c r="B37" s="266" t="s">
        <v>161</v>
      </c>
      <c r="C37" s="269">
        <v>865</v>
      </c>
      <c r="D37" s="266" t="s">
        <v>197</v>
      </c>
      <c r="E37" s="58" t="s">
        <v>603</v>
      </c>
      <c r="F37" s="281" t="s">
        <v>359</v>
      </c>
    </row>
    <row r="38" spans="1:6" ht="30.75">
      <c r="A38" s="266"/>
      <c r="B38" s="266" t="s">
        <v>161</v>
      </c>
      <c r="C38" s="46">
        <v>865</v>
      </c>
      <c r="D38" s="50" t="s">
        <v>197</v>
      </c>
      <c r="E38" s="59" t="s">
        <v>604</v>
      </c>
      <c r="F38" s="281" t="s">
        <v>359</v>
      </c>
    </row>
    <row r="39" spans="1:6" ht="30.75">
      <c r="A39" s="266"/>
      <c r="B39" s="266" t="s">
        <v>161</v>
      </c>
      <c r="C39" s="46">
        <v>865</v>
      </c>
      <c r="D39" s="50" t="s">
        <v>197</v>
      </c>
      <c r="E39" s="59" t="s">
        <v>605</v>
      </c>
      <c r="F39" s="282" t="s">
        <v>359</v>
      </c>
    </row>
    <row r="40" spans="1:6">
      <c r="A40" s="272"/>
      <c r="B40" s="273" t="s">
        <v>583</v>
      </c>
      <c r="C40" s="273"/>
      <c r="D40" s="273"/>
      <c r="E40" s="274"/>
      <c r="F40" s="273"/>
    </row>
    <row r="41" spans="1:6">
      <c r="A41" s="266"/>
      <c r="B41" s="266" t="s">
        <v>254</v>
      </c>
      <c r="C41" s="269">
        <v>2</v>
      </c>
      <c r="D41" s="266" t="s">
        <v>197</v>
      </c>
      <c r="E41" s="58" t="s">
        <v>606</v>
      </c>
      <c r="F41" s="265" t="s">
        <v>202</v>
      </c>
    </row>
    <row r="42" spans="1:6">
      <c r="A42" s="266"/>
      <c r="B42" s="266" t="s">
        <v>607</v>
      </c>
      <c r="C42" s="269">
        <v>4</v>
      </c>
      <c r="D42" s="266" t="s">
        <v>197</v>
      </c>
      <c r="E42" s="58" t="s">
        <v>608</v>
      </c>
      <c r="F42" s="265" t="s">
        <v>202</v>
      </c>
    </row>
    <row r="43" spans="1:6">
      <c r="A43" s="266"/>
      <c r="B43" s="266" t="s">
        <v>607</v>
      </c>
      <c r="C43" s="269">
        <v>4</v>
      </c>
      <c r="D43" s="266" t="s">
        <v>197</v>
      </c>
      <c r="E43" s="58" t="s">
        <v>609</v>
      </c>
      <c r="F43" s="265" t="s">
        <v>202</v>
      </c>
    </row>
    <row r="44" spans="1:6">
      <c r="A44" s="266"/>
      <c r="B44" s="266" t="s">
        <v>310</v>
      </c>
      <c r="C44" s="269">
        <v>4</v>
      </c>
      <c r="D44" s="266" t="s">
        <v>505</v>
      </c>
      <c r="E44" s="58" t="s">
        <v>447</v>
      </c>
      <c r="F44" s="265" t="s">
        <v>202</v>
      </c>
    </row>
    <row r="45" spans="1:6">
      <c r="A45" s="266"/>
      <c r="B45" s="266" t="s">
        <v>610</v>
      </c>
      <c r="C45" s="266">
        <v>28</v>
      </c>
      <c r="D45" s="266" t="s">
        <v>215</v>
      </c>
      <c r="E45" s="58" t="s">
        <v>611</v>
      </c>
      <c r="F45" s="265" t="s">
        <v>202</v>
      </c>
    </row>
    <row r="46" spans="1:6">
      <c r="A46" s="266"/>
      <c r="B46" s="266" t="s">
        <v>612</v>
      </c>
      <c r="C46" s="269">
        <v>606</v>
      </c>
      <c r="D46" s="266" t="s">
        <v>215</v>
      </c>
      <c r="E46" s="58" t="s">
        <v>613</v>
      </c>
      <c r="F46" s="265" t="s">
        <v>202</v>
      </c>
    </row>
    <row r="47" spans="1:6">
      <c r="A47" s="266"/>
      <c r="B47" s="266" t="s">
        <v>200</v>
      </c>
      <c r="C47" s="269">
        <v>1</v>
      </c>
      <c r="D47" s="266" t="s">
        <v>197</v>
      </c>
      <c r="E47" s="58" t="s">
        <v>614</v>
      </c>
      <c r="F47" s="265" t="s">
        <v>202</v>
      </c>
    </row>
    <row r="48" spans="1:6" ht="31.5" customHeight="1">
      <c r="A48" s="266"/>
      <c r="B48" s="266" t="s">
        <v>615</v>
      </c>
      <c r="C48" s="269">
        <v>8</v>
      </c>
      <c r="D48" s="266" t="s">
        <v>353</v>
      </c>
      <c r="E48" s="58" t="s">
        <v>616</v>
      </c>
      <c r="F48" s="283" t="s">
        <v>617</v>
      </c>
    </row>
    <row r="49" spans="1:18">
      <c r="A49" s="266"/>
      <c r="B49" s="266" t="s">
        <v>62</v>
      </c>
      <c r="C49" s="269">
        <v>12</v>
      </c>
      <c r="D49" s="266" t="s">
        <v>197</v>
      </c>
      <c r="E49" s="58" t="s">
        <v>618</v>
      </c>
      <c r="F49" s="283" t="s">
        <v>617</v>
      </c>
    </row>
    <row r="50" spans="1:18">
      <c r="A50" s="266"/>
      <c r="B50" s="266" t="s">
        <v>242</v>
      </c>
      <c r="C50" s="266">
        <v>10</v>
      </c>
      <c r="D50" s="266" t="s">
        <v>206</v>
      </c>
      <c r="E50" s="58" t="s">
        <v>619</v>
      </c>
      <c r="F50" s="283" t="s">
        <v>617</v>
      </c>
    </row>
    <row r="51" spans="1:18">
      <c r="A51" s="266"/>
      <c r="B51" s="49" t="s">
        <v>529</v>
      </c>
      <c r="C51" s="48">
        <v>13</v>
      </c>
      <c r="D51" s="49" t="s">
        <v>206</v>
      </c>
      <c r="E51" s="179" t="s">
        <v>620</v>
      </c>
      <c r="F51" s="283" t="s">
        <v>617</v>
      </c>
    </row>
    <row r="52" spans="1:18">
      <c r="A52" s="266"/>
      <c r="B52" s="50" t="s">
        <v>621</v>
      </c>
      <c r="C52" s="46">
        <v>13</v>
      </c>
      <c r="D52" s="50" t="s">
        <v>353</v>
      </c>
      <c r="E52" s="59" t="s">
        <v>622</v>
      </c>
      <c r="F52" s="283" t="s">
        <v>617</v>
      </c>
    </row>
    <row r="53" spans="1:18">
      <c r="A53" s="266"/>
      <c r="B53" s="49" t="s">
        <v>623</v>
      </c>
      <c r="C53" s="48">
        <v>3004</v>
      </c>
      <c r="D53" s="49" t="s">
        <v>523</v>
      </c>
      <c r="E53" s="179" t="s">
        <v>624</v>
      </c>
      <c r="F53" s="283" t="s">
        <v>617</v>
      </c>
    </row>
    <row r="54" spans="1:18">
      <c r="A54" s="266"/>
      <c r="B54" s="50" t="s">
        <v>621</v>
      </c>
      <c r="C54" s="46">
        <v>13</v>
      </c>
      <c r="D54" s="50" t="s">
        <v>353</v>
      </c>
      <c r="E54" s="59" t="s">
        <v>594</v>
      </c>
      <c r="F54" s="283" t="s">
        <v>617</v>
      </c>
    </row>
    <row r="55" spans="1:18">
      <c r="A55" s="276"/>
      <c r="B55" s="265" t="s">
        <v>625</v>
      </c>
      <c r="C55" s="254"/>
      <c r="D55" s="265"/>
      <c r="E55" s="265" t="s">
        <v>625</v>
      </c>
      <c r="F55" s="265"/>
      <c r="N55" t="s">
        <v>626</v>
      </c>
      <c r="Q55" t="s">
        <v>627</v>
      </c>
    </row>
    <row r="56" spans="1:18">
      <c r="A56" s="266"/>
      <c r="B56" s="49" t="s">
        <v>628</v>
      </c>
      <c r="C56" s="48">
        <v>717</v>
      </c>
      <c r="D56" s="49" t="s">
        <v>523</v>
      </c>
      <c r="E56" s="179" t="s">
        <v>629</v>
      </c>
      <c r="F56" s="49" t="s">
        <v>217</v>
      </c>
      <c r="N56" t="s">
        <v>630</v>
      </c>
      <c r="O56" t="s">
        <v>191</v>
      </c>
      <c r="Q56" t="s">
        <v>630</v>
      </c>
      <c r="R56" t="s">
        <v>191</v>
      </c>
    </row>
    <row r="57" spans="1:18">
      <c r="A57" s="266"/>
      <c r="B57" s="50" t="s">
        <v>631</v>
      </c>
      <c r="C57" s="46">
        <v>717</v>
      </c>
      <c r="D57" s="50" t="s">
        <v>219</v>
      </c>
      <c r="E57" s="179" t="s">
        <v>629</v>
      </c>
      <c r="F57" s="49" t="s">
        <v>217</v>
      </c>
      <c r="N57" s="49" t="s">
        <v>628</v>
      </c>
      <c r="O57" s="48">
        <v>717</v>
      </c>
      <c r="Q57" s="50" t="s">
        <v>632</v>
      </c>
      <c r="R57" s="50">
        <v>46</v>
      </c>
    </row>
    <row r="58" spans="1:18">
      <c r="A58" s="266"/>
      <c r="B58" s="49" t="s">
        <v>633</v>
      </c>
      <c r="C58" s="48">
        <v>881</v>
      </c>
      <c r="D58" s="49" t="s">
        <v>219</v>
      </c>
      <c r="E58" s="179" t="s">
        <v>629</v>
      </c>
      <c r="F58" s="49" t="s">
        <v>217</v>
      </c>
      <c r="N58" s="50" t="s">
        <v>631</v>
      </c>
      <c r="O58" s="46">
        <v>717</v>
      </c>
      <c r="Q58" s="50" t="s">
        <v>634</v>
      </c>
      <c r="R58" s="50">
        <v>15</v>
      </c>
    </row>
    <row r="59" spans="1:18">
      <c r="A59" s="266"/>
      <c r="B59" s="50"/>
      <c r="C59" s="50"/>
      <c r="D59" s="50"/>
      <c r="E59" s="179"/>
      <c r="F59" s="49" t="s">
        <v>217</v>
      </c>
      <c r="N59" s="49" t="s">
        <v>633</v>
      </c>
      <c r="O59" s="48">
        <v>881</v>
      </c>
      <c r="Q59" s="50" t="s">
        <v>64</v>
      </c>
      <c r="R59" s="50">
        <v>12</v>
      </c>
    </row>
    <row r="60" spans="1:18">
      <c r="A60" s="266"/>
      <c r="B60" s="49"/>
      <c r="C60" s="48"/>
      <c r="D60" s="49"/>
      <c r="E60" s="179"/>
      <c r="F60" s="49" t="s">
        <v>217</v>
      </c>
      <c r="N60" s="50" t="s">
        <v>635</v>
      </c>
      <c r="O60" s="46">
        <v>282</v>
      </c>
      <c r="Q60" s="50" t="s">
        <v>287</v>
      </c>
      <c r="R60" s="50">
        <v>31</v>
      </c>
    </row>
    <row r="61" spans="1:18">
      <c r="A61" s="266"/>
      <c r="B61" s="50" t="s">
        <v>635</v>
      </c>
      <c r="C61" s="46">
        <v>282</v>
      </c>
      <c r="D61" s="50" t="s">
        <v>206</v>
      </c>
      <c r="E61" s="59" t="s">
        <v>636</v>
      </c>
      <c r="F61" s="50" t="s">
        <v>637</v>
      </c>
      <c r="N61" s="50" t="s">
        <v>638</v>
      </c>
      <c r="O61" s="50">
        <v>830</v>
      </c>
      <c r="Q61" s="50" t="s">
        <v>639</v>
      </c>
      <c r="R61" s="50">
        <v>116</v>
      </c>
    </row>
    <row r="62" spans="1:18">
      <c r="A62" s="266"/>
      <c r="B62" s="49" t="s">
        <v>635</v>
      </c>
      <c r="C62" s="48">
        <v>282</v>
      </c>
      <c r="D62" s="49" t="s">
        <v>206</v>
      </c>
      <c r="E62" s="179" t="s">
        <v>640</v>
      </c>
      <c r="F62" s="50" t="s">
        <v>637</v>
      </c>
      <c r="N62" s="50" t="s">
        <v>641</v>
      </c>
      <c r="O62" s="50">
        <v>46</v>
      </c>
      <c r="Q62" s="50" t="s">
        <v>642</v>
      </c>
      <c r="R62" s="50">
        <v>116</v>
      </c>
    </row>
    <row r="63" spans="1:18">
      <c r="A63" s="266"/>
      <c r="B63" s="50"/>
      <c r="C63" s="46"/>
      <c r="D63" s="50"/>
      <c r="E63" s="59"/>
      <c r="F63" s="50" t="s">
        <v>637</v>
      </c>
      <c r="N63" s="50" t="s">
        <v>597</v>
      </c>
      <c r="O63" s="50">
        <v>919</v>
      </c>
    </row>
    <row r="64" spans="1:18">
      <c r="A64" s="266"/>
      <c r="B64" s="49"/>
      <c r="C64" s="48"/>
      <c r="D64" s="49"/>
      <c r="E64" s="179"/>
      <c r="F64" s="50" t="s">
        <v>637</v>
      </c>
      <c r="N64" s="50" t="s">
        <v>643</v>
      </c>
      <c r="O64" s="50">
        <v>32</v>
      </c>
    </row>
    <row r="65" spans="1:15">
      <c r="A65" s="266"/>
      <c r="B65" s="50"/>
      <c r="C65" s="50"/>
      <c r="D65" s="50"/>
      <c r="E65" s="59"/>
      <c r="F65" s="50" t="s">
        <v>637</v>
      </c>
      <c r="N65" s="50" t="s">
        <v>549</v>
      </c>
      <c r="O65" s="50">
        <v>4</v>
      </c>
    </row>
    <row r="66" spans="1:15">
      <c r="A66" s="266"/>
      <c r="B66" s="49"/>
      <c r="C66" s="48"/>
      <c r="D66" s="49"/>
      <c r="E66" s="179"/>
      <c r="F66" s="50" t="s">
        <v>223</v>
      </c>
      <c r="N66" s="50" t="s">
        <v>254</v>
      </c>
      <c r="O66" s="50">
        <v>2</v>
      </c>
    </row>
    <row r="67" spans="1:15">
      <c r="A67" s="266"/>
      <c r="B67" s="50"/>
      <c r="C67" s="46"/>
      <c r="D67" s="50"/>
      <c r="E67" s="59"/>
      <c r="F67" s="50" t="s">
        <v>223</v>
      </c>
      <c r="N67" s="50" t="s">
        <v>612</v>
      </c>
      <c r="O67" s="50">
        <v>606</v>
      </c>
    </row>
    <row r="68" spans="1:15">
      <c r="A68" s="266"/>
      <c r="B68" s="49"/>
      <c r="C68" s="48"/>
      <c r="D68" s="49"/>
      <c r="E68" s="179"/>
      <c r="F68" s="50" t="s">
        <v>223</v>
      </c>
      <c r="N68" s="50" t="s">
        <v>644</v>
      </c>
      <c r="O68" s="50">
        <v>12</v>
      </c>
    </row>
    <row r="69" spans="1:15">
      <c r="A69" s="266"/>
      <c r="B69" s="50"/>
      <c r="C69" s="46"/>
      <c r="D69" s="50"/>
      <c r="E69" s="59"/>
      <c r="F69" s="50" t="s">
        <v>223</v>
      </c>
      <c r="N69" s="50" t="s">
        <v>645</v>
      </c>
      <c r="O69" s="50">
        <v>31</v>
      </c>
    </row>
    <row r="70" spans="1:15">
      <c r="A70" s="266"/>
      <c r="B70" s="49"/>
      <c r="C70" s="48"/>
      <c r="D70" s="49"/>
      <c r="E70" s="179"/>
      <c r="F70" s="50" t="s">
        <v>223</v>
      </c>
      <c r="N70" s="50" t="s">
        <v>646</v>
      </c>
      <c r="O70" s="50">
        <v>870</v>
      </c>
    </row>
    <row r="71" spans="1:15">
      <c r="A71" s="266"/>
      <c r="B71" s="50" t="s">
        <v>638</v>
      </c>
      <c r="C71" s="50">
        <v>830</v>
      </c>
      <c r="D71" s="50" t="s">
        <v>197</v>
      </c>
      <c r="E71" s="59" t="s">
        <v>636</v>
      </c>
      <c r="F71" s="275" t="s">
        <v>501</v>
      </c>
      <c r="N71" s="50" t="s">
        <v>647</v>
      </c>
      <c r="O71" s="50">
        <v>116</v>
      </c>
    </row>
    <row r="72" spans="1:15">
      <c r="A72" s="266"/>
      <c r="B72" s="50"/>
      <c r="C72" s="50"/>
      <c r="D72" s="50" t="s">
        <v>197</v>
      </c>
      <c r="E72" s="59" t="s">
        <v>648</v>
      </c>
      <c r="F72" s="275" t="s">
        <v>501</v>
      </c>
      <c r="N72" s="287" t="s">
        <v>649</v>
      </c>
      <c r="O72" s="287">
        <v>8</v>
      </c>
    </row>
    <row r="73" spans="1:15">
      <c r="A73" s="266"/>
      <c r="B73" s="50"/>
      <c r="C73" s="50"/>
      <c r="D73" s="50"/>
      <c r="E73" s="59"/>
      <c r="F73" s="275" t="s">
        <v>501</v>
      </c>
      <c r="N73" s="287" t="s">
        <v>650</v>
      </c>
      <c r="O73" s="287">
        <v>3004</v>
      </c>
    </row>
    <row r="74" spans="1:15">
      <c r="A74" s="266"/>
      <c r="B74" s="50"/>
      <c r="C74" s="50"/>
      <c r="D74" s="50"/>
      <c r="E74" s="59"/>
      <c r="F74" s="275" t="s">
        <v>501</v>
      </c>
      <c r="N74" s="287" t="s">
        <v>651</v>
      </c>
      <c r="O74" s="287">
        <v>116</v>
      </c>
    </row>
    <row r="75" spans="1:15">
      <c r="A75" s="266"/>
      <c r="B75" s="50"/>
      <c r="C75" s="50"/>
      <c r="D75" s="50"/>
      <c r="E75" s="59"/>
      <c r="F75" s="275" t="s">
        <v>501</v>
      </c>
      <c r="N75" s="287" t="s">
        <v>652</v>
      </c>
      <c r="O75" s="287">
        <v>870</v>
      </c>
    </row>
    <row r="76" spans="1:15">
      <c r="A76" s="266"/>
      <c r="B76" s="50"/>
      <c r="C76" s="50"/>
      <c r="D76" s="50"/>
      <c r="E76" s="59"/>
      <c r="F76" s="275" t="s">
        <v>501</v>
      </c>
      <c r="N76" s="287" t="s">
        <v>653</v>
      </c>
      <c r="O76" s="287">
        <v>10</v>
      </c>
    </row>
    <row r="77" spans="1:15">
      <c r="A77" s="266"/>
      <c r="B77" s="50" t="s">
        <v>654</v>
      </c>
      <c r="C77" s="50">
        <v>847</v>
      </c>
      <c r="D77" s="50" t="s">
        <v>523</v>
      </c>
      <c r="E77" s="59" t="s">
        <v>655</v>
      </c>
      <c r="F77" s="275" t="s">
        <v>359</v>
      </c>
      <c r="N77" s="285" t="s">
        <v>238</v>
      </c>
      <c r="O77" s="285">
        <v>8</v>
      </c>
    </row>
    <row r="78" spans="1:15">
      <c r="A78" s="266"/>
      <c r="B78" s="50" t="s">
        <v>425</v>
      </c>
      <c r="C78" s="50">
        <v>919</v>
      </c>
      <c r="D78" s="50" t="s">
        <v>523</v>
      </c>
      <c r="E78" s="59" t="s">
        <v>656</v>
      </c>
      <c r="F78" s="275" t="s">
        <v>359</v>
      </c>
    </row>
    <row r="79" spans="1:15">
      <c r="A79" s="266"/>
      <c r="B79" s="50" t="s">
        <v>632</v>
      </c>
      <c r="C79" s="50">
        <v>46</v>
      </c>
      <c r="D79" s="50" t="s">
        <v>353</v>
      </c>
      <c r="E79" s="59" t="s">
        <v>657</v>
      </c>
      <c r="F79" s="275" t="s">
        <v>359</v>
      </c>
    </row>
    <row r="80" spans="1:15">
      <c r="A80" s="266"/>
      <c r="B80" s="50" t="s">
        <v>641</v>
      </c>
      <c r="C80" s="50">
        <v>46</v>
      </c>
      <c r="D80" s="50" t="s">
        <v>658</v>
      </c>
      <c r="E80" s="59" t="s">
        <v>636</v>
      </c>
      <c r="F80" s="275" t="s">
        <v>359</v>
      </c>
    </row>
    <row r="81" spans="1:6">
      <c r="A81" s="266"/>
      <c r="B81" s="50" t="s">
        <v>597</v>
      </c>
      <c r="C81" s="50">
        <v>919</v>
      </c>
      <c r="D81" s="50" t="s">
        <v>523</v>
      </c>
      <c r="E81" s="59" t="s">
        <v>636</v>
      </c>
      <c r="F81" s="275" t="s">
        <v>359</v>
      </c>
    </row>
    <row r="82" spans="1:6">
      <c r="A82" s="266"/>
      <c r="B82" s="50"/>
      <c r="C82" s="50"/>
      <c r="D82" s="50"/>
      <c r="E82" s="59"/>
      <c r="F82" s="275" t="s">
        <v>359</v>
      </c>
    </row>
    <row r="83" spans="1:6">
      <c r="A83" s="266"/>
      <c r="B83" s="50"/>
      <c r="C83" s="50"/>
      <c r="D83" s="50"/>
      <c r="E83" s="59"/>
      <c r="F83" s="275" t="s">
        <v>359</v>
      </c>
    </row>
    <row r="84" spans="1:6">
      <c r="A84" s="266"/>
      <c r="B84" s="50" t="s">
        <v>634</v>
      </c>
      <c r="C84" s="50">
        <v>15</v>
      </c>
      <c r="D84" s="50" t="s">
        <v>197</v>
      </c>
      <c r="E84" s="59" t="s">
        <v>659</v>
      </c>
      <c r="F84" s="50" t="s">
        <v>202</v>
      </c>
    </row>
    <row r="85" spans="1:6">
      <c r="A85" s="266"/>
      <c r="B85" s="50" t="s">
        <v>643</v>
      </c>
      <c r="C85" s="50">
        <v>32</v>
      </c>
      <c r="D85" s="50" t="s">
        <v>353</v>
      </c>
      <c r="E85" s="59" t="s">
        <v>636</v>
      </c>
      <c r="F85" s="50" t="s">
        <v>202</v>
      </c>
    </row>
    <row r="86" spans="1:6">
      <c r="A86" s="266"/>
      <c r="B86" s="50" t="s">
        <v>549</v>
      </c>
      <c r="C86" s="50">
        <v>4</v>
      </c>
      <c r="D86" s="50" t="s">
        <v>244</v>
      </c>
      <c r="E86" s="59" t="s">
        <v>636</v>
      </c>
      <c r="F86" s="50" t="s">
        <v>202</v>
      </c>
    </row>
    <row r="87" spans="1:6">
      <c r="A87" s="266"/>
      <c r="B87" s="50" t="s">
        <v>254</v>
      </c>
      <c r="C87" s="50">
        <v>2</v>
      </c>
      <c r="D87" s="50" t="s">
        <v>197</v>
      </c>
      <c r="E87" s="59" t="s">
        <v>636</v>
      </c>
      <c r="F87" s="50" t="s">
        <v>202</v>
      </c>
    </row>
    <row r="88" spans="1:6">
      <c r="A88" s="266"/>
      <c r="B88" s="50" t="s">
        <v>612</v>
      </c>
      <c r="C88" s="50">
        <v>606</v>
      </c>
      <c r="D88" s="50" t="s">
        <v>523</v>
      </c>
      <c r="E88" s="59" t="s">
        <v>636</v>
      </c>
      <c r="F88" s="50" t="s">
        <v>202</v>
      </c>
    </row>
    <row r="89" spans="1:6">
      <c r="A89" s="266"/>
      <c r="B89" s="50" t="s">
        <v>64</v>
      </c>
      <c r="C89" s="50">
        <v>12</v>
      </c>
      <c r="D89" s="50" t="s">
        <v>523</v>
      </c>
      <c r="E89" s="59" t="s">
        <v>660</v>
      </c>
      <c r="F89" s="50" t="s">
        <v>617</v>
      </c>
    </row>
    <row r="90" spans="1:6">
      <c r="A90" s="266"/>
      <c r="B90" s="50" t="s">
        <v>287</v>
      </c>
      <c r="C90" s="50">
        <v>31</v>
      </c>
      <c r="D90" s="50" t="s">
        <v>197</v>
      </c>
      <c r="E90" s="59" t="s">
        <v>661</v>
      </c>
      <c r="F90" s="50" t="s">
        <v>617</v>
      </c>
    </row>
    <row r="91" spans="1:6">
      <c r="A91" s="266"/>
      <c r="B91" s="50" t="s">
        <v>639</v>
      </c>
      <c r="C91" s="50">
        <v>116</v>
      </c>
      <c r="D91" s="50" t="s">
        <v>410</v>
      </c>
      <c r="E91" s="59" t="s">
        <v>662</v>
      </c>
      <c r="F91" s="50" t="s">
        <v>617</v>
      </c>
    </row>
    <row r="92" spans="1:6">
      <c r="A92" s="266"/>
      <c r="B92" s="50" t="s">
        <v>642</v>
      </c>
      <c r="C92" s="50">
        <v>116</v>
      </c>
      <c r="D92" s="50" t="s">
        <v>244</v>
      </c>
      <c r="E92" s="59" t="s">
        <v>662</v>
      </c>
      <c r="F92" s="50" t="s">
        <v>617</v>
      </c>
    </row>
    <row r="93" spans="1:6">
      <c r="A93" s="266"/>
      <c r="B93" s="50" t="s">
        <v>644</v>
      </c>
      <c r="C93" s="50">
        <v>12</v>
      </c>
      <c r="D93" s="50" t="s">
        <v>244</v>
      </c>
      <c r="E93" s="59" t="s">
        <v>636</v>
      </c>
      <c r="F93" s="50" t="s">
        <v>617</v>
      </c>
    </row>
    <row r="94" spans="1:6">
      <c r="A94" s="266"/>
      <c r="B94" s="50" t="s">
        <v>645</v>
      </c>
      <c r="C94" s="50">
        <v>31</v>
      </c>
      <c r="D94" s="50" t="s">
        <v>244</v>
      </c>
      <c r="E94" s="59" t="s">
        <v>636</v>
      </c>
      <c r="F94" s="50" t="s">
        <v>617</v>
      </c>
    </row>
    <row r="95" spans="1:6">
      <c r="A95" s="266"/>
      <c r="B95" s="50" t="s">
        <v>646</v>
      </c>
      <c r="C95" s="50">
        <v>870</v>
      </c>
      <c r="D95" s="50" t="s">
        <v>244</v>
      </c>
      <c r="E95" s="59" t="s">
        <v>636</v>
      </c>
      <c r="F95" s="50" t="s">
        <v>617</v>
      </c>
    </row>
    <row r="96" spans="1:6">
      <c r="A96" s="266"/>
      <c r="B96" s="50" t="s">
        <v>647</v>
      </c>
      <c r="C96" s="50">
        <v>116</v>
      </c>
      <c r="D96" s="50" t="s">
        <v>244</v>
      </c>
      <c r="E96" s="59" t="s">
        <v>636</v>
      </c>
      <c r="F96" s="50" t="s">
        <v>617</v>
      </c>
    </row>
    <row r="97" spans="1:6">
      <c r="A97" s="284"/>
      <c r="B97" s="285" t="s">
        <v>649</v>
      </c>
      <c r="C97" s="285">
        <v>8</v>
      </c>
      <c r="D97" s="285" t="s">
        <v>244</v>
      </c>
      <c r="E97" s="286" t="s">
        <v>636</v>
      </c>
      <c r="F97" s="50" t="s">
        <v>617</v>
      </c>
    </row>
    <row r="98" spans="1:6">
      <c r="A98" s="284"/>
      <c r="B98" s="285" t="s">
        <v>650</v>
      </c>
      <c r="C98" s="285">
        <v>3004</v>
      </c>
      <c r="D98" s="285" t="s">
        <v>215</v>
      </c>
      <c r="E98" s="286" t="s">
        <v>636</v>
      </c>
      <c r="F98" s="50" t="s">
        <v>617</v>
      </c>
    </row>
    <row r="99" spans="1:6">
      <c r="A99" s="284"/>
      <c r="B99" s="285" t="s">
        <v>651</v>
      </c>
      <c r="C99" s="285">
        <v>116</v>
      </c>
      <c r="D99" s="285" t="s">
        <v>244</v>
      </c>
      <c r="E99" s="286" t="s">
        <v>636</v>
      </c>
      <c r="F99" s="50" t="s">
        <v>617</v>
      </c>
    </row>
    <row r="100" spans="1:6">
      <c r="A100" s="284"/>
      <c r="B100" s="285" t="s">
        <v>652</v>
      </c>
      <c r="C100" s="285">
        <v>870</v>
      </c>
      <c r="D100" s="285" t="s">
        <v>244</v>
      </c>
      <c r="E100" s="286" t="s">
        <v>636</v>
      </c>
      <c r="F100" s="50" t="s">
        <v>617</v>
      </c>
    </row>
    <row r="101" spans="1:6">
      <c r="A101" s="284"/>
      <c r="B101" s="285" t="s">
        <v>653</v>
      </c>
      <c r="C101" s="285">
        <v>10</v>
      </c>
      <c r="D101" s="285" t="s">
        <v>215</v>
      </c>
      <c r="E101" s="286" t="s">
        <v>636</v>
      </c>
      <c r="F101" s="50" t="s">
        <v>617</v>
      </c>
    </row>
    <row r="102" spans="1:6">
      <c r="A102" s="284"/>
      <c r="B102" s="285" t="s">
        <v>238</v>
      </c>
      <c r="C102" s="285">
        <v>8</v>
      </c>
      <c r="D102" s="285" t="s">
        <v>197</v>
      </c>
      <c r="E102" s="286" t="s">
        <v>636</v>
      </c>
      <c r="F102" s="50" t="s">
        <v>617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70C4-CE91-4B82-B897-8F1D889A9009}">
  <dimension ref="A1:R107"/>
  <sheetViews>
    <sheetView topLeftCell="A14" workbookViewId="0">
      <selection activeCell="H26" sqref="H26:L26"/>
    </sheetView>
  </sheetViews>
  <sheetFormatPr defaultRowHeight="15"/>
  <cols>
    <col min="1" max="1" width="4.42578125" bestFit="1" customWidth="1"/>
    <col min="2" max="2" width="47.42578125" bestFit="1" customWidth="1"/>
    <col min="4" max="4" width="12.5703125" customWidth="1"/>
    <col min="5" max="5" width="30.5703125" customWidth="1"/>
    <col min="6" max="6" width="19.42578125" customWidth="1"/>
    <col min="8" max="8" width="28.140625" bestFit="1" customWidth="1"/>
    <col min="9" max="9" width="25.7109375" customWidth="1"/>
    <col min="10" max="10" width="4.42578125" customWidth="1"/>
    <col min="11" max="12" width="25.7109375" customWidth="1"/>
    <col min="13" max="13" width="3.140625" customWidth="1"/>
    <col min="14" max="15" width="20.7109375" customWidth="1"/>
    <col min="16" max="16" width="3.5703125" customWidth="1"/>
    <col min="17" max="18" width="20.7109375" customWidth="1"/>
  </cols>
  <sheetData>
    <row r="1" spans="1:12" ht="26.25" customHeight="1">
      <c r="A1" s="43" t="s">
        <v>42</v>
      </c>
      <c r="B1" s="51" t="s">
        <v>43</v>
      </c>
      <c r="C1" s="51" t="s">
        <v>191</v>
      </c>
      <c r="D1" s="51" t="s">
        <v>192</v>
      </c>
      <c r="E1" s="51" t="s">
        <v>193</v>
      </c>
      <c r="F1" s="52" t="s">
        <v>194</v>
      </c>
      <c r="H1" s="501" t="s">
        <v>626</v>
      </c>
      <c r="I1" s="501"/>
      <c r="K1" s="502" t="s">
        <v>663</v>
      </c>
      <c r="L1" s="502"/>
    </row>
    <row r="2" spans="1:12" ht="30.75">
      <c r="A2" s="266"/>
      <c r="B2" s="266" t="s">
        <v>490</v>
      </c>
      <c r="C2" s="269">
        <v>22</v>
      </c>
      <c r="D2" s="269"/>
      <c r="E2" s="58" t="s">
        <v>664</v>
      </c>
      <c r="F2" s="277" t="s">
        <v>209</v>
      </c>
      <c r="H2" s="288" t="s">
        <v>630</v>
      </c>
      <c r="I2" s="289" t="s">
        <v>48</v>
      </c>
      <c r="K2" s="290" t="s">
        <v>630</v>
      </c>
      <c r="L2" s="290" t="s">
        <v>48</v>
      </c>
    </row>
    <row r="3" spans="1:12">
      <c r="A3" s="266"/>
      <c r="B3" s="50" t="s">
        <v>665</v>
      </c>
      <c r="C3" s="50">
        <v>641</v>
      </c>
      <c r="D3" s="50"/>
      <c r="E3" s="179" t="s">
        <v>666</v>
      </c>
      <c r="F3" s="277" t="s">
        <v>217</v>
      </c>
      <c r="H3" s="44"/>
      <c r="I3" s="44"/>
      <c r="K3" s="266"/>
      <c r="L3" s="266"/>
    </row>
    <row r="4" spans="1:12" ht="30.75">
      <c r="A4" s="266"/>
      <c r="B4" s="49" t="s">
        <v>490</v>
      </c>
      <c r="C4" s="48">
        <v>22</v>
      </c>
      <c r="D4" s="49"/>
      <c r="E4" s="179" t="s">
        <v>667</v>
      </c>
      <c r="F4" s="277" t="s">
        <v>217</v>
      </c>
      <c r="H4" s="266" t="s">
        <v>566</v>
      </c>
      <c r="I4" s="266">
        <v>19</v>
      </c>
      <c r="K4" s="266" t="s">
        <v>668</v>
      </c>
      <c r="L4" s="266">
        <v>6</v>
      </c>
    </row>
    <row r="5" spans="1:12" ht="30.75">
      <c r="A5" s="266"/>
      <c r="B5" s="266" t="s">
        <v>325</v>
      </c>
      <c r="C5" s="269">
        <v>881</v>
      </c>
      <c r="D5" s="269" t="s">
        <v>197</v>
      </c>
      <c r="E5" s="59" t="s">
        <v>669</v>
      </c>
      <c r="F5" s="277" t="s">
        <v>209</v>
      </c>
      <c r="H5" s="266" t="s">
        <v>670</v>
      </c>
      <c r="I5" s="266">
        <v>606</v>
      </c>
      <c r="K5" s="266" t="s">
        <v>671</v>
      </c>
      <c r="L5" s="266">
        <v>32</v>
      </c>
    </row>
    <row r="6" spans="1:12">
      <c r="A6" s="266"/>
      <c r="B6" s="266" t="s">
        <v>318</v>
      </c>
      <c r="C6" s="269">
        <v>717</v>
      </c>
      <c r="D6" s="269" t="s">
        <v>197</v>
      </c>
      <c r="E6" s="58" t="s">
        <v>672</v>
      </c>
      <c r="F6" s="277" t="s">
        <v>217</v>
      </c>
      <c r="H6" s="266" t="s">
        <v>673</v>
      </c>
      <c r="I6" s="266">
        <v>1</v>
      </c>
      <c r="K6" s="266" t="s">
        <v>674</v>
      </c>
      <c r="L6" s="266">
        <v>32</v>
      </c>
    </row>
    <row r="7" spans="1:12" ht="30.75">
      <c r="A7" s="266"/>
      <c r="B7" s="49" t="s">
        <v>675</v>
      </c>
      <c r="C7" s="48">
        <v>717</v>
      </c>
      <c r="D7" s="49" t="s">
        <v>197</v>
      </c>
      <c r="E7" s="179" t="s">
        <v>676</v>
      </c>
      <c r="F7" s="277" t="s">
        <v>209</v>
      </c>
      <c r="H7" s="266" t="s">
        <v>677</v>
      </c>
      <c r="I7" s="266">
        <v>2</v>
      </c>
      <c r="K7" s="266" t="s">
        <v>678</v>
      </c>
      <c r="L7" s="266">
        <v>2</v>
      </c>
    </row>
    <row r="8" spans="1:12" ht="30.75">
      <c r="A8" s="266"/>
      <c r="B8" s="50" t="s">
        <v>325</v>
      </c>
      <c r="C8" s="46">
        <v>881</v>
      </c>
      <c r="D8" s="50" t="s">
        <v>197</v>
      </c>
      <c r="E8" s="179" t="s">
        <v>679</v>
      </c>
      <c r="F8" s="277" t="s">
        <v>209</v>
      </c>
      <c r="H8" s="266" t="s">
        <v>680</v>
      </c>
      <c r="I8" s="266">
        <v>1</v>
      </c>
      <c r="K8" s="266" t="s">
        <v>681</v>
      </c>
      <c r="L8" s="266">
        <v>1</v>
      </c>
    </row>
    <row r="9" spans="1:12" ht="30.75" customHeight="1">
      <c r="A9" s="266"/>
      <c r="B9" s="266" t="s">
        <v>566</v>
      </c>
      <c r="C9" s="269">
        <v>19</v>
      </c>
      <c r="D9" s="269" t="s">
        <v>197</v>
      </c>
      <c r="E9" s="58" t="s">
        <v>682</v>
      </c>
      <c r="F9" s="278" t="s">
        <v>507</v>
      </c>
      <c r="H9" s="266" t="s">
        <v>683</v>
      </c>
      <c r="I9" s="266">
        <v>606</v>
      </c>
      <c r="K9" s="266" t="s">
        <v>684</v>
      </c>
      <c r="L9" s="266">
        <v>29</v>
      </c>
    </row>
    <row r="10" spans="1:12" ht="30.75" customHeight="1">
      <c r="A10" s="266"/>
      <c r="B10" s="266" t="s">
        <v>566</v>
      </c>
      <c r="C10" s="270">
        <v>19</v>
      </c>
      <c r="D10" s="269" t="s">
        <v>197</v>
      </c>
      <c r="E10" s="58" t="s">
        <v>685</v>
      </c>
      <c r="F10" s="278" t="s">
        <v>507</v>
      </c>
      <c r="H10" s="266" t="s">
        <v>202</v>
      </c>
      <c r="I10" s="266" t="s">
        <v>686</v>
      </c>
      <c r="K10" s="266" t="s">
        <v>687</v>
      </c>
      <c r="L10" s="266">
        <v>92</v>
      </c>
    </row>
    <row r="11" spans="1:12">
      <c r="A11" s="266"/>
      <c r="B11" s="266" t="s">
        <v>508</v>
      </c>
      <c r="C11" s="270">
        <v>832</v>
      </c>
      <c r="D11" s="269" t="s">
        <v>197</v>
      </c>
      <c r="E11" s="58" t="s">
        <v>688</v>
      </c>
      <c r="F11" s="278" t="s">
        <v>507</v>
      </c>
      <c r="H11" s="266" t="s">
        <v>689</v>
      </c>
      <c r="I11" s="266">
        <v>283</v>
      </c>
      <c r="K11" s="266" t="s">
        <v>690</v>
      </c>
      <c r="L11" s="266">
        <v>13</v>
      </c>
    </row>
    <row r="12" spans="1:12" ht="30.75">
      <c r="A12" s="266"/>
      <c r="B12" s="266" t="s">
        <v>525</v>
      </c>
      <c r="C12" s="269">
        <v>832</v>
      </c>
      <c r="D12" s="269" t="s">
        <v>215</v>
      </c>
      <c r="E12" s="58" t="s">
        <v>691</v>
      </c>
      <c r="F12" s="278" t="s">
        <v>507</v>
      </c>
      <c r="H12" s="266" t="s">
        <v>692</v>
      </c>
      <c r="I12" s="266">
        <v>3017</v>
      </c>
      <c r="K12" s="266" t="s">
        <v>693</v>
      </c>
      <c r="L12" s="266">
        <v>10</v>
      </c>
    </row>
    <row r="13" spans="1:12" ht="30.75">
      <c r="A13" s="266"/>
      <c r="B13" s="266" t="s">
        <v>571</v>
      </c>
      <c r="C13" s="269">
        <v>19</v>
      </c>
      <c r="D13" s="269" t="s">
        <v>215</v>
      </c>
      <c r="E13" s="58" t="s">
        <v>694</v>
      </c>
      <c r="F13" s="278" t="s">
        <v>507</v>
      </c>
      <c r="H13" s="266" t="s">
        <v>695</v>
      </c>
      <c r="I13" s="266">
        <v>3004</v>
      </c>
      <c r="K13" s="266" t="s">
        <v>696</v>
      </c>
      <c r="L13" s="266">
        <v>8</v>
      </c>
    </row>
    <row r="14" spans="1:12" ht="30.75">
      <c r="A14" s="266"/>
      <c r="B14" s="266" t="s">
        <v>104</v>
      </c>
      <c r="C14" s="269">
        <v>448</v>
      </c>
      <c r="D14" s="269" t="s">
        <v>197</v>
      </c>
      <c r="E14" s="58" t="s">
        <v>697</v>
      </c>
      <c r="F14" s="278" t="s">
        <v>507</v>
      </c>
      <c r="H14" s="266" t="s">
        <v>445</v>
      </c>
      <c r="I14" s="266">
        <v>870</v>
      </c>
      <c r="K14" s="266" t="s">
        <v>698</v>
      </c>
      <c r="L14" s="266">
        <v>116</v>
      </c>
    </row>
    <row r="15" spans="1:12">
      <c r="A15" s="266"/>
      <c r="B15" s="266" t="s">
        <v>635</v>
      </c>
      <c r="C15" s="269">
        <v>282</v>
      </c>
      <c r="D15" s="269" t="s">
        <v>197</v>
      </c>
      <c r="E15" s="271" t="s">
        <v>699</v>
      </c>
      <c r="F15" s="278" t="s">
        <v>507</v>
      </c>
      <c r="H15" s="266" t="s">
        <v>233</v>
      </c>
      <c r="I15" s="266">
        <v>116</v>
      </c>
      <c r="K15" s="266" t="s">
        <v>700</v>
      </c>
      <c r="L15" s="266">
        <v>870</v>
      </c>
    </row>
    <row r="16" spans="1:12">
      <c r="A16" s="266"/>
      <c r="B16" s="266" t="s">
        <v>224</v>
      </c>
      <c r="C16" s="266">
        <v>11</v>
      </c>
      <c r="D16" s="266" t="s">
        <v>197</v>
      </c>
      <c r="E16" s="266" t="s">
        <v>701</v>
      </c>
      <c r="F16" s="279" t="s">
        <v>223</v>
      </c>
      <c r="H16" s="266" t="s">
        <v>702</v>
      </c>
      <c r="I16" s="266">
        <v>13</v>
      </c>
      <c r="K16" s="266" t="s">
        <v>703</v>
      </c>
      <c r="L16" s="266">
        <v>21</v>
      </c>
    </row>
    <row r="17" spans="1:12">
      <c r="A17" s="266"/>
      <c r="B17" s="266" t="s">
        <v>224</v>
      </c>
      <c r="C17" s="266">
        <v>11</v>
      </c>
      <c r="D17" s="266" t="s">
        <v>197</v>
      </c>
      <c r="E17" s="58" t="s">
        <v>704</v>
      </c>
      <c r="F17" s="279" t="s">
        <v>223</v>
      </c>
      <c r="H17" s="266" t="s">
        <v>705</v>
      </c>
      <c r="I17" s="266">
        <v>92</v>
      </c>
      <c r="K17" s="266" t="s">
        <v>706</v>
      </c>
      <c r="L17" s="266">
        <v>24</v>
      </c>
    </row>
    <row r="18" spans="1:12">
      <c r="A18" s="266"/>
      <c r="B18" s="266" t="s">
        <v>707</v>
      </c>
      <c r="C18" s="266">
        <v>3</v>
      </c>
      <c r="D18" s="266" t="s">
        <v>197</v>
      </c>
      <c r="E18" s="58" t="s">
        <v>708</v>
      </c>
      <c r="F18" s="279" t="s">
        <v>223</v>
      </c>
      <c r="H18" s="266" t="s">
        <v>67</v>
      </c>
      <c r="I18" s="266">
        <v>21</v>
      </c>
      <c r="K18" s="266" t="s">
        <v>709</v>
      </c>
      <c r="L18" s="266">
        <v>5</v>
      </c>
    </row>
    <row r="19" spans="1:12">
      <c r="A19" s="266"/>
      <c r="B19" s="266" t="s">
        <v>420</v>
      </c>
      <c r="C19" s="266">
        <v>21</v>
      </c>
      <c r="D19" s="266" t="s">
        <v>197</v>
      </c>
      <c r="E19" s="58" t="s">
        <v>710</v>
      </c>
      <c r="F19" s="279" t="s">
        <v>223</v>
      </c>
      <c r="H19" s="266" t="s">
        <v>711</v>
      </c>
      <c r="I19" s="266">
        <v>14</v>
      </c>
      <c r="K19" s="266" t="s">
        <v>712</v>
      </c>
      <c r="L19" s="266">
        <v>22</v>
      </c>
    </row>
    <row r="20" spans="1:12">
      <c r="A20" s="266"/>
      <c r="B20" s="266" t="s">
        <v>577</v>
      </c>
      <c r="C20" s="266">
        <v>24</v>
      </c>
      <c r="D20" s="266" t="s">
        <v>197</v>
      </c>
      <c r="E20" s="58" t="s">
        <v>713</v>
      </c>
      <c r="F20" s="279" t="s">
        <v>223</v>
      </c>
      <c r="H20" s="266" t="s">
        <v>714</v>
      </c>
      <c r="I20" s="266">
        <v>11</v>
      </c>
      <c r="K20" s="266"/>
      <c r="L20" s="266"/>
    </row>
    <row r="21" spans="1:12">
      <c r="A21" s="266"/>
      <c r="B21" s="266" t="s">
        <v>715</v>
      </c>
      <c r="C21" s="266" t="s">
        <v>716</v>
      </c>
      <c r="D21" s="266" t="s">
        <v>197</v>
      </c>
      <c r="E21" s="58" t="s">
        <v>717</v>
      </c>
      <c r="F21" s="279" t="s">
        <v>223</v>
      </c>
      <c r="H21" s="266" t="s">
        <v>718</v>
      </c>
      <c r="I21" s="266">
        <v>24</v>
      </c>
      <c r="K21" s="266"/>
      <c r="L21" s="266"/>
    </row>
    <row r="22" spans="1:12">
      <c r="A22" s="266"/>
      <c r="B22" s="266" t="s">
        <v>224</v>
      </c>
      <c r="C22" s="266">
        <v>11</v>
      </c>
      <c r="D22" s="266" t="s">
        <v>197</v>
      </c>
      <c r="E22" s="58" t="s">
        <v>719</v>
      </c>
      <c r="F22" s="279" t="s">
        <v>223</v>
      </c>
      <c r="H22" s="266" t="s">
        <v>209</v>
      </c>
      <c r="I22" s="266" t="s">
        <v>686</v>
      </c>
      <c r="K22" s="266"/>
      <c r="L22" s="266"/>
    </row>
    <row r="23" spans="1:12">
      <c r="A23" s="272"/>
      <c r="B23" s="273" t="s">
        <v>583</v>
      </c>
      <c r="C23" s="273"/>
      <c r="D23" s="273"/>
      <c r="E23" s="274"/>
      <c r="F23" s="273"/>
      <c r="H23" s="266"/>
      <c r="I23" s="266"/>
      <c r="K23" s="266"/>
      <c r="L23" s="266"/>
    </row>
    <row r="24" spans="1:12" ht="30.75">
      <c r="A24" s="266"/>
      <c r="B24" s="266" t="s">
        <v>587</v>
      </c>
      <c r="C24" s="266">
        <v>728</v>
      </c>
      <c r="D24" s="266" t="s">
        <v>197</v>
      </c>
      <c r="E24" s="58" t="s">
        <v>720</v>
      </c>
      <c r="F24" s="280" t="s">
        <v>501</v>
      </c>
      <c r="H24" s="64"/>
      <c r="I24" s="64"/>
    </row>
    <row r="25" spans="1:12">
      <c r="A25" s="266"/>
      <c r="B25" s="50" t="s">
        <v>721</v>
      </c>
      <c r="C25" s="50">
        <v>728</v>
      </c>
      <c r="D25" s="50" t="s">
        <v>197</v>
      </c>
      <c r="E25" s="59" t="s">
        <v>722</v>
      </c>
      <c r="F25" s="280" t="s">
        <v>501</v>
      </c>
    </row>
    <row r="26" spans="1:12" ht="31.5">
      <c r="A26" s="266"/>
      <c r="B26" s="50" t="s">
        <v>247</v>
      </c>
      <c r="C26" s="50">
        <v>975</v>
      </c>
      <c r="D26" s="50" t="s">
        <v>197</v>
      </c>
      <c r="E26" s="59" t="s">
        <v>723</v>
      </c>
      <c r="F26" s="280" t="s">
        <v>501</v>
      </c>
      <c r="H26" s="503" t="s">
        <v>724</v>
      </c>
      <c r="I26" s="503"/>
      <c r="J26" s="503"/>
      <c r="K26" s="503"/>
      <c r="L26" s="503"/>
    </row>
    <row r="27" spans="1:12">
      <c r="A27" s="266"/>
      <c r="B27" s="50" t="s">
        <v>725</v>
      </c>
      <c r="C27" s="50">
        <v>280</v>
      </c>
      <c r="D27" s="50" t="s">
        <v>197</v>
      </c>
      <c r="E27" s="59" t="s">
        <v>726</v>
      </c>
      <c r="F27" s="280" t="s">
        <v>501</v>
      </c>
    </row>
    <row r="28" spans="1:12">
      <c r="A28" s="266"/>
      <c r="B28" s="50" t="s">
        <v>727</v>
      </c>
      <c r="C28" s="50">
        <v>280</v>
      </c>
      <c r="D28" s="50" t="s">
        <v>215</v>
      </c>
      <c r="E28" s="59" t="s">
        <v>708</v>
      </c>
      <c r="F28" s="280" t="s">
        <v>501</v>
      </c>
    </row>
    <row r="29" spans="1:12">
      <c r="A29" s="266"/>
      <c r="B29" s="266"/>
      <c r="C29" s="266"/>
      <c r="D29" s="266"/>
      <c r="E29" s="58"/>
      <c r="F29" s="280" t="s">
        <v>501</v>
      </c>
    </row>
    <row r="30" spans="1:12" ht="23.25">
      <c r="A30" s="266"/>
      <c r="B30" s="266"/>
      <c r="C30" s="266"/>
      <c r="D30" s="266"/>
      <c r="E30" s="58"/>
      <c r="F30" s="280" t="s">
        <v>501</v>
      </c>
      <c r="H30" s="501" t="s">
        <v>728</v>
      </c>
      <c r="I30" s="501"/>
      <c r="K30" s="501" t="s">
        <v>729</v>
      </c>
      <c r="L30" s="501"/>
    </row>
    <row r="31" spans="1:12" ht="30.75">
      <c r="A31" s="266"/>
      <c r="B31" s="50" t="s">
        <v>730</v>
      </c>
      <c r="C31" s="50">
        <v>919</v>
      </c>
      <c r="D31" s="50" t="s">
        <v>215</v>
      </c>
      <c r="E31" s="59" t="s">
        <v>731</v>
      </c>
      <c r="F31" s="281" t="s">
        <v>359</v>
      </c>
      <c r="H31" s="288" t="s">
        <v>630</v>
      </c>
      <c r="I31" s="289" t="s">
        <v>732</v>
      </c>
      <c r="K31" s="288" t="s">
        <v>630</v>
      </c>
      <c r="L31" s="289" t="s">
        <v>48</v>
      </c>
    </row>
    <row r="32" spans="1:12" ht="30.75">
      <c r="A32" s="266"/>
      <c r="B32" s="266" t="s">
        <v>161</v>
      </c>
      <c r="C32" s="50">
        <v>865</v>
      </c>
      <c r="D32" s="50" t="s">
        <v>197</v>
      </c>
      <c r="E32" s="59" t="s">
        <v>733</v>
      </c>
      <c r="F32" s="281" t="s">
        <v>359</v>
      </c>
      <c r="H32" s="294" t="s">
        <v>734</v>
      </c>
      <c r="I32" s="295">
        <v>3173</v>
      </c>
      <c r="K32" s="266" t="s">
        <v>214</v>
      </c>
      <c r="L32" s="291">
        <v>641</v>
      </c>
    </row>
    <row r="33" spans="1:18" ht="30.75">
      <c r="A33" s="266"/>
      <c r="B33" s="266" t="s">
        <v>161</v>
      </c>
      <c r="C33" s="266">
        <v>865</v>
      </c>
      <c r="D33" s="266" t="s">
        <v>197</v>
      </c>
      <c r="E33" s="58" t="s">
        <v>735</v>
      </c>
      <c r="F33" s="281" t="s">
        <v>359</v>
      </c>
      <c r="H33" s="294" t="s">
        <v>736</v>
      </c>
      <c r="I33" s="295">
        <v>2676</v>
      </c>
      <c r="K33" s="266" t="s">
        <v>318</v>
      </c>
      <c r="L33" s="291">
        <v>717</v>
      </c>
    </row>
    <row r="34" spans="1:18" ht="30.75">
      <c r="A34" s="266"/>
      <c r="B34" s="266" t="s">
        <v>161</v>
      </c>
      <c r="C34" s="266">
        <v>865</v>
      </c>
      <c r="D34" s="266" t="s">
        <v>197</v>
      </c>
      <c r="E34" s="58" t="s">
        <v>737</v>
      </c>
      <c r="F34" s="281" t="s">
        <v>359</v>
      </c>
      <c r="H34" s="294" t="s">
        <v>738</v>
      </c>
      <c r="I34" s="295">
        <v>2115</v>
      </c>
      <c r="K34" s="266" t="s">
        <v>325</v>
      </c>
      <c r="L34" s="291">
        <v>881</v>
      </c>
    </row>
    <row r="35" spans="1:18" ht="21">
      <c r="A35" s="266"/>
      <c r="B35" s="266" t="s">
        <v>161</v>
      </c>
      <c r="C35" s="266">
        <v>865</v>
      </c>
      <c r="D35" s="266" t="s">
        <v>197</v>
      </c>
      <c r="E35" s="58" t="s">
        <v>739</v>
      </c>
      <c r="F35" s="281" t="s">
        <v>359</v>
      </c>
      <c r="H35" s="294" t="s">
        <v>740</v>
      </c>
      <c r="I35" s="295">
        <v>2085</v>
      </c>
      <c r="K35" s="266" t="s">
        <v>196</v>
      </c>
      <c r="L35" s="291">
        <v>447</v>
      </c>
    </row>
    <row r="36" spans="1:18" ht="21">
      <c r="A36" s="266"/>
      <c r="B36" s="266" t="s">
        <v>557</v>
      </c>
      <c r="C36" s="266">
        <v>847</v>
      </c>
      <c r="D36" s="266" t="s">
        <v>197</v>
      </c>
      <c r="E36" s="58" t="s">
        <v>741</v>
      </c>
      <c r="F36" s="281" t="s">
        <v>359</v>
      </c>
      <c r="H36" s="294"/>
      <c r="I36" s="295"/>
      <c r="K36" s="266" t="s">
        <v>557</v>
      </c>
      <c r="L36" s="291">
        <v>847</v>
      </c>
    </row>
    <row r="37" spans="1:18" ht="30.75">
      <c r="A37" s="266"/>
      <c r="B37" s="50" t="s">
        <v>313</v>
      </c>
      <c r="C37" s="50">
        <v>919</v>
      </c>
      <c r="D37" s="50" t="s">
        <v>197</v>
      </c>
      <c r="E37" s="59" t="s">
        <v>742</v>
      </c>
      <c r="F37" s="281" t="s">
        <v>359</v>
      </c>
      <c r="H37" s="294"/>
      <c r="I37" s="295"/>
      <c r="K37" s="284" t="s">
        <v>62</v>
      </c>
      <c r="L37" s="292">
        <v>12</v>
      </c>
    </row>
    <row r="38" spans="1:18" ht="23.25">
      <c r="A38" s="266"/>
      <c r="B38" s="266"/>
      <c r="C38" s="46"/>
      <c r="D38" s="50"/>
      <c r="E38" s="59"/>
      <c r="F38" s="282" t="s">
        <v>359</v>
      </c>
      <c r="H38" s="501" t="s">
        <v>743</v>
      </c>
      <c r="I38" s="501"/>
      <c r="K38" s="266"/>
      <c r="L38" s="291"/>
    </row>
    <row r="39" spans="1:18" ht="23.25">
      <c r="A39" s="272"/>
      <c r="B39" s="273" t="s">
        <v>583</v>
      </c>
      <c r="C39" s="273"/>
      <c r="D39" s="273"/>
      <c r="E39" s="274"/>
      <c r="F39" s="273"/>
      <c r="H39" s="288" t="s">
        <v>630</v>
      </c>
      <c r="I39" s="289" t="s">
        <v>732</v>
      </c>
      <c r="K39" s="266"/>
      <c r="L39" s="291"/>
    </row>
    <row r="40" spans="1:18" ht="30.75">
      <c r="A40" s="266"/>
      <c r="B40" s="50" t="s">
        <v>319</v>
      </c>
      <c r="C40" s="50">
        <v>32</v>
      </c>
      <c r="D40" s="50" t="s">
        <v>215</v>
      </c>
      <c r="E40" s="59" t="s">
        <v>744</v>
      </c>
      <c r="F40" s="265" t="s">
        <v>202</v>
      </c>
      <c r="H40" s="44"/>
      <c r="I40" s="293"/>
      <c r="K40" s="266"/>
      <c r="L40" s="291"/>
    </row>
    <row r="41" spans="1:18" ht="30.75">
      <c r="A41" s="266"/>
      <c r="B41" s="266" t="s">
        <v>607</v>
      </c>
      <c r="C41" s="269">
        <v>4</v>
      </c>
      <c r="D41" s="266" t="s">
        <v>197</v>
      </c>
      <c r="E41" s="58" t="s">
        <v>745</v>
      </c>
      <c r="F41" s="265" t="s">
        <v>202</v>
      </c>
      <c r="H41" s="44"/>
      <c r="I41" s="293"/>
      <c r="K41" s="266"/>
      <c r="L41" s="291"/>
    </row>
    <row r="42" spans="1:18" ht="21">
      <c r="A42" s="266"/>
      <c r="B42" s="266" t="s">
        <v>545</v>
      </c>
      <c r="C42" s="269">
        <v>606</v>
      </c>
      <c r="D42" s="266" t="s">
        <v>197</v>
      </c>
      <c r="E42" s="58" t="s">
        <v>746</v>
      </c>
      <c r="F42" s="265" t="s">
        <v>202</v>
      </c>
      <c r="H42" s="44"/>
      <c r="I42" s="293"/>
      <c r="K42" s="266"/>
      <c r="L42" s="291"/>
    </row>
    <row r="43" spans="1:18" ht="30.75">
      <c r="A43" s="266"/>
      <c r="B43" s="266" t="s">
        <v>200</v>
      </c>
      <c r="C43" s="269">
        <v>1</v>
      </c>
      <c r="D43" s="266" t="s">
        <v>197</v>
      </c>
      <c r="E43" s="58" t="s">
        <v>747</v>
      </c>
      <c r="F43" s="265" t="s">
        <v>202</v>
      </c>
      <c r="H43" s="44"/>
      <c r="I43" s="293"/>
      <c r="K43" s="266"/>
      <c r="L43" s="291"/>
    </row>
    <row r="44" spans="1:18" ht="21">
      <c r="A44" s="266"/>
      <c r="B44" s="266" t="s">
        <v>254</v>
      </c>
      <c r="C44" s="266">
        <v>2</v>
      </c>
      <c r="D44" s="266" t="s">
        <v>197</v>
      </c>
      <c r="E44" s="58" t="s">
        <v>748</v>
      </c>
      <c r="F44" s="265" t="s">
        <v>202</v>
      </c>
      <c r="H44" s="44"/>
      <c r="I44" s="293"/>
      <c r="K44" s="266"/>
      <c r="L44" s="291"/>
    </row>
    <row r="45" spans="1:18" ht="21">
      <c r="A45" s="266"/>
      <c r="B45" s="266" t="s">
        <v>749</v>
      </c>
      <c r="C45" s="269">
        <v>606</v>
      </c>
      <c r="D45" s="266" t="s">
        <v>215</v>
      </c>
      <c r="E45" s="58" t="s">
        <v>750</v>
      </c>
      <c r="F45" s="265" t="s">
        <v>202</v>
      </c>
      <c r="H45" s="44"/>
      <c r="I45" s="293"/>
      <c r="K45" s="266"/>
      <c r="L45" s="291"/>
    </row>
    <row r="46" spans="1:18">
      <c r="A46" s="266"/>
      <c r="B46" s="266" t="s">
        <v>751</v>
      </c>
      <c r="C46" s="269">
        <v>15</v>
      </c>
      <c r="D46" s="266" t="s">
        <v>244</v>
      </c>
      <c r="E46" s="58" t="s">
        <v>752</v>
      </c>
      <c r="F46" s="265" t="s">
        <v>202</v>
      </c>
    </row>
    <row r="47" spans="1:18" ht="31.5" customHeight="1">
      <c r="A47" s="266"/>
      <c r="B47" s="50" t="s">
        <v>62</v>
      </c>
      <c r="C47" s="50">
        <v>12</v>
      </c>
      <c r="D47" s="50" t="s">
        <v>197</v>
      </c>
      <c r="E47" s="59" t="s">
        <v>753</v>
      </c>
      <c r="F47" s="283" t="s">
        <v>617</v>
      </c>
      <c r="H47" s="501" t="s">
        <v>754</v>
      </c>
      <c r="I47" s="501"/>
      <c r="K47" s="501" t="s">
        <v>755</v>
      </c>
      <c r="L47" s="501"/>
      <c r="N47" s="501" t="s">
        <v>756</v>
      </c>
      <c r="O47" s="501"/>
      <c r="Q47" s="501" t="s">
        <v>757</v>
      </c>
      <c r="R47" s="501"/>
    </row>
    <row r="48" spans="1:18" ht="30.75">
      <c r="A48" s="266"/>
      <c r="B48" s="50" t="s">
        <v>758</v>
      </c>
      <c r="C48" s="50">
        <v>20</v>
      </c>
      <c r="D48" s="50" t="s">
        <v>197</v>
      </c>
      <c r="E48" s="59" t="s">
        <v>759</v>
      </c>
      <c r="F48" s="283" t="s">
        <v>617</v>
      </c>
      <c r="H48" s="288" t="s">
        <v>630</v>
      </c>
      <c r="I48" s="289" t="s">
        <v>732</v>
      </c>
      <c r="K48" s="288" t="s">
        <v>630</v>
      </c>
      <c r="L48" s="289" t="s">
        <v>732</v>
      </c>
      <c r="N48" s="288" t="s">
        <v>630</v>
      </c>
      <c r="O48" s="289" t="s">
        <v>732</v>
      </c>
      <c r="Q48" s="288" t="s">
        <v>630</v>
      </c>
      <c r="R48" s="289" t="s">
        <v>732</v>
      </c>
    </row>
    <row r="49" spans="1:18" ht="30.75">
      <c r="A49" s="266"/>
      <c r="B49" s="266" t="s">
        <v>62</v>
      </c>
      <c r="C49" s="266">
        <v>12</v>
      </c>
      <c r="D49" s="266" t="s">
        <v>197</v>
      </c>
      <c r="E49" s="58" t="s">
        <v>760</v>
      </c>
      <c r="F49" s="283" t="s">
        <v>617</v>
      </c>
      <c r="H49" s="297"/>
      <c r="I49" s="298"/>
      <c r="K49" s="44" t="s">
        <v>761</v>
      </c>
      <c r="L49" s="293">
        <v>575</v>
      </c>
      <c r="N49" s="44" t="s">
        <v>395</v>
      </c>
      <c r="O49" s="293">
        <v>888.5</v>
      </c>
      <c r="Q49" s="44"/>
      <c r="R49" s="293"/>
    </row>
    <row r="50" spans="1:18">
      <c r="A50" s="266"/>
      <c r="B50" s="49" t="s">
        <v>762</v>
      </c>
      <c r="C50" s="48">
        <v>13</v>
      </c>
      <c r="D50" s="49" t="s">
        <v>215</v>
      </c>
      <c r="E50" s="179" t="s">
        <v>763</v>
      </c>
      <c r="F50" s="283" t="s">
        <v>617</v>
      </c>
      <c r="K50" s="44"/>
      <c r="L50" s="293"/>
      <c r="N50" s="44"/>
      <c r="O50" s="293"/>
      <c r="Q50" s="44"/>
      <c r="R50" s="293"/>
    </row>
    <row r="51" spans="1:18" ht="30.75">
      <c r="A51" s="266"/>
      <c r="B51" s="50" t="s">
        <v>62</v>
      </c>
      <c r="C51" s="46">
        <v>12</v>
      </c>
      <c r="D51" s="50" t="s">
        <v>197</v>
      </c>
      <c r="E51" s="58" t="s">
        <v>764</v>
      </c>
      <c r="F51" s="283" t="s">
        <v>617</v>
      </c>
      <c r="K51" s="44" t="s">
        <v>765</v>
      </c>
      <c r="L51" s="293">
        <v>500.5</v>
      </c>
      <c r="N51" s="44"/>
      <c r="O51" s="293"/>
      <c r="Q51" s="44"/>
      <c r="R51" s="293"/>
    </row>
    <row r="52" spans="1:18" ht="30.75">
      <c r="A52" s="266"/>
      <c r="B52" s="49" t="s">
        <v>766</v>
      </c>
      <c r="C52" s="48">
        <v>13</v>
      </c>
      <c r="D52" s="49" t="s">
        <v>197</v>
      </c>
      <c r="E52" s="179" t="s">
        <v>767</v>
      </c>
      <c r="F52" s="283" t="s">
        <v>617</v>
      </c>
      <c r="H52" s="297" t="s">
        <v>768</v>
      </c>
      <c r="I52" s="298">
        <v>486.5</v>
      </c>
      <c r="K52" s="44"/>
      <c r="L52" s="293"/>
      <c r="N52" s="44"/>
      <c r="O52" s="293"/>
      <c r="Q52" s="44"/>
      <c r="R52" s="293"/>
    </row>
    <row r="53" spans="1:18">
      <c r="A53" s="266"/>
      <c r="B53" s="50" t="s">
        <v>133</v>
      </c>
      <c r="C53" s="46">
        <v>92</v>
      </c>
      <c r="D53" s="50" t="s">
        <v>197</v>
      </c>
      <c r="E53" s="59" t="s">
        <v>769</v>
      </c>
      <c r="F53" s="283" t="s">
        <v>617</v>
      </c>
      <c r="H53" s="44" t="s">
        <v>282</v>
      </c>
      <c r="I53" s="299">
        <v>443</v>
      </c>
      <c r="K53" s="44"/>
      <c r="L53" s="293"/>
      <c r="N53" s="44"/>
      <c r="O53" s="293"/>
      <c r="Q53" s="44"/>
      <c r="R53" s="293"/>
    </row>
    <row r="54" spans="1:18">
      <c r="A54" s="276"/>
      <c r="B54" s="296" t="s">
        <v>770</v>
      </c>
      <c r="C54" s="254"/>
      <c r="D54" s="265"/>
      <c r="E54" s="265"/>
      <c r="F54" s="265"/>
      <c r="H54" s="44" t="s">
        <v>771</v>
      </c>
      <c r="I54" s="299">
        <v>429.5</v>
      </c>
      <c r="K54" s="44"/>
      <c r="L54" s="293"/>
      <c r="N54" s="44"/>
      <c r="O54" s="293"/>
      <c r="Q54" s="44"/>
      <c r="R54" s="293"/>
    </row>
    <row r="55" spans="1:18">
      <c r="A55" s="266"/>
      <c r="B55" s="49"/>
      <c r="C55" s="48"/>
      <c r="D55" s="49"/>
      <c r="E55" s="179"/>
      <c r="F55" s="49" t="s">
        <v>217</v>
      </c>
      <c r="H55" s="297" t="s">
        <v>305</v>
      </c>
      <c r="I55" s="298">
        <v>409.5</v>
      </c>
      <c r="K55" s="44"/>
      <c r="L55" s="44"/>
      <c r="N55" s="44"/>
      <c r="O55" s="44"/>
      <c r="Q55" s="44"/>
      <c r="R55" s="44"/>
    </row>
    <row r="56" spans="1:18">
      <c r="A56" s="266"/>
      <c r="B56" s="50"/>
      <c r="C56" s="46"/>
      <c r="D56" s="50"/>
      <c r="E56" s="179"/>
      <c r="F56" s="49" t="s">
        <v>217</v>
      </c>
      <c r="H56" s="297" t="s">
        <v>772</v>
      </c>
      <c r="I56" s="298">
        <v>397</v>
      </c>
      <c r="K56" s="44"/>
      <c r="L56" s="44"/>
      <c r="N56" s="44"/>
      <c r="O56" s="44"/>
      <c r="Q56" s="44"/>
      <c r="R56" s="44"/>
    </row>
    <row r="57" spans="1:18">
      <c r="A57" s="266"/>
      <c r="B57" s="49"/>
      <c r="C57" s="48"/>
      <c r="D57" s="49"/>
      <c r="E57" s="179"/>
      <c r="F57" s="49" t="s">
        <v>217</v>
      </c>
      <c r="H57" s="297" t="s">
        <v>773</v>
      </c>
      <c r="I57" s="298">
        <v>396.5</v>
      </c>
      <c r="K57" s="44"/>
      <c r="L57" s="44"/>
      <c r="N57" s="44"/>
      <c r="O57" s="44"/>
      <c r="Q57" s="44"/>
      <c r="R57" s="44"/>
    </row>
    <row r="58" spans="1:18">
      <c r="A58" s="266"/>
      <c r="B58" s="50"/>
      <c r="C58" s="50"/>
      <c r="D58" s="50"/>
      <c r="E58" s="179"/>
      <c r="F58" s="49" t="s">
        <v>217</v>
      </c>
      <c r="H58" s="44" t="s">
        <v>774</v>
      </c>
      <c r="I58" s="299">
        <v>390.5</v>
      </c>
      <c r="K58" s="44"/>
      <c r="L58" s="44"/>
      <c r="N58" s="44"/>
      <c r="O58" s="44"/>
      <c r="Q58" s="44"/>
      <c r="R58" s="44"/>
    </row>
    <row r="59" spans="1:18">
      <c r="A59" s="266"/>
      <c r="B59" s="49"/>
      <c r="C59" s="48"/>
      <c r="D59" s="49"/>
      <c r="E59" s="179"/>
      <c r="F59" s="49" t="s">
        <v>217</v>
      </c>
      <c r="H59" s="44" t="s">
        <v>775</v>
      </c>
      <c r="I59" s="299">
        <v>384.5</v>
      </c>
      <c r="K59" s="44"/>
      <c r="L59" s="44"/>
      <c r="N59" s="44"/>
      <c r="O59" s="44"/>
      <c r="Q59" s="44"/>
      <c r="R59" s="44"/>
    </row>
    <row r="60" spans="1:18">
      <c r="A60" s="266"/>
      <c r="B60" s="50"/>
      <c r="C60" s="46"/>
      <c r="D60" s="50"/>
      <c r="E60" s="59"/>
      <c r="F60" s="50" t="s">
        <v>637</v>
      </c>
      <c r="H60" s="297" t="s">
        <v>310</v>
      </c>
      <c r="I60" s="298">
        <v>383</v>
      </c>
      <c r="K60" s="44"/>
      <c r="L60" s="44"/>
      <c r="N60" s="44"/>
      <c r="O60" s="44"/>
      <c r="Q60" s="44"/>
      <c r="R60" s="44"/>
    </row>
    <row r="61" spans="1:18">
      <c r="A61" s="266"/>
      <c r="B61" s="49"/>
      <c r="C61" s="48"/>
      <c r="D61" s="49"/>
      <c r="E61" s="179"/>
      <c r="F61" s="50" t="s">
        <v>637</v>
      </c>
      <c r="H61" s="297" t="s">
        <v>319</v>
      </c>
      <c r="I61" s="298">
        <v>381.5</v>
      </c>
      <c r="K61" s="44"/>
      <c r="L61" s="44"/>
      <c r="N61" s="44"/>
      <c r="O61" s="44"/>
      <c r="Q61" s="44"/>
      <c r="R61" s="44"/>
    </row>
    <row r="62" spans="1:18">
      <c r="A62" s="266"/>
      <c r="B62" s="50"/>
      <c r="C62" s="46"/>
      <c r="D62" s="50"/>
      <c r="E62" s="59"/>
      <c r="F62" s="50" t="s">
        <v>637</v>
      </c>
      <c r="H62" s="44" t="s">
        <v>425</v>
      </c>
      <c r="I62" s="299">
        <v>367.5</v>
      </c>
      <c r="K62" s="44"/>
      <c r="L62" s="44"/>
      <c r="N62" s="44"/>
      <c r="O62" s="44"/>
      <c r="Q62" s="44"/>
      <c r="R62" s="44"/>
    </row>
    <row r="63" spans="1:18">
      <c r="A63" s="266"/>
      <c r="B63" s="49"/>
      <c r="C63" s="48"/>
      <c r="D63" s="49"/>
      <c r="E63" s="179"/>
      <c r="F63" s="50" t="s">
        <v>637</v>
      </c>
      <c r="H63" s="44" t="s">
        <v>776</v>
      </c>
      <c r="I63" s="299">
        <v>355.5</v>
      </c>
      <c r="K63" s="44"/>
      <c r="L63" s="44"/>
      <c r="N63" s="44"/>
      <c r="O63" s="44"/>
      <c r="Q63" s="44"/>
      <c r="R63" s="44"/>
    </row>
    <row r="64" spans="1:18">
      <c r="A64" s="266"/>
      <c r="B64" s="50"/>
      <c r="C64" s="50"/>
      <c r="D64" s="50"/>
      <c r="E64" s="59"/>
      <c r="F64" s="50" t="s">
        <v>637</v>
      </c>
      <c r="H64" s="44" t="s">
        <v>777</v>
      </c>
      <c r="I64" s="299">
        <v>355</v>
      </c>
      <c r="K64" s="44"/>
      <c r="L64" s="44"/>
      <c r="N64" s="44"/>
      <c r="O64" s="44"/>
      <c r="Q64" s="44"/>
      <c r="R64" s="44"/>
    </row>
    <row r="65" spans="1:18">
      <c r="A65" s="266"/>
      <c r="B65" s="49"/>
      <c r="C65" s="48"/>
      <c r="D65" s="49"/>
      <c r="E65" s="179"/>
      <c r="F65" s="50" t="s">
        <v>223</v>
      </c>
      <c r="H65" s="297" t="s">
        <v>438</v>
      </c>
      <c r="I65" s="298">
        <v>353.5</v>
      </c>
      <c r="K65" s="44"/>
      <c r="L65" s="44"/>
      <c r="N65" s="44"/>
      <c r="O65" s="44"/>
      <c r="Q65" s="44"/>
      <c r="R65" s="44"/>
    </row>
    <row r="66" spans="1:18">
      <c r="A66" s="266"/>
      <c r="B66" s="50"/>
      <c r="C66" s="46"/>
      <c r="D66" s="50"/>
      <c r="E66" s="59"/>
      <c r="F66" s="50" t="s">
        <v>223</v>
      </c>
      <c r="H66" s="44" t="s">
        <v>778</v>
      </c>
      <c r="I66" s="299">
        <v>342</v>
      </c>
      <c r="K66" s="44"/>
      <c r="L66" s="44"/>
      <c r="N66" s="44"/>
      <c r="O66" s="44"/>
      <c r="Q66" s="44"/>
      <c r="R66" s="44"/>
    </row>
    <row r="67" spans="1:18">
      <c r="A67" s="266"/>
      <c r="B67" s="49"/>
      <c r="C67" s="48"/>
      <c r="D67" s="49"/>
      <c r="E67" s="179"/>
      <c r="F67" s="50" t="s">
        <v>223</v>
      </c>
      <c r="H67" s="297" t="s">
        <v>612</v>
      </c>
      <c r="I67" s="298">
        <v>330</v>
      </c>
      <c r="K67" s="44"/>
      <c r="L67" s="44"/>
      <c r="N67" s="44"/>
      <c r="O67" s="44"/>
      <c r="Q67" s="44"/>
      <c r="R67" s="44"/>
    </row>
    <row r="68" spans="1:18">
      <c r="A68" s="266"/>
      <c r="B68" s="50"/>
      <c r="C68" s="46"/>
      <c r="D68" s="50"/>
      <c r="E68" s="59"/>
      <c r="F68" s="50" t="s">
        <v>223</v>
      </c>
      <c r="H68" s="300" t="s">
        <v>779</v>
      </c>
      <c r="I68" s="301">
        <v>325.5</v>
      </c>
      <c r="K68" s="44"/>
      <c r="L68" s="44"/>
      <c r="N68" s="44"/>
      <c r="O68" s="44"/>
      <c r="Q68" s="44"/>
      <c r="R68" s="44"/>
    </row>
    <row r="69" spans="1:18">
      <c r="A69" s="266"/>
      <c r="B69" s="49"/>
      <c r="C69" s="48"/>
      <c r="D69" s="49"/>
      <c r="E69" s="179"/>
      <c r="F69" s="50" t="s">
        <v>223</v>
      </c>
      <c r="H69" s="44" t="s">
        <v>780</v>
      </c>
      <c r="I69" s="299">
        <v>323.5</v>
      </c>
      <c r="K69" s="44"/>
      <c r="L69" s="44"/>
      <c r="N69" s="44"/>
      <c r="O69" s="44"/>
      <c r="Q69" s="44"/>
      <c r="R69" s="44"/>
    </row>
    <row r="70" spans="1:18">
      <c r="A70" s="266"/>
      <c r="B70" s="50"/>
      <c r="C70" s="50"/>
      <c r="D70" s="50"/>
      <c r="E70" s="59"/>
      <c r="F70" s="275" t="s">
        <v>501</v>
      </c>
      <c r="H70" s="44" t="s">
        <v>781</v>
      </c>
      <c r="I70" s="299">
        <v>299</v>
      </c>
      <c r="K70" s="44"/>
      <c r="L70" s="44"/>
      <c r="N70" s="44"/>
      <c r="O70" s="44"/>
      <c r="Q70" s="44"/>
      <c r="R70" s="44"/>
    </row>
    <row r="71" spans="1:18">
      <c r="A71" s="266"/>
      <c r="B71" s="50"/>
      <c r="C71" s="50"/>
      <c r="D71" s="50"/>
      <c r="E71" s="59"/>
      <c r="F71" s="275" t="s">
        <v>501</v>
      </c>
      <c r="H71" s="44" t="s">
        <v>782</v>
      </c>
      <c r="I71" s="299">
        <v>298.5</v>
      </c>
      <c r="K71" s="44"/>
      <c r="L71" s="44"/>
      <c r="N71" s="44"/>
      <c r="O71" s="44"/>
      <c r="Q71" s="44"/>
      <c r="R71" s="44"/>
    </row>
    <row r="72" spans="1:18">
      <c r="A72" s="266"/>
      <c r="B72" s="50"/>
      <c r="C72" s="50"/>
      <c r="D72" s="50"/>
      <c r="E72" s="59"/>
      <c r="F72" s="275" t="s">
        <v>501</v>
      </c>
      <c r="H72" s="44" t="s">
        <v>783</v>
      </c>
      <c r="I72" s="299">
        <v>298</v>
      </c>
      <c r="K72" s="44"/>
      <c r="L72" s="44"/>
      <c r="N72" s="44"/>
      <c r="O72" s="44"/>
      <c r="Q72" s="44"/>
      <c r="R72" s="44"/>
    </row>
    <row r="73" spans="1:18">
      <c r="A73" s="266"/>
      <c r="B73" s="50"/>
      <c r="C73" s="50"/>
      <c r="D73" s="50"/>
      <c r="E73" s="59"/>
      <c r="F73" s="275" t="s">
        <v>501</v>
      </c>
      <c r="H73" s="297" t="s">
        <v>749</v>
      </c>
      <c r="I73" s="298">
        <v>296</v>
      </c>
      <c r="K73" s="44"/>
      <c r="L73" s="44"/>
      <c r="N73" s="44"/>
      <c r="O73" s="44"/>
      <c r="Q73" s="44"/>
      <c r="R73" s="44"/>
    </row>
    <row r="74" spans="1:18">
      <c r="A74" s="266"/>
      <c r="B74" s="50"/>
      <c r="C74" s="50"/>
      <c r="D74" s="50"/>
      <c r="E74" s="59"/>
      <c r="F74" s="275" t="s">
        <v>501</v>
      </c>
      <c r="H74" s="44" t="s">
        <v>784</v>
      </c>
      <c r="I74" s="299">
        <v>292</v>
      </c>
      <c r="K74" s="44"/>
      <c r="L74" s="44"/>
      <c r="N74" s="44"/>
      <c r="O74" s="44"/>
      <c r="Q74" s="44"/>
      <c r="R74" s="44"/>
    </row>
    <row r="75" spans="1:18">
      <c r="A75" s="266"/>
      <c r="B75" s="50"/>
      <c r="C75" s="50"/>
      <c r="D75" s="50"/>
      <c r="E75" s="59"/>
      <c r="F75" s="275" t="s">
        <v>501</v>
      </c>
      <c r="H75" s="44" t="s">
        <v>785</v>
      </c>
      <c r="I75" s="299">
        <v>292</v>
      </c>
      <c r="K75" s="44"/>
      <c r="L75" s="44"/>
      <c r="N75" s="44"/>
      <c r="O75" s="44"/>
      <c r="Q75" s="44"/>
      <c r="R75" s="44"/>
    </row>
    <row r="76" spans="1:18">
      <c r="A76" s="266"/>
      <c r="B76" s="50"/>
      <c r="C76" s="50"/>
      <c r="D76" s="50"/>
      <c r="E76" s="59"/>
      <c r="F76" s="275" t="s">
        <v>359</v>
      </c>
      <c r="H76" s="297" t="s">
        <v>786</v>
      </c>
      <c r="I76" s="298">
        <v>291</v>
      </c>
      <c r="K76" s="44"/>
      <c r="L76" s="44"/>
      <c r="N76" s="44"/>
      <c r="O76" s="44"/>
      <c r="Q76" s="44"/>
      <c r="R76" s="44"/>
    </row>
    <row r="77" spans="1:18">
      <c r="A77" s="266"/>
      <c r="B77" s="50"/>
      <c r="C77" s="50"/>
      <c r="D77" s="50"/>
      <c r="E77" s="59"/>
      <c r="F77" s="275" t="s">
        <v>359</v>
      </c>
      <c r="H77" s="44" t="s">
        <v>787</v>
      </c>
      <c r="I77" s="299">
        <v>291</v>
      </c>
      <c r="K77" s="44"/>
      <c r="L77" s="44"/>
      <c r="N77" s="44"/>
      <c r="O77" s="44"/>
      <c r="Q77" s="44"/>
      <c r="R77" s="44"/>
    </row>
    <row r="78" spans="1:18">
      <c r="A78" s="266"/>
      <c r="B78" s="50"/>
      <c r="C78" s="50"/>
      <c r="D78" s="50"/>
      <c r="E78" s="59"/>
      <c r="F78" s="275" t="s">
        <v>359</v>
      </c>
      <c r="H78" s="297" t="s">
        <v>258</v>
      </c>
      <c r="I78" s="298">
        <v>282</v>
      </c>
      <c r="K78" s="44"/>
      <c r="L78" s="44"/>
      <c r="N78" s="44"/>
      <c r="O78" s="44"/>
      <c r="Q78" s="44"/>
      <c r="R78" s="44"/>
    </row>
    <row r="79" spans="1:18">
      <c r="A79" s="266"/>
      <c r="B79" s="50"/>
      <c r="C79" s="50"/>
      <c r="D79" s="50"/>
      <c r="E79" s="59"/>
      <c r="F79" s="275" t="s">
        <v>359</v>
      </c>
      <c r="H79" s="44" t="s">
        <v>788</v>
      </c>
      <c r="I79" s="299">
        <v>281.5</v>
      </c>
      <c r="K79" s="44"/>
      <c r="L79" s="44"/>
      <c r="N79" s="44"/>
      <c r="O79" s="44"/>
      <c r="Q79" s="44"/>
      <c r="R79" s="44"/>
    </row>
    <row r="80" spans="1:18">
      <c r="A80" s="266"/>
      <c r="B80" s="50"/>
      <c r="C80" s="50"/>
      <c r="D80" s="50"/>
      <c r="E80" s="59"/>
      <c r="F80" s="275" t="s">
        <v>359</v>
      </c>
      <c r="H80" s="297" t="s">
        <v>789</v>
      </c>
      <c r="I80" s="298">
        <v>275.5</v>
      </c>
      <c r="K80" s="44"/>
      <c r="L80" s="44"/>
      <c r="N80" s="44"/>
      <c r="O80" s="44"/>
      <c r="Q80" s="44"/>
      <c r="R80" s="44"/>
    </row>
    <row r="81" spans="1:18">
      <c r="A81" s="266"/>
      <c r="B81" s="50"/>
      <c r="C81" s="50"/>
      <c r="D81" s="50"/>
      <c r="E81" s="59"/>
      <c r="F81" s="275" t="s">
        <v>359</v>
      </c>
      <c r="H81" s="297" t="s">
        <v>790</v>
      </c>
      <c r="I81" s="298">
        <v>274</v>
      </c>
      <c r="K81" s="44"/>
      <c r="L81" s="44"/>
      <c r="N81" s="44"/>
      <c r="O81" s="44"/>
      <c r="Q81" s="44"/>
      <c r="R81" s="44"/>
    </row>
    <row r="82" spans="1:18">
      <c r="A82" s="266"/>
      <c r="B82" s="50"/>
      <c r="C82" s="50"/>
      <c r="D82" s="50"/>
      <c r="E82" s="59"/>
      <c r="F82" s="275" t="s">
        <v>359</v>
      </c>
      <c r="H82" s="44" t="s">
        <v>791</v>
      </c>
      <c r="I82" s="299">
        <v>274</v>
      </c>
      <c r="K82" s="44"/>
      <c r="L82" s="44"/>
      <c r="N82" s="44"/>
      <c r="O82" s="44"/>
      <c r="Q82" s="44"/>
      <c r="R82" s="44"/>
    </row>
    <row r="83" spans="1:18">
      <c r="A83" s="266"/>
      <c r="B83" s="50"/>
      <c r="C83" s="50"/>
      <c r="D83" s="50"/>
      <c r="E83" s="59"/>
      <c r="F83" s="50" t="s">
        <v>202</v>
      </c>
      <c r="H83" s="297" t="s">
        <v>792</v>
      </c>
      <c r="I83" s="298">
        <v>269.5</v>
      </c>
      <c r="K83" s="44"/>
      <c r="L83" s="44"/>
      <c r="N83" s="44"/>
      <c r="O83" s="44"/>
      <c r="Q83" s="44"/>
      <c r="R83" s="44"/>
    </row>
    <row r="84" spans="1:18">
      <c r="A84" s="266"/>
      <c r="B84" s="50"/>
      <c r="C84" s="50"/>
      <c r="D84" s="50"/>
      <c r="E84" s="59"/>
      <c r="F84" s="50" t="s">
        <v>202</v>
      </c>
      <c r="H84" s="44" t="s">
        <v>793</v>
      </c>
      <c r="I84" s="299">
        <v>264</v>
      </c>
    </row>
    <row r="85" spans="1:18">
      <c r="A85" s="266"/>
      <c r="B85" s="50"/>
      <c r="C85" s="50"/>
      <c r="D85" s="50"/>
      <c r="E85" s="59"/>
      <c r="F85" s="50" t="s">
        <v>202</v>
      </c>
      <c r="H85" s="44" t="s">
        <v>794</v>
      </c>
      <c r="I85" s="299">
        <v>261</v>
      </c>
    </row>
    <row r="86" spans="1:18">
      <c r="A86" s="266"/>
      <c r="B86" s="50"/>
      <c r="C86" s="50"/>
      <c r="D86" s="50"/>
      <c r="E86" s="59"/>
      <c r="F86" s="50" t="s">
        <v>202</v>
      </c>
      <c r="H86" s="44" t="s">
        <v>795</v>
      </c>
      <c r="I86" s="299">
        <v>261</v>
      </c>
    </row>
    <row r="87" spans="1:18">
      <c r="A87" s="266"/>
      <c r="B87" s="50"/>
      <c r="C87" s="50"/>
      <c r="D87" s="50"/>
      <c r="E87" s="59"/>
      <c r="F87" s="50" t="s">
        <v>202</v>
      </c>
      <c r="H87" s="44" t="s">
        <v>796</v>
      </c>
      <c r="I87" s="299">
        <v>260</v>
      </c>
    </row>
    <row r="88" spans="1:18">
      <c r="A88" s="266"/>
      <c r="B88" s="50"/>
      <c r="C88" s="50"/>
      <c r="D88" s="50"/>
      <c r="E88" s="59"/>
      <c r="F88" s="50" t="s">
        <v>617</v>
      </c>
      <c r="H88" s="44" t="s">
        <v>797</v>
      </c>
      <c r="I88" s="299">
        <v>259.5</v>
      </c>
    </row>
    <row r="89" spans="1:18">
      <c r="A89" s="266"/>
      <c r="B89" s="50"/>
      <c r="C89" s="50"/>
      <c r="D89" s="50"/>
      <c r="E89" s="59"/>
      <c r="F89" s="50" t="s">
        <v>617</v>
      </c>
      <c r="H89" s="297" t="s">
        <v>798</v>
      </c>
      <c r="I89" s="298">
        <v>258</v>
      </c>
    </row>
    <row r="90" spans="1:18">
      <c r="A90" s="266"/>
      <c r="B90" s="50"/>
      <c r="C90" s="50"/>
      <c r="D90" s="50"/>
      <c r="E90" s="59"/>
      <c r="F90" s="50" t="s">
        <v>617</v>
      </c>
      <c r="H90" s="44" t="s">
        <v>298</v>
      </c>
      <c r="I90" s="299">
        <v>256</v>
      </c>
    </row>
    <row r="91" spans="1:18">
      <c r="A91" s="266"/>
      <c r="B91" s="50"/>
      <c r="C91" s="50"/>
      <c r="D91" s="50"/>
      <c r="E91" s="59"/>
      <c r="F91" s="50" t="s">
        <v>617</v>
      </c>
      <c r="H91" s="44" t="s">
        <v>799</v>
      </c>
      <c r="I91" s="299">
        <v>255</v>
      </c>
    </row>
    <row r="92" spans="1:18">
      <c r="A92" s="266"/>
      <c r="B92" s="50"/>
      <c r="C92" s="50"/>
      <c r="D92" s="50"/>
      <c r="E92" s="59"/>
      <c r="F92" s="50" t="s">
        <v>617</v>
      </c>
      <c r="H92" s="297" t="s">
        <v>549</v>
      </c>
      <c r="I92" s="298">
        <v>254.5</v>
      </c>
    </row>
    <row r="93" spans="1:18">
      <c r="A93" s="266"/>
      <c r="B93" s="50"/>
      <c r="C93" s="50"/>
      <c r="D93" s="50"/>
      <c r="E93" s="59"/>
      <c r="F93" s="50" t="s">
        <v>617</v>
      </c>
      <c r="H93" s="44" t="s">
        <v>800</v>
      </c>
      <c r="I93" s="299">
        <v>251</v>
      </c>
    </row>
    <row r="94" spans="1:18">
      <c r="A94" s="266"/>
      <c r="B94" s="50"/>
      <c r="C94" s="50"/>
      <c r="D94" s="50"/>
      <c r="E94" s="59"/>
      <c r="F94" s="50" t="s">
        <v>617</v>
      </c>
      <c r="H94" s="44" t="s">
        <v>801</v>
      </c>
      <c r="I94" s="299">
        <v>250.5</v>
      </c>
    </row>
    <row r="95" spans="1:18">
      <c r="A95" s="266"/>
      <c r="B95" s="50"/>
      <c r="C95" s="50"/>
      <c r="D95" s="50"/>
      <c r="E95" s="59"/>
      <c r="F95" s="50" t="s">
        <v>617</v>
      </c>
      <c r="H95" s="44" t="s">
        <v>802</v>
      </c>
      <c r="I95" s="299">
        <v>220.5</v>
      </c>
    </row>
    <row r="96" spans="1:18">
      <c r="A96" s="284"/>
      <c r="B96" s="285"/>
      <c r="C96" s="285"/>
      <c r="D96" s="285"/>
      <c r="E96" s="286"/>
      <c r="F96" s="50" t="s">
        <v>617</v>
      </c>
    </row>
    <row r="97" spans="1:9">
      <c r="A97" s="284"/>
      <c r="B97" s="285"/>
      <c r="C97" s="285"/>
      <c r="D97" s="285"/>
      <c r="E97" s="286"/>
      <c r="F97" s="50" t="s">
        <v>617</v>
      </c>
    </row>
    <row r="98" spans="1:9">
      <c r="A98" s="284"/>
      <c r="B98" s="285"/>
      <c r="C98" s="285"/>
      <c r="D98" s="285"/>
      <c r="E98" s="286"/>
      <c r="F98" s="50" t="s">
        <v>617</v>
      </c>
      <c r="H98" s="44"/>
      <c r="I98" s="44"/>
    </row>
    <row r="99" spans="1:9">
      <c r="A99" s="284"/>
      <c r="B99" s="285"/>
      <c r="C99" s="285"/>
      <c r="D99" s="285"/>
      <c r="E99" s="286"/>
      <c r="F99" s="50" t="s">
        <v>617</v>
      </c>
      <c r="H99" s="44"/>
      <c r="I99" s="44"/>
    </row>
    <row r="100" spans="1:9">
      <c r="A100" s="284"/>
      <c r="B100" s="285"/>
      <c r="C100" s="285"/>
      <c r="D100" s="285"/>
      <c r="E100" s="286"/>
      <c r="F100" s="50" t="s">
        <v>617</v>
      </c>
      <c r="H100" s="44"/>
      <c r="I100" s="44"/>
    </row>
    <row r="101" spans="1:9">
      <c r="A101" s="284"/>
      <c r="B101" s="285"/>
      <c r="C101" s="285"/>
      <c r="D101" s="285"/>
      <c r="E101" s="286"/>
      <c r="F101" s="50" t="s">
        <v>617</v>
      </c>
      <c r="H101" s="44"/>
      <c r="I101" s="44"/>
    </row>
    <row r="102" spans="1:9">
      <c r="H102" s="44"/>
      <c r="I102" s="44"/>
    </row>
    <row r="103" spans="1:9">
      <c r="H103" s="44"/>
      <c r="I103" s="44"/>
    </row>
    <row r="104" spans="1:9">
      <c r="H104" s="44"/>
      <c r="I104" s="44"/>
    </row>
    <row r="105" spans="1:9">
      <c r="H105" s="44"/>
      <c r="I105" s="44"/>
    </row>
    <row r="106" spans="1:9">
      <c r="H106" s="44"/>
      <c r="I106" s="44"/>
    </row>
    <row r="107" spans="1:9">
      <c r="H107" s="44"/>
      <c r="I107" s="44"/>
    </row>
  </sheetData>
  <sortState xmlns:xlrd2="http://schemas.microsoft.com/office/spreadsheetml/2017/richdata2" ref="H52:I94">
    <sortCondition descending="1" ref="I52:I94"/>
  </sortState>
  <mergeCells count="10">
    <mergeCell ref="H1:I1"/>
    <mergeCell ref="K1:L1"/>
    <mergeCell ref="H30:I30"/>
    <mergeCell ref="H26:L26"/>
    <mergeCell ref="K30:L30"/>
    <mergeCell ref="H38:I38"/>
    <mergeCell ref="H47:I47"/>
    <mergeCell ref="K47:L47"/>
    <mergeCell ref="N47:O47"/>
    <mergeCell ref="Q47:R47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A982-7365-44C2-81DE-AC47A1C631D0}">
  <dimension ref="A1:R134"/>
  <sheetViews>
    <sheetView workbookViewId="0">
      <selection activeCell="O49" sqref="O49:O54"/>
    </sheetView>
  </sheetViews>
  <sheetFormatPr defaultRowHeight="15"/>
  <cols>
    <col min="1" max="1" width="4.42578125" bestFit="1" customWidth="1"/>
    <col min="2" max="2" width="47.42578125" bestFit="1" customWidth="1"/>
    <col min="4" max="4" width="12.5703125" customWidth="1"/>
    <col min="5" max="5" width="30.5703125" style="306" customWidth="1"/>
    <col min="6" max="6" width="19.42578125" customWidth="1"/>
    <col min="8" max="8" width="33" bestFit="1" customWidth="1"/>
    <col min="9" max="9" width="25.7109375" customWidth="1"/>
    <col min="10" max="10" width="4.42578125" customWidth="1"/>
    <col min="11" max="11" width="27.5703125" customWidth="1"/>
    <col min="12" max="12" width="25.7109375" customWidth="1"/>
    <col min="13" max="13" width="3.140625" customWidth="1"/>
    <col min="14" max="14" width="27" bestFit="1" customWidth="1"/>
    <col min="15" max="15" width="20.7109375" customWidth="1"/>
    <col min="16" max="16" width="3.5703125" customWidth="1"/>
    <col min="17" max="18" width="20.7109375" customWidth="1"/>
  </cols>
  <sheetData>
    <row r="1" spans="1:15" ht="26.25" customHeight="1">
      <c r="A1" s="43" t="s">
        <v>42</v>
      </c>
      <c r="B1" s="51" t="s">
        <v>43</v>
      </c>
      <c r="C1" s="51" t="s">
        <v>191</v>
      </c>
      <c r="D1" s="51" t="s">
        <v>192</v>
      </c>
      <c r="E1" s="303" t="s">
        <v>193</v>
      </c>
      <c r="F1" s="52" t="s">
        <v>194</v>
      </c>
      <c r="H1" s="505" t="s">
        <v>626</v>
      </c>
      <c r="I1" s="505"/>
      <c r="K1" s="502" t="s">
        <v>663</v>
      </c>
      <c r="L1" s="502"/>
      <c r="N1" s="502" t="s">
        <v>803</v>
      </c>
      <c r="O1" s="502"/>
    </row>
    <row r="2" spans="1:15" ht="30.75">
      <c r="A2" s="266"/>
      <c r="B2" s="266" t="s">
        <v>490</v>
      </c>
      <c r="C2" s="269">
        <v>22</v>
      </c>
      <c r="D2" s="269" t="s">
        <v>410</v>
      </c>
      <c r="E2" s="58" t="s">
        <v>804</v>
      </c>
      <c r="F2" s="277" t="s">
        <v>209</v>
      </c>
      <c r="H2" s="288" t="s">
        <v>630</v>
      </c>
      <c r="I2" s="289" t="s">
        <v>48</v>
      </c>
      <c r="K2" s="290" t="s">
        <v>630</v>
      </c>
      <c r="L2" s="290" t="s">
        <v>48</v>
      </c>
      <c r="N2" s="290" t="s">
        <v>630</v>
      </c>
      <c r="O2" s="290" t="s">
        <v>48</v>
      </c>
    </row>
    <row r="3" spans="1:15" ht="30.75">
      <c r="A3" s="266"/>
      <c r="B3" s="50" t="s">
        <v>805</v>
      </c>
      <c r="C3" s="50">
        <v>641</v>
      </c>
      <c r="D3" s="50"/>
      <c r="E3" s="59" t="s">
        <v>806</v>
      </c>
      <c r="F3" s="277" t="s">
        <v>217</v>
      </c>
      <c r="H3" s="266" t="s">
        <v>807</v>
      </c>
      <c r="I3" s="266">
        <v>447</v>
      </c>
      <c r="J3" s="64"/>
      <c r="K3" s="266" t="s">
        <v>808</v>
      </c>
      <c r="L3" s="266">
        <v>832</v>
      </c>
      <c r="M3" s="64"/>
      <c r="N3" s="309" t="s">
        <v>692</v>
      </c>
      <c r="O3" s="309">
        <v>3017</v>
      </c>
    </row>
    <row r="4" spans="1:15" ht="30.75">
      <c r="A4" s="266"/>
      <c r="B4" s="266" t="s">
        <v>496</v>
      </c>
      <c r="C4" s="269">
        <v>22</v>
      </c>
      <c r="D4" s="49" t="s">
        <v>410</v>
      </c>
      <c r="E4" s="179" t="s">
        <v>809</v>
      </c>
      <c r="F4" s="277" t="s">
        <v>217</v>
      </c>
      <c r="H4" s="266" t="s">
        <v>810</v>
      </c>
      <c r="I4" s="266">
        <v>18</v>
      </c>
      <c r="J4" s="64"/>
      <c r="K4" s="266" t="s">
        <v>811</v>
      </c>
      <c r="L4" s="266">
        <v>19</v>
      </c>
      <c r="M4" s="64"/>
      <c r="N4" s="309" t="s">
        <v>689</v>
      </c>
      <c r="O4" s="309">
        <v>283</v>
      </c>
    </row>
    <row r="5" spans="1:15" ht="30.75">
      <c r="A5" s="266"/>
      <c r="B5" s="266" t="s">
        <v>322</v>
      </c>
      <c r="C5" s="269">
        <v>641</v>
      </c>
      <c r="D5" s="269" t="s">
        <v>197</v>
      </c>
      <c r="E5" s="59" t="s">
        <v>812</v>
      </c>
      <c r="F5" s="277" t="s">
        <v>209</v>
      </c>
      <c r="H5" s="266" t="s">
        <v>813</v>
      </c>
      <c r="I5" s="266">
        <v>5</v>
      </c>
      <c r="J5" s="64"/>
      <c r="K5" s="266" t="s">
        <v>814</v>
      </c>
      <c r="L5" s="266">
        <v>975</v>
      </c>
      <c r="M5" s="64"/>
      <c r="N5" s="266" t="s">
        <v>815</v>
      </c>
      <c r="O5" s="266">
        <v>8</v>
      </c>
    </row>
    <row r="6" spans="1:15" ht="30.75">
      <c r="A6" s="266"/>
      <c r="B6" s="266" t="s">
        <v>480</v>
      </c>
      <c r="C6" s="269">
        <v>881</v>
      </c>
      <c r="D6" s="269" t="s">
        <v>197</v>
      </c>
      <c r="E6" s="58" t="s">
        <v>816</v>
      </c>
      <c r="F6" s="277" t="s">
        <v>217</v>
      </c>
      <c r="H6" s="266" t="s">
        <v>817</v>
      </c>
      <c r="I6" s="266">
        <v>5</v>
      </c>
      <c r="J6" s="64"/>
      <c r="K6" s="266" t="s">
        <v>818</v>
      </c>
      <c r="L6" s="266">
        <v>21</v>
      </c>
      <c r="M6" s="64"/>
      <c r="N6" s="266" t="s">
        <v>819</v>
      </c>
      <c r="O6" s="266">
        <v>3004</v>
      </c>
    </row>
    <row r="7" spans="1:15" ht="30.75">
      <c r="A7" s="266"/>
      <c r="B7" s="49" t="s">
        <v>480</v>
      </c>
      <c r="C7" s="48">
        <v>881</v>
      </c>
      <c r="D7" s="49" t="s">
        <v>197</v>
      </c>
      <c r="E7" s="179" t="s">
        <v>820</v>
      </c>
      <c r="F7" s="277" t="s">
        <v>209</v>
      </c>
      <c r="H7" s="266" t="s">
        <v>801</v>
      </c>
      <c r="I7" s="266">
        <v>5</v>
      </c>
      <c r="J7" s="64"/>
      <c r="K7" s="266" t="s">
        <v>821</v>
      </c>
      <c r="L7" s="266">
        <v>14</v>
      </c>
      <c r="M7" s="64"/>
      <c r="N7" s="266" t="s">
        <v>822</v>
      </c>
      <c r="O7" s="266">
        <v>12</v>
      </c>
    </row>
    <row r="8" spans="1:15" ht="24" customHeight="1">
      <c r="A8" s="266"/>
      <c r="B8" s="50"/>
      <c r="C8" s="46"/>
      <c r="D8" s="50"/>
      <c r="E8" s="179"/>
      <c r="F8" s="277" t="s">
        <v>209</v>
      </c>
      <c r="H8" s="266" t="s">
        <v>823</v>
      </c>
      <c r="I8" s="266">
        <v>5</v>
      </c>
      <c r="J8" s="64"/>
      <c r="K8" s="266" t="s">
        <v>824</v>
      </c>
      <c r="L8" s="266">
        <v>11</v>
      </c>
      <c r="M8" s="64"/>
      <c r="N8" s="266" t="s">
        <v>825</v>
      </c>
      <c r="O8" s="266">
        <v>10</v>
      </c>
    </row>
    <row r="9" spans="1:15" ht="30.75" customHeight="1">
      <c r="A9" s="266"/>
      <c r="B9" s="266" t="s">
        <v>187</v>
      </c>
      <c r="C9" s="269">
        <v>531</v>
      </c>
      <c r="D9" s="269"/>
      <c r="E9" s="58" t="s">
        <v>826</v>
      </c>
      <c r="F9" s="278" t="s">
        <v>507</v>
      </c>
      <c r="H9" s="266" t="s">
        <v>827</v>
      </c>
      <c r="I9" s="266">
        <v>20</v>
      </c>
      <c r="J9" s="64"/>
      <c r="K9" s="266" t="s">
        <v>828</v>
      </c>
      <c r="L9" s="266">
        <v>21</v>
      </c>
      <c r="M9" s="64"/>
      <c r="N9" s="266" t="s">
        <v>829</v>
      </c>
      <c r="O9" s="266">
        <v>31</v>
      </c>
    </row>
    <row r="10" spans="1:15" ht="30.75" customHeight="1">
      <c r="A10" s="266"/>
      <c r="B10" s="266" t="s">
        <v>830</v>
      </c>
      <c r="C10" s="270">
        <v>282</v>
      </c>
      <c r="D10" s="269"/>
      <c r="E10" s="58" t="s">
        <v>831</v>
      </c>
      <c r="F10" s="278" t="s">
        <v>507</v>
      </c>
      <c r="H10" s="266" t="s">
        <v>832</v>
      </c>
      <c r="I10" s="266">
        <v>21</v>
      </c>
      <c r="J10" s="64"/>
      <c r="K10" s="266" t="s">
        <v>833</v>
      </c>
      <c r="L10" s="266">
        <v>22</v>
      </c>
      <c r="M10" s="64"/>
      <c r="N10" s="266" t="s">
        <v>834</v>
      </c>
      <c r="O10" s="266">
        <v>12</v>
      </c>
    </row>
    <row r="11" spans="1:15" ht="30.75">
      <c r="A11" s="266"/>
      <c r="B11" s="266" t="s">
        <v>566</v>
      </c>
      <c r="C11" s="270">
        <v>19</v>
      </c>
      <c r="D11" s="269"/>
      <c r="E11" s="58" t="s">
        <v>835</v>
      </c>
      <c r="F11" s="278" t="s">
        <v>507</v>
      </c>
      <c r="H11" s="266" t="s">
        <v>793</v>
      </c>
      <c r="I11" s="266">
        <v>21</v>
      </c>
      <c r="J11" s="64"/>
      <c r="K11" s="266" t="s">
        <v>836</v>
      </c>
      <c r="L11" s="266">
        <v>717</v>
      </c>
      <c r="M11" s="64"/>
      <c r="N11" s="266" t="s">
        <v>837</v>
      </c>
      <c r="O11" s="266">
        <v>92</v>
      </c>
    </row>
    <row r="12" spans="1:15" ht="30.75">
      <c r="A12" s="266"/>
      <c r="B12" s="266" t="s">
        <v>104</v>
      </c>
      <c r="C12" s="269">
        <v>448</v>
      </c>
      <c r="D12" s="269"/>
      <c r="E12" s="58" t="s">
        <v>838</v>
      </c>
      <c r="F12" s="278" t="s">
        <v>507</v>
      </c>
      <c r="H12" s="266" t="s">
        <v>839</v>
      </c>
      <c r="I12" s="266">
        <v>26</v>
      </c>
      <c r="J12" s="64"/>
      <c r="K12" s="266" t="s">
        <v>840</v>
      </c>
      <c r="L12" s="266">
        <v>1</v>
      </c>
      <c r="M12" s="64"/>
      <c r="N12" s="266" t="s">
        <v>841</v>
      </c>
      <c r="O12" s="266">
        <v>92</v>
      </c>
    </row>
    <row r="13" spans="1:15" ht="30.75">
      <c r="A13" s="266"/>
      <c r="B13" s="266" t="s">
        <v>187</v>
      </c>
      <c r="C13" s="269">
        <v>531</v>
      </c>
      <c r="D13" s="269"/>
      <c r="E13" s="302" t="s">
        <v>842</v>
      </c>
      <c r="F13" s="278" t="s">
        <v>507</v>
      </c>
      <c r="H13" s="266" t="s">
        <v>843</v>
      </c>
      <c r="I13" s="266">
        <v>26</v>
      </c>
      <c r="J13" s="64"/>
      <c r="K13" s="266" t="s">
        <v>844</v>
      </c>
      <c r="L13" s="266">
        <v>28</v>
      </c>
      <c r="M13" s="64"/>
      <c r="N13" s="266"/>
      <c r="O13" s="266"/>
    </row>
    <row r="14" spans="1:15" ht="30.75">
      <c r="A14" s="266"/>
      <c r="B14" s="266" t="s">
        <v>845</v>
      </c>
      <c r="C14" s="269">
        <v>19</v>
      </c>
      <c r="D14" s="269"/>
      <c r="E14" s="58" t="s">
        <v>846</v>
      </c>
      <c r="F14" s="278" t="s">
        <v>507</v>
      </c>
      <c r="H14" s="266" t="s">
        <v>480</v>
      </c>
      <c r="I14" s="266">
        <v>717</v>
      </c>
      <c r="J14" s="64"/>
      <c r="K14" s="266" t="s">
        <v>847</v>
      </c>
      <c r="L14" s="266">
        <v>28</v>
      </c>
      <c r="M14" s="64"/>
      <c r="N14" s="266"/>
      <c r="O14" s="266"/>
    </row>
    <row r="15" spans="1:15" ht="29.25">
      <c r="A15" s="266"/>
      <c r="B15" s="266" t="s">
        <v>315</v>
      </c>
      <c r="C15" s="269">
        <v>531</v>
      </c>
      <c r="D15" s="269"/>
      <c r="E15" s="304" t="s">
        <v>848</v>
      </c>
      <c r="F15" s="278" t="s">
        <v>507</v>
      </c>
      <c r="H15" s="266" t="s">
        <v>218</v>
      </c>
      <c r="I15" s="266">
        <v>881</v>
      </c>
      <c r="J15" s="64"/>
      <c r="K15" s="266" t="s">
        <v>849</v>
      </c>
      <c r="L15" s="266">
        <v>870</v>
      </c>
      <c r="M15" s="64"/>
      <c r="N15" s="266"/>
      <c r="O15" s="266"/>
    </row>
    <row r="16" spans="1:15" ht="30.75">
      <c r="A16" s="266"/>
      <c r="B16" s="266" t="s">
        <v>224</v>
      </c>
      <c r="C16" s="266">
        <v>11</v>
      </c>
      <c r="D16" s="266"/>
      <c r="E16" s="80" t="s">
        <v>850</v>
      </c>
      <c r="F16" s="279" t="s">
        <v>223</v>
      </c>
      <c r="H16" s="266" t="s">
        <v>851</v>
      </c>
      <c r="I16" s="266">
        <v>881</v>
      </c>
      <c r="J16" s="64"/>
      <c r="K16" s="266"/>
      <c r="L16" s="266"/>
      <c r="M16" s="64"/>
      <c r="N16" s="266"/>
      <c r="O16" s="266"/>
    </row>
    <row r="17" spans="1:15" ht="30.75">
      <c r="A17" s="266"/>
      <c r="B17" s="266" t="s">
        <v>852</v>
      </c>
      <c r="C17" s="266">
        <v>3</v>
      </c>
      <c r="D17" s="266"/>
      <c r="E17" s="58" t="s">
        <v>853</v>
      </c>
      <c r="F17" s="279" t="s">
        <v>223</v>
      </c>
      <c r="H17" s="266" t="s">
        <v>200</v>
      </c>
      <c r="I17" s="266">
        <v>1</v>
      </c>
      <c r="J17" s="64"/>
      <c r="K17" s="266"/>
      <c r="L17" s="266"/>
      <c r="M17" s="64"/>
      <c r="N17" s="266"/>
      <c r="O17" s="266"/>
    </row>
    <row r="18" spans="1:15">
      <c r="A18" s="266"/>
      <c r="B18" s="266" t="s">
        <v>395</v>
      </c>
      <c r="C18" s="266">
        <v>14</v>
      </c>
      <c r="D18" s="266"/>
      <c r="E18" s="58" t="s">
        <v>854</v>
      </c>
      <c r="F18" s="279" t="s">
        <v>223</v>
      </c>
      <c r="H18" s="266" t="s">
        <v>855</v>
      </c>
      <c r="I18" s="266">
        <v>6</v>
      </c>
      <c r="J18" s="64"/>
      <c r="K18" s="266"/>
      <c r="L18" s="266"/>
      <c r="M18" s="64"/>
      <c r="N18" s="266"/>
      <c r="O18" s="266"/>
    </row>
    <row r="19" spans="1:15">
      <c r="A19" s="266"/>
      <c r="B19" s="266" t="s">
        <v>540</v>
      </c>
      <c r="C19" s="266">
        <v>5</v>
      </c>
      <c r="D19" s="266"/>
      <c r="E19" s="58" t="s">
        <v>856</v>
      </c>
      <c r="F19" s="279" t="s">
        <v>223</v>
      </c>
      <c r="H19" s="266" t="s">
        <v>789</v>
      </c>
      <c r="I19" s="266">
        <v>2</v>
      </c>
      <c r="J19" s="64"/>
      <c r="K19" s="266"/>
      <c r="L19" s="266"/>
      <c r="M19" s="64"/>
      <c r="N19" s="266"/>
      <c r="O19" s="266"/>
    </row>
    <row r="20" spans="1:15">
      <c r="A20" s="266"/>
      <c r="B20" s="266" t="s">
        <v>420</v>
      </c>
      <c r="C20" s="266">
        <v>21</v>
      </c>
      <c r="D20" s="266"/>
      <c r="E20" s="58" t="s">
        <v>857</v>
      </c>
      <c r="F20" s="279" t="s">
        <v>223</v>
      </c>
      <c r="H20" s="266" t="s">
        <v>858</v>
      </c>
      <c r="I20" s="266">
        <v>15</v>
      </c>
      <c r="J20" s="64"/>
      <c r="K20" s="266"/>
      <c r="L20" s="266"/>
      <c r="M20" s="64"/>
      <c r="N20" s="266"/>
      <c r="O20" s="266"/>
    </row>
    <row r="21" spans="1:15">
      <c r="A21" s="266"/>
      <c r="B21" s="266" t="s">
        <v>852</v>
      </c>
      <c r="C21" s="266">
        <v>5</v>
      </c>
      <c r="D21" s="266"/>
      <c r="E21" s="58" t="s">
        <v>859</v>
      </c>
      <c r="F21" s="279" t="s">
        <v>223</v>
      </c>
      <c r="H21" s="266" t="s">
        <v>786</v>
      </c>
      <c r="I21" s="266">
        <v>4</v>
      </c>
      <c r="J21" s="64"/>
      <c r="K21" s="266"/>
      <c r="L21" s="266"/>
      <c r="M21" s="64"/>
      <c r="N21" s="266"/>
      <c r="O21" s="266"/>
    </row>
    <row r="22" spans="1:15">
      <c r="A22" s="266"/>
      <c r="B22" s="266" t="s">
        <v>224</v>
      </c>
      <c r="C22" s="266">
        <v>11</v>
      </c>
      <c r="D22" s="266"/>
      <c r="E22" s="58" t="s">
        <v>701</v>
      </c>
      <c r="F22" s="279" t="s">
        <v>223</v>
      </c>
      <c r="H22" s="284" t="s">
        <v>860</v>
      </c>
      <c r="I22" s="284">
        <v>28</v>
      </c>
      <c r="J22" s="64"/>
      <c r="K22" s="266"/>
      <c r="L22" s="266"/>
      <c r="M22" s="64"/>
      <c r="N22" s="266"/>
      <c r="O22" s="266"/>
    </row>
    <row r="23" spans="1:15">
      <c r="A23" s="272"/>
      <c r="B23" s="273" t="s">
        <v>583</v>
      </c>
      <c r="C23" s="273"/>
      <c r="D23" s="273"/>
      <c r="E23" s="274"/>
      <c r="F23" s="273"/>
      <c r="H23" s="266" t="s">
        <v>861</v>
      </c>
      <c r="I23" s="266">
        <v>999</v>
      </c>
      <c r="J23" s="64"/>
      <c r="K23" s="266"/>
      <c r="L23" s="266"/>
      <c r="M23" s="64"/>
      <c r="N23" s="266"/>
      <c r="O23" s="266"/>
    </row>
    <row r="24" spans="1:15">
      <c r="A24" s="266"/>
      <c r="B24" s="266" t="s">
        <v>862</v>
      </c>
      <c r="C24" s="266">
        <v>720</v>
      </c>
      <c r="D24" s="266" t="s">
        <v>215</v>
      </c>
      <c r="E24" s="58" t="s">
        <v>863</v>
      </c>
      <c r="F24" s="280" t="s">
        <v>501</v>
      </c>
      <c r="H24" s="284" t="s">
        <v>864</v>
      </c>
      <c r="I24" s="284">
        <v>999</v>
      </c>
    </row>
    <row r="25" spans="1:15" ht="30.75">
      <c r="A25" s="266"/>
      <c r="B25" s="50" t="s">
        <v>243</v>
      </c>
      <c r="C25" s="50">
        <v>720</v>
      </c>
      <c r="D25" s="50" t="s">
        <v>244</v>
      </c>
      <c r="E25" s="59" t="s">
        <v>865</v>
      </c>
      <c r="F25" s="280" t="s">
        <v>501</v>
      </c>
      <c r="H25" s="266" t="s">
        <v>866</v>
      </c>
      <c r="I25" s="266">
        <v>116</v>
      </c>
    </row>
    <row r="26" spans="1:15" ht="30.75">
      <c r="A26" s="266"/>
      <c r="B26" s="50" t="s">
        <v>500</v>
      </c>
      <c r="C26" s="50">
        <v>975</v>
      </c>
      <c r="D26" s="50" t="s">
        <v>197</v>
      </c>
      <c r="E26" s="59" t="s">
        <v>867</v>
      </c>
      <c r="F26" s="280" t="s">
        <v>501</v>
      </c>
      <c r="H26" s="266" t="s">
        <v>868</v>
      </c>
      <c r="I26" s="266">
        <v>10</v>
      </c>
    </row>
    <row r="27" spans="1:15">
      <c r="A27" s="266"/>
      <c r="B27" s="50" t="s">
        <v>869</v>
      </c>
      <c r="C27" s="50">
        <v>830</v>
      </c>
      <c r="D27" s="50" t="s">
        <v>244</v>
      </c>
      <c r="E27" s="59" t="s">
        <v>870</v>
      </c>
      <c r="F27" s="280" t="s">
        <v>501</v>
      </c>
      <c r="H27" s="266" t="s">
        <v>871</v>
      </c>
      <c r="I27" s="266">
        <v>3004</v>
      </c>
    </row>
    <row r="28" spans="1:15">
      <c r="A28" s="266"/>
      <c r="B28" s="50" t="s">
        <v>872</v>
      </c>
      <c r="C28" s="50">
        <v>720</v>
      </c>
      <c r="D28" s="50" t="s">
        <v>215</v>
      </c>
      <c r="E28" s="59" t="s">
        <v>873</v>
      </c>
      <c r="F28" s="280" t="s">
        <v>501</v>
      </c>
      <c r="H28" s="266" t="s">
        <v>874</v>
      </c>
      <c r="I28" s="266">
        <v>116</v>
      </c>
    </row>
    <row r="29" spans="1:15">
      <c r="A29" s="266"/>
      <c r="B29" s="50" t="s">
        <v>875</v>
      </c>
      <c r="C29" s="50">
        <v>280</v>
      </c>
      <c r="D29" s="50" t="s">
        <v>215</v>
      </c>
      <c r="E29" s="59" t="s">
        <v>876</v>
      </c>
      <c r="F29" s="280" t="s">
        <v>501</v>
      </c>
      <c r="H29" s="266" t="s">
        <v>877</v>
      </c>
      <c r="I29" s="266">
        <v>116</v>
      </c>
    </row>
    <row r="30" spans="1:15">
      <c r="A30" s="266"/>
      <c r="B30" s="266"/>
      <c r="C30" s="266"/>
      <c r="D30" s="266"/>
      <c r="E30" s="58"/>
      <c r="F30" s="280" t="s">
        <v>501</v>
      </c>
      <c r="H30" s="266" t="s">
        <v>878</v>
      </c>
      <c r="I30" s="266">
        <v>31</v>
      </c>
    </row>
    <row r="31" spans="1:15" ht="30.75">
      <c r="A31" s="266"/>
      <c r="B31" s="50" t="s">
        <v>282</v>
      </c>
      <c r="C31" s="50">
        <v>865</v>
      </c>
      <c r="D31" s="50"/>
      <c r="E31" s="59" t="s">
        <v>879</v>
      </c>
      <c r="F31" s="281" t="s">
        <v>359</v>
      </c>
    </row>
    <row r="32" spans="1:15" ht="30.75">
      <c r="A32" s="266"/>
      <c r="B32" s="266" t="s">
        <v>689</v>
      </c>
      <c r="C32" s="50">
        <v>283</v>
      </c>
      <c r="D32" s="50"/>
      <c r="E32" s="59" t="s">
        <v>880</v>
      </c>
      <c r="F32" s="281" t="s">
        <v>359</v>
      </c>
    </row>
    <row r="33" spans="1:15" ht="30.75">
      <c r="A33" s="266"/>
      <c r="B33" s="266" t="s">
        <v>881</v>
      </c>
      <c r="C33" s="266">
        <v>954</v>
      </c>
      <c r="D33" s="266"/>
      <c r="E33" s="58" t="s">
        <v>882</v>
      </c>
      <c r="F33" s="281" t="s">
        <v>359</v>
      </c>
    </row>
    <row r="34" spans="1:15" ht="30.75">
      <c r="A34" s="266"/>
      <c r="B34" s="266" t="s">
        <v>883</v>
      </c>
      <c r="C34" s="266">
        <v>46</v>
      </c>
      <c r="D34" s="266"/>
      <c r="E34" s="58" t="s">
        <v>884</v>
      </c>
      <c r="F34" s="281" t="s">
        <v>359</v>
      </c>
    </row>
    <row r="35" spans="1:15" ht="30.75">
      <c r="A35" s="266"/>
      <c r="B35" s="266" t="s">
        <v>881</v>
      </c>
      <c r="C35" s="266">
        <v>954</v>
      </c>
      <c r="D35" s="266"/>
      <c r="E35" s="58" t="s">
        <v>885</v>
      </c>
      <c r="F35" s="281" t="s">
        <v>359</v>
      </c>
    </row>
    <row r="36" spans="1:15" ht="30.75">
      <c r="A36" s="266"/>
      <c r="B36" s="266" t="s">
        <v>886</v>
      </c>
      <c r="C36" s="266">
        <v>865</v>
      </c>
      <c r="D36" s="266"/>
      <c r="E36" s="58" t="s">
        <v>887</v>
      </c>
      <c r="F36" s="281" t="s">
        <v>359</v>
      </c>
    </row>
    <row r="37" spans="1:15">
      <c r="A37" s="266"/>
      <c r="B37" s="50" t="s">
        <v>557</v>
      </c>
      <c r="C37" s="50">
        <v>847</v>
      </c>
      <c r="D37" s="50"/>
      <c r="E37" s="59" t="s">
        <v>888</v>
      </c>
      <c r="F37" s="281" t="s">
        <v>359</v>
      </c>
    </row>
    <row r="38" spans="1:15">
      <c r="A38" s="266"/>
      <c r="B38" s="50" t="s">
        <v>889</v>
      </c>
      <c r="C38" s="50" t="s">
        <v>890</v>
      </c>
      <c r="D38" s="50" t="s">
        <v>197</v>
      </c>
      <c r="E38" s="59" t="s">
        <v>891</v>
      </c>
      <c r="F38" s="282" t="s">
        <v>359</v>
      </c>
    </row>
    <row r="39" spans="1:15">
      <c r="A39" s="272"/>
      <c r="B39" s="273" t="s">
        <v>583</v>
      </c>
      <c r="C39" s="273"/>
      <c r="D39" s="273"/>
      <c r="E39" s="274"/>
      <c r="F39" s="273"/>
    </row>
    <row r="40" spans="1:15" ht="30.75">
      <c r="A40" s="266"/>
      <c r="B40" s="50" t="s">
        <v>549</v>
      </c>
      <c r="C40" s="50">
        <v>4</v>
      </c>
      <c r="D40" s="50" t="s">
        <v>505</v>
      </c>
      <c r="E40" s="59" t="s">
        <v>892</v>
      </c>
      <c r="F40" s="265" t="s">
        <v>202</v>
      </c>
    </row>
    <row r="41" spans="1:15">
      <c r="A41" s="266"/>
      <c r="B41" s="266" t="s">
        <v>607</v>
      </c>
      <c r="C41" s="269">
        <v>4</v>
      </c>
      <c r="D41" s="266" t="s">
        <v>197</v>
      </c>
      <c r="E41" s="58" t="s">
        <v>748</v>
      </c>
      <c r="F41" s="265" t="s">
        <v>202</v>
      </c>
    </row>
    <row r="42" spans="1:15" ht="30.75">
      <c r="A42" s="266"/>
      <c r="B42" s="266" t="s">
        <v>893</v>
      </c>
      <c r="C42" s="269">
        <v>32</v>
      </c>
      <c r="D42" s="266" t="s">
        <v>215</v>
      </c>
      <c r="E42" s="58" t="s">
        <v>894</v>
      </c>
      <c r="F42" s="265" t="s">
        <v>202</v>
      </c>
    </row>
    <row r="43" spans="1:15" ht="31.5">
      <c r="A43" s="266"/>
      <c r="B43" s="266" t="s">
        <v>751</v>
      </c>
      <c r="C43" s="269">
        <v>15</v>
      </c>
      <c r="D43" s="266" t="s">
        <v>505</v>
      </c>
      <c r="E43" s="58" t="s">
        <v>895</v>
      </c>
      <c r="F43" s="265" t="s">
        <v>202</v>
      </c>
      <c r="H43" s="503" t="s">
        <v>724</v>
      </c>
      <c r="I43" s="503"/>
      <c r="J43" s="503"/>
      <c r="K43" s="503"/>
      <c r="L43" s="503"/>
      <c r="M43" s="503"/>
      <c r="N43" s="503"/>
      <c r="O43" s="503"/>
    </row>
    <row r="44" spans="1:15">
      <c r="A44" s="266"/>
      <c r="B44" s="266" t="s">
        <v>749</v>
      </c>
      <c r="C44" s="266">
        <v>606</v>
      </c>
      <c r="D44" s="266" t="s">
        <v>215</v>
      </c>
      <c r="E44" s="58" t="s">
        <v>896</v>
      </c>
      <c r="F44" s="265" t="s">
        <v>202</v>
      </c>
    </row>
    <row r="45" spans="1:15">
      <c r="A45" s="266"/>
      <c r="B45" s="266" t="s">
        <v>256</v>
      </c>
      <c r="C45" s="269">
        <v>28</v>
      </c>
      <c r="D45" s="266" t="s">
        <v>197</v>
      </c>
      <c r="E45" s="58" t="s">
        <v>897</v>
      </c>
      <c r="F45" s="265" t="s">
        <v>202</v>
      </c>
    </row>
    <row r="46" spans="1:15">
      <c r="A46" s="266"/>
      <c r="B46" s="266" t="s">
        <v>438</v>
      </c>
      <c r="C46" s="269">
        <v>28</v>
      </c>
      <c r="D46" s="266" t="s">
        <v>505</v>
      </c>
      <c r="E46" s="58" t="s">
        <v>898</v>
      </c>
      <c r="F46" s="265" t="s">
        <v>202</v>
      </c>
    </row>
    <row r="47" spans="1:15" ht="31.5" customHeight="1">
      <c r="A47" s="266"/>
      <c r="B47" s="50" t="s">
        <v>899</v>
      </c>
      <c r="C47" s="50">
        <v>31</v>
      </c>
      <c r="D47" s="50" t="s">
        <v>215</v>
      </c>
      <c r="E47" s="59" t="s">
        <v>900</v>
      </c>
      <c r="F47" s="283" t="s">
        <v>617</v>
      </c>
      <c r="H47" s="505" t="s">
        <v>728</v>
      </c>
      <c r="I47" s="505"/>
      <c r="K47" s="505" t="s">
        <v>901</v>
      </c>
      <c r="L47" s="505"/>
      <c r="N47" s="505" t="s">
        <v>729</v>
      </c>
      <c r="O47" s="505"/>
    </row>
    <row r="48" spans="1:15" ht="30.75">
      <c r="A48" s="266"/>
      <c r="B48" s="50" t="s">
        <v>287</v>
      </c>
      <c r="C48" s="50">
        <v>31</v>
      </c>
      <c r="D48" s="50" t="s">
        <v>197</v>
      </c>
      <c r="E48" s="59" t="s">
        <v>902</v>
      </c>
      <c r="F48" s="283" t="s">
        <v>617</v>
      </c>
      <c r="H48" s="288" t="s">
        <v>630</v>
      </c>
      <c r="I48" s="289" t="s">
        <v>732</v>
      </c>
      <c r="K48" s="288" t="s">
        <v>630</v>
      </c>
      <c r="L48" s="289" t="s">
        <v>732</v>
      </c>
      <c r="N48" s="288" t="s">
        <v>630</v>
      </c>
      <c r="O48" s="289" t="s">
        <v>48</v>
      </c>
    </row>
    <row r="49" spans="1:18" ht="21">
      <c r="A49" s="266"/>
      <c r="B49" s="266" t="s">
        <v>766</v>
      </c>
      <c r="C49" s="266">
        <v>13</v>
      </c>
      <c r="D49" s="266" t="s">
        <v>197</v>
      </c>
      <c r="E49" s="58" t="s">
        <v>672</v>
      </c>
      <c r="F49" s="283" t="s">
        <v>617</v>
      </c>
      <c r="H49" s="312" t="s">
        <v>903</v>
      </c>
      <c r="I49" s="313">
        <v>2932</v>
      </c>
      <c r="K49" s="294"/>
      <c r="L49" s="295"/>
      <c r="N49" s="266"/>
      <c r="O49" s="291" t="s">
        <v>904</v>
      </c>
    </row>
    <row r="50" spans="1:18" ht="30.75">
      <c r="A50" s="266"/>
      <c r="B50" s="266" t="s">
        <v>905</v>
      </c>
      <c r="C50" s="269">
        <v>10</v>
      </c>
      <c r="D50" s="49" t="s">
        <v>215</v>
      </c>
      <c r="E50" s="58" t="s">
        <v>906</v>
      </c>
      <c r="F50" s="283" t="s">
        <v>617</v>
      </c>
      <c r="H50" s="312" t="s">
        <v>738</v>
      </c>
      <c r="I50" s="313">
        <v>2696</v>
      </c>
      <c r="K50" s="294" t="s">
        <v>736</v>
      </c>
      <c r="L50" s="295">
        <v>4371</v>
      </c>
      <c r="N50" s="266"/>
      <c r="O50" s="291" t="s">
        <v>156</v>
      </c>
    </row>
    <row r="51" spans="1:18" ht="30.75">
      <c r="A51" s="266"/>
      <c r="B51" s="266" t="s">
        <v>907</v>
      </c>
      <c r="C51" s="269">
        <v>10</v>
      </c>
      <c r="D51" s="50" t="s">
        <v>244</v>
      </c>
      <c r="E51" s="58" t="s">
        <v>908</v>
      </c>
      <c r="F51" s="283" t="s">
        <v>617</v>
      </c>
      <c r="H51" s="312" t="s">
        <v>909</v>
      </c>
      <c r="I51" s="313">
        <v>2781</v>
      </c>
      <c r="K51" s="294"/>
      <c r="L51" s="295"/>
      <c r="N51" s="266"/>
      <c r="O51" s="291" t="s">
        <v>910</v>
      </c>
    </row>
    <row r="52" spans="1:18" ht="21">
      <c r="A52" s="266"/>
      <c r="B52" s="49" t="s">
        <v>758</v>
      </c>
      <c r="C52" s="48">
        <v>13</v>
      </c>
      <c r="D52" s="49" t="s">
        <v>410</v>
      </c>
      <c r="E52" s="179" t="s">
        <v>911</v>
      </c>
      <c r="F52" s="283" t="s">
        <v>617</v>
      </c>
      <c r="H52" s="312" t="s">
        <v>912</v>
      </c>
      <c r="I52" s="313">
        <v>2644.5</v>
      </c>
      <c r="K52" s="294"/>
      <c r="L52" s="295"/>
      <c r="N52" s="266"/>
      <c r="O52" s="291" t="s">
        <v>374</v>
      </c>
    </row>
    <row r="53" spans="1:18" ht="21">
      <c r="A53" s="266"/>
      <c r="B53" s="50" t="s">
        <v>913</v>
      </c>
      <c r="C53" s="46">
        <v>13</v>
      </c>
      <c r="D53" s="50" t="s">
        <v>215</v>
      </c>
      <c r="E53" s="59" t="s">
        <v>914</v>
      </c>
      <c r="F53" s="283" t="s">
        <v>617</v>
      </c>
      <c r="H53" s="312" t="s">
        <v>915</v>
      </c>
      <c r="I53" s="313">
        <v>2644.5</v>
      </c>
      <c r="K53" s="294"/>
      <c r="L53" s="295"/>
      <c r="N53" s="266"/>
      <c r="O53" s="291" t="s">
        <v>916</v>
      </c>
    </row>
    <row r="54" spans="1:18" ht="21">
      <c r="A54" s="276"/>
      <c r="B54" s="296" t="s">
        <v>770</v>
      </c>
      <c r="C54" s="254"/>
      <c r="D54" s="265"/>
      <c r="E54" s="305"/>
      <c r="F54" s="265"/>
      <c r="H54" s="312" t="s">
        <v>917</v>
      </c>
      <c r="I54" s="313">
        <v>2531</v>
      </c>
      <c r="K54" s="294"/>
      <c r="L54" s="295"/>
      <c r="N54" s="284"/>
      <c r="O54" s="292" t="s">
        <v>918</v>
      </c>
    </row>
    <row r="55" spans="1:18" ht="23.25">
      <c r="A55" s="266"/>
      <c r="B55" s="49" t="s">
        <v>126</v>
      </c>
      <c r="C55" s="48">
        <v>22</v>
      </c>
      <c r="D55" s="49" t="s">
        <v>197</v>
      </c>
      <c r="E55" s="179" t="s">
        <v>919</v>
      </c>
      <c r="F55" s="49" t="s">
        <v>217</v>
      </c>
      <c r="H55" s="312" t="s">
        <v>920</v>
      </c>
      <c r="I55" s="313">
        <v>2445.5</v>
      </c>
      <c r="K55" s="504" t="s">
        <v>743</v>
      </c>
      <c r="L55" s="504"/>
      <c r="N55" s="266"/>
      <c r="O55" s="291"/>
    </row>
    <row r="56" spans="1:18" ht="23.25">
      <c r="A56" s="266"/>
      <c r="B56" s="49" t="s">
        <v>126</v>
      </c>
      <c r="C56" s="48">
        <v>22</v>
      </c>
      <c r="D56" s="49" t="s">
        <v>197</v>
      </c>
      <c r="E56" s="179" t="s">
        <v>921</v>
      </c>
      <c r="F56" s="49" t="s">
        <v>217</v>
      </c>
      <c r="H56" s="312" t="s">
        <v>922</v>
      </c>
      <c r="I56" s="313">
        <v>2383</v>
      </c>
      <c r="K56" s="288" t="s">
        <v>630</v>
      </c>
      <c r="L56" s="289" t="s">
        <v>732</v>
      </c>
      <c r="N56" s="266"/>
      <c r="O56" s="291"/>
    </row>
    <row r="57" spans="1:18" ht="21">
      <c r="A57" s="266"/>
      <c r="B57" s="49" t="s">
        <v>214</v>
      </c>
      <c r="C57" s="48">
        <v>641</v>
      </c>
      <c r="D57" s="49" t="s">
        <v>197</v>
      </c>
      <c r="E57" s="179" t="s">
        <v>923</v>
      </c>
      <c r="F57" s="49" t="s">
        <v>217</v>
      </c>
      <c r="H57" s="312" t="s">
        <v>924</v>
      </c>
      <c r="I57" s="313">
        <v>2366.5</v>
      </c>
      <c r="K57" s="44" t="s">
        <v>925</v>
      </c>
      <c r="L57" s="293">
        <v>5099</v>
      </c>
      <c r="N57" s="266"/>
      <c r="O57" s="291"/>
    </row>
    <row r="58" spans="1:18" ht="21">
      <c r="A58" s="266"/>
      <c r="B58" s="50"/>
      <c r="C58" s="50"/>
      <c r="D58" s="50"/>
      <c r="E58" s="179"/>
      <c r="F58" s="49" t="s">
        <v>217</v>
      </c>
      <c r="H58" s="312" t="s">
        <v>926</v>
      </c>
      <c r="I58" s="313">
        <v>2076.5</v>
      </c>
      <c r="K58" s="44"/>
      <c r="L58" s="293"/>
      <c r="N58" s="266"/>
      <c r="O58" s="291"/>
    </row>
    <row r="59" spans="1:18" ht="21">
      <c r="A59" s="266"/>
      <c r="B59" s="49"/>
      <c r="C59" s="48"/>
      <c r="D59" s="49"/>
      <c r="E59" s="179"/>
      <c r="F59" s="49" t="s">
        <v>217</v>
      </c>
      <c r="H59" s="314" t="s">
        <v>927</v>
      </c>
      <c r="I59" s="315">
        <v>2076</v>
      </c>
      <c r="K59" s="44"/>
      <c r="L59" s="293"/>
      <c r="N59" s="266"/>
      <c r="O59" s="291"/>
    </row>
    <row r="60" spans="1:18" ht="21">
      <c r="A60" s="266"/>
      <c r="B60" s="50"/>
      <c r="C60" s="46"/>
      <c r="D60" s="50"/>
      <c r="E60" s="59"/>
      <c r="F60" s="50" t="s">
        <v>637</v>
      </c>
      <c r="H60" s="294"/>
      <c r="I60" s="295"/>
      <c r="K60" s="44"/>
      <c r="L60" s="293"/>
      <c r="N60" s="266"/>
      <c r="O60" s="291"/>
    </row>
    <row r="61" spans="1:18" ht="21">
      <c r="A61" s="266"/>
      <c r="B61" s="49"/>
      <c r="C61" s="48"/>
      <c r="D61" s="49"/>
      <c r="E61" s="179"/>
      <c r="F61" s="50" t="s">
        <v>637</v>
      </c>
      <c r="H61" s="294"/>
      <c r="I61" s="295"/>
      <c r="K61" s="44"/>
      <c r="L61" s="293"/>
      <c r="N61" s="266"/>
      <c r="O61" s="291"/>
    </row>
    <row r="62" spans="1:18" ht="21">
      <c r="A62" s="266"/>
      <c r="B62" s="50"/>
      <c r="C62" s="46"/>
      <c r="D62" s="50"/>
      <c r="E62" s="59"/>
      <c r="F62" s="50" t="s">
        <v>637</v>
      </c>
      <c r="H62" s="294"/>
      <c r="I62" s="295"/>
      <c r="K62" s="44"/>
      <c r="L62" s="293"/>
      <c r="N62" s="266"/>
      <c r="O62" s="291"/>
    </row>
    <row r="63" spans="1:18">
      <c r="A63" s="266"/>
      <c r="B63" s="49"/>
      <c r="C63" s="48"/>
      <c r="D63" s="49"/>
      <c r="E63" s="179"/>
      <c r="F63" s="50" t="s">
        <v>637</v>
      </c>
    </row>
    <row r="64" spans="1:18" ht="23.25">
      <c r="A64" s="266"/>
      <c r="B64" s="50"/>
      <c r="C64" s="50"/>
      <c r="D64" s="50"/>
      <c r="E64" s="59"/>
      <c r="F64" s="50" t="s">
        <v>637</v>
      </c>
      <c r="H64" s="310" t="s">
        <v>754</v>
      </c>
      <c r="I64" s="310"/>
      <c r="K64" s="310" t="s">
        <v>755</v>
      </c>
      <c r="L64" s="310"/>
      <c r="N64" s="310" t="s">
        <v>756</v>
      </c>
      <c r="O64" s="310"/>
      <c r="Q64" s="310" t="s">
        <v>757</v>
      </c>
      <c r="R64" s="310"/>
    </row>
    <row r="65" spans="1:18" ht="23.25">
      <c r="A65" s="266"/>
      <c r="B65" s="49"/>
      <c r="C65" s="48"/>
      <c r="D65" s="49"/>
      <c r="E65" s="179"/>
      <c r="F65" s="50" t="s">
        <v>223</v>
      </c>
      <c r="H65" s="288" t="s">
        <v>630</v>
      </c>
      <c r="I65" s="289" t="s">
        <v>732</v>
      </c>
      <c r="K65" s="288" t="s">
        <v>630</v>
      </c>
      <c r="L65" s="289" t="s">
        <v>732</v>
      </c>
      <c r="N65" s="288" t="s">
        <v>630</v>
      </c>
      <c r="O65" s="289" t="s">
        <v>732</v>
      </c>
      <c r="Q65" s="288" t="s">
        <v>630</v>
      </c>
      <c r="R65" s="289" t="s">
        <v>732</v>
      </c>
    </row>
    <row r="66" spans="1:18">
      <c r="A66" s="266"/>
      <c r="B66" s="50"/>
      <c r="C66" s="46"/>
      <c r="D66" s="50"/>
      <c r="E66" s="59"/>
      <c r="F66" s="50" t="s">
        <v>223</v>
      </c>
      <c r="H66" s="307" t="s">
        <v>928</v>
      </c>
      <c r="I66" s="308">
        <v>489.5</v>
      </c>
      <c r="K66" s="44" t="s">
        <v>777</v>
      </c>
      <c r="L66" s="293">
        <v>741.5</v>
      </c>
      <c r="N66" s="44" t="s">
        <v>64</v>
      </c>
      <c r="O66" s="293">
        <v>948.5</v>
      </c>
      <c r="Q66" s="44" t="s">
        <v>395</v>
      </c>
      <c r="R66" s="293">
        <v>1323.5</v>
      </c>
    </row>
    <row r="67" spans="1:18">
      <c r="A67" s="266"/>
      <c r="B67" s="49"/>
      <c r="C67" s="48"/>
      <c r="D67" s="49"/>
      <c r="E67" s="179"/>
      <c r="F67" s="50" t="s">
        <v>223</v>
      </c>
      <c r="H67" s="307" t="s">
        <v>929</v>
      </c>
      <c r="I67" s="308">
        <v>480</v>
      </c>
      <c r="K67" s="44" t="s">
        <v>705</v>
      </c>
      <c r="L67" s="293">
        <v>737.5</v>
      </c>
      <c r="N67" s="44" t="s">
        <v>930</v>
      </c>
      <c r="O67" s="293">
        <v>806</v>
      </c>
      <c r="Q67" s="44" t="s">
        <v>310</v>
      </c>
      <c r="R67" s="293">
        <v>1152</v>
      </c>
    </row>
    <row r="68" spans="1:18">
      <c r="A68" s="266"/>
      <c r="B68" s="50"/>
      <c r="C68" s="46"/>
      <c r="D68" s="50"/>
      <c r="E68" s="59"/>
      <c r="F68" s="50" t="s">
        <v>223</v>
      </c>
      <c r="H68" s="307" t="s">
        <v>612</v>
      </c>
      <c r="I68" s="308">
        <v>478</v>
      </c>
      <c r="K68" s="44" t="s">
        <v>907</v>
      </c>
      <c r="L68" s="293">
        <v>701.5</v>
      </c>
      <c r="N68" s="44" t="s">
        <v>768</v>
      </c>
      <c r="O68" s="293">
        <v>771.5</v>
      </c>
      <c r="Q68" s="44"/>
      <c r="R68" s="293"/>
    </row>
    <row r="69" spans="1:18">
      <c r="A69" s="266"/>
      <c r="B69" s="49"/>
      <c r="C69" s="48"/>
      <c r="D69" s="49"/>
      <c r="E69" s="179"/>
      <c r="F69" s="50" t="s">
        <v>223</v>
      </c>
      <c r="H69" s="307" t="s">
        <v>779</v>
      </c>
      <c r="I69" s="308">
        <v>477</v>
      </c>
      <c r="K69" s="44" t="s">
        <v>931</v>
      </c>
      <c r="L69" s="293">
        <v>685</v>
      </c>
      <c r="N69" s="44" t="s">
        <v>932</v>
      </c>
      <c r="O69" s="293">
        <v>761.5</v>
      </c>
      <c r="Q69" s="44"/>
      <c r="R69" s="293"/>
    </row>
    <row r="70" spans="1:18">
      <c r="A70" s="266"/>
      <c r="B70" s="50"/>
      <c r="C70" s="50"/>
      <c r="D70" s="50"/>
      <c r="E70" s="59"/>
      <c r="F70" s="275" t="s">
        <v>501</v>
      </c>
      <c r="H70" s="307" t="s">
        <v>642</v>
      </c>
      <c r="I70" s="308">
        <v>475.5</v>
      </c>
      <c r="K70" s="44" t="s">
        <v>427</v>
      </c>
      <c r="L70" s="293">
        <v>644</v>
      </c>
      <c r="N70" s="44"/>
      <c r="O70" s="293"/>
      <c r="Q70" s="44"/>
      <c r="R70" s="293"/>
    </row>
    <row r="71" spans="1:18">
      <c r="A71" s="266"/>
      <c r="B71" s="50"/>
      <c r="C71" s="50"/>
      <c r="D71" s="50"/>
      <c r="E71" s="59"/>
      <c r="F71" s="275" t="s">
        <v>501</v>
      </c>
      <c r="H71" s="307" t="s">
        <v>549</v>
      </c>
      <c r="I71" s="308">
        <v>473</v>
      </c>
      <c r="K71" s="44" t="s">
        <v>773</v>
      </c>
      <c r="L71" s="293">
        <v>635</v>
      </c>
      <c r="N71" s="44"/>
      <c r="O71" s="293"/>
      <c r="Q71" s="44"/>
      <c r="R71" s="293"/>
    </row>
    <row r="72" spans="1:18">
      <c r="A72" s="266"/>
      <c r="B72" s="50"/>
      <c r="C72" s="50"/>
      <c r="D72" s="50"/>
      <c r="E72" s="59"/>
      <c r="F72" s="275" t="s">
        <v>501</v>
      </c>
      <c r="H72" s="307" t="s">
        <v>933</v>
      </c>
      <c r="I72" s="308">
        <v>454</v>
      </c>
      <c r="K72" s="44" t="s">
        <v>791</v>
      </c>
      <c r="L72" s="293">
        <v>633.5</v>
      </c>
      <c r="N72" s="44"/>
      <c r="O72" s="44"/>
      <c r="Q72" s="44"/>
      <c r="R72" s="44"/>
    </row>
    <row r="73" spans="1:18">
      <c r="A73" s="266"/>
      <c r="B73" s="50"/>
      <c r="C73" s="50"/>
      <c r="D73" s="50"/>
      <c r="E73" s="59"/>
      <c r="F73" s="275" t="s">
        <v>501</v>
      </c>
      <c r="H73" s="307" t="s">
        <v>790</v>
      </c>
      <c r="I73" s="308">
        <v>446.5</v>
      </c>
      <c r="K73" s="44" t="s">
        <v>772</v>
      </c>
      <c r="L73" s="293">
        <v>612</v>
      </c>
      <c r="N73" s="44"/>
      <c r="O73" s="44"/>
      <c r="Q73" s="44"/>
      <c r="R73" s="44"/>
    </row>
    <row r="74" spans="1:18">
      <c r="A74" s="266"/>
      <c r="B74" s="50"/>
      <c r="C74" s="50"/>
      <c r="D74" s="50"/>
      <c r="E74" s="59"/>
      <c r="F74" s="275" t="s">
        <v>501</v>
      </c>
      <c r="H74" s="307" t="s">
        <v>438</v>
      </c>
      <c r="I74" s="308">
        <v>442</v>
      </c>
      <c r="K74" s="44" t="s">
        <v>934</v>
      </c>
      <c r="L74" s="293">
        <v>608</v>
      </c>
      <c r="N74" s="44"/>
      <c r="O74" s="44"/>
      <c r="Q74" s="44"/>
      <c r="R74" s="44"/>
    </row>
    <row r="75" spans="1:18">
      <c r="A75" s="266"/>
      <c r="B75" s="50"/>
      <c r="C75" s="50"/>
      <c r="D75" s="50"/>
      <c r="E75" s="59"/>
      <c r="F75" s="275" t="s">
        <v>501</v>
      </c>
      <c r="H75" s="307" t="s">
        <v>935</v>
      </c>
      <c r="I75" s="308">
        <v>430</v>
      </c>
      <c r="K75" s="44" t="s">
        <v>794</v>
      </c>
      <c r="L75" s="293">
        <v>570</v>
      </c>
      <c r="N75" s="44"/>
      <c r="O75" s="44"/>
      <c r="Q75" s="44"/>
      <c r="R75" s="44"/>
    </row>
    <row r="76" spans="1:18">
      <c r="A76" s="266"/>
      <c r="B76" s="50" t="s">
        <v>313</v>
      </c>
      <c r="C76" s="50">
        <v>919</v>
      </c>
      <c r="D76" s="50" t="s">
        <v>197</v>
      </c>
      <c r="E76" s="59" t="s">
        <v>936</v>
      </c>
      <c r="F76" s="275" t="s">
        <v>359</v>
      </c>
      <c r="H76" s="307" t="s">
        <v>937</v>
      </c>
      <c r="I76" s="308">
        <v>423</v>
      </c>
      <c r="K76" s="44" t="s">
        <v>776</v>
      </c>
      <c r="L76" s="293">
        <v>567.5</v>
      </c>
      <c r="N76" s="44"/>
      <c r="O76" s="44"/>
      <c r="Q76" s="44"/>
      <c r="R76" s="44"/>
    </row>
    <row r="77" spans="1:18">
      <c r="A77" s="266"/>
      <c r="B77" s="50" t="s">
        <v>161</v>
      </c>
      <c r="C77" s="50">
        <v>865</v>
      </c>
      <c r="D77" s="50" t="s">
        <v>197</v>
      </c>
      <c r="E77" s="59" t="s">
        <v>938</v>
      </c>
      <c r="F77" s="275" t="s">
        <v>359</v>
      </c>
      <c r="H77" s="307" t="s">
        <v>802</v>
      </c>
      <c r="I77" s="308">
        <v>420</v>
      </c>
      <c r="K77" s="44" t="s">
        <v>939</v>
      </c>
      <c r="L77" s="293">
        <v>559.5</v>
      </c>
      <c r="N77" s="44"/>
      <c r="O77" s="44"/>
      <c r="Q77" s="44"/>
      <c r="R77" s="44"/>
    </row>
    <row r="78" spans="1:18">
      <c r="A78" s="266"/>
      <c r="B78" s="50"/>
      <c r="C78" s="50"/>
      <c r="D78" s="50"/>
      <c r="E78" s="59"/>
      <c r="F78" s="275" t="s">
        <v>359</v>
      </c>
      <c r="H78" s="307" t="s">
        <v>781</v>
      </c>
      <c r="I78" s="308">
        <v>419</v>
      </c>
      <c r="K78" s="44" t="s">
        <v>305</v>
      </c>
      <c r="L78" s="293">
        <v>535.5</v>
      </c>
      <c r="N78" s="44"/>
      <c r="O78" s="44"/>
      <c r="Q78" s="44"/>
      <c r="R78" s="44"/>
    </row>
    <row r="79" spans="1:18">
      <c r="A79" s="266"/>
      <c r="B79" s="50"/>
      <c r="C79" s="50"/>
      <c r="D79" s="50"/>
      <c r="E79" s="59"/>
      <c r="F79" s="275" t="s">
        <v>359</v>
      </c>
      <c r="H79" s="307" t="s">
        <v>899</v>
      </c>
      <c r="I79" s="308">
        <v>408</v>
      </c>
      <c r="K79" s="44" t="s">
        <v>940</v>
      </c>
      <c r="L79" s="293">
        <v>519</v>
      </c>
      <c r="N79" s="44"/>
      <c r="O79" s="44"/>
      <c r="Q79" s="44"/>
      <c r="R79" s="44"/>
    </row>
    <row r="80" spans="1:18">
      <c r="A80" s="266"/>
      <c r="B80" s="50"/>
      <c r="C80" s="50"/>
      <c r="D80" s="50"/>
      <c r="E80" s="59"/>
      <c r="F80" s="275" t="s">
        <v>359</v>
      </c>
      <c r="H80" s="307" t="s">
        <v>310</v>
      </c>
      <c r="I80" s="308">
        <v>403</v>
      </c>
      <c r="K80" s="44" t="s">
        <v>793</v>
      </c>
      <c r="L80" s="293">
        <v>516</v>
      </c>
      <c r="N80" s="44"/>
      <c r="O80" s="44"/>
      <c r="Q80" s="44"/>
      <c r="R80" s="44"/>
    </row>
    <row r="81" spans="1:18">
      <c r="A81" s="266"/>
      <c r="B81" s="50"/>
      <c r="C81" s="50"/>
      <c r="D81" s="50"/>
      <c r="E81" s="59"/>
      <c r="F81" s="275" t="s">
        <v>359</v>
      </c>
      <c r="H81" s="307" t="s">
        <v>773</v>
      </c>
      <c r="I81" s="308">
        <v>396.5</v>
      </c>
      <c r="K81" s="44" t="s">
        <v>282</v>
      </c>
      <c r="L81" s="293">
        <v>510</v>
      </c>
      <c r="N81" s="44"/>
      <c r="O81" s="44"/>
      <c r="Q81" s="44"/>
      <c r="R81" s="44"/>
    </row>
    <row r="82" spans="1:18">
      <c r="A82" s="266"/>
      <c r="B82" s="50"/>
      <c r="C82" s="50"/>
      <c r="D82" s="50"/>
      <c r="E82" s="59"/>
      <c r="F82" s="275" t="s">
        <v>359</v>
      </c>
      <c r="H82" s="307" t="s">
        <v>905</v>
      </c>
      <c r="I82" s="308">
        <v>384.5</v>
      </c>
      <c r="K82" s="44" t="s">
        <v>941</v>
      </c>
      <c r="L82" s="293">
        <v>506.5</v>
      </c>
      <c r="N82" s="44"/>
      <c r="O82" s="44"/>
      <c r="Q82" s="44"/>
      <c r="R82" s="44"/>
    </row>
    <row r="83" spans="1:18">
      <c r="A83" s="266"/>
      <c r="B83" s="50"/>
      <c r="C83" s="50"/>
      <c r="D83" s="50"/>
      <c r="E83" s="59"/>
      <c r="F83" s="50" t="s">
        <v>202</v>
      </c>
      <c r="H83" s="307" t="s">
        <v>416</v>
      </c>
      <c r="I83" s="308">
        <v>381.57</v>
      </c>
      <c r="K83" s="44" t="s">
        <v>490</v>
      </c>
      <c r="L83" s="293">
        <v>505.22</v>
      </c>
      <c r="N83" s="44"/>
      <c r="O83" s="44"/>
      <c r="Q83" s="44"/>
      <c r="R83" s="44"/>
    </row>
    <row r="84" spans="1:18">
      <c r="A84" s="266"/>
      <c r="B84" s="50"/>
      <c r="C84" s="50"/>
      <c r="D84" s="50"/>
      <c r="E84" s="59"/>
      <c r="F84" s="50" t="s">
        <v>202</v>
      </c>
      <c r="H84" s="307" t="s">
        <v>319</v>
      </c>
      <c r="I84" s="308">
        <v>381.5</v>
      </c>
      <c r="K84" t="s">
        <v>780</v>
      </c>
      <c r="L84" s="316">
        <v>505</v>
      </c>
      <c r="N84" s="44"/>
      <c r="O84" s="44"/>
      <c r="Q84" s="44"/>
      <c r="R84" s="44"/>
    </row>
    <row r="85" spans="1:18">
      <c r="A85" s="266"/>
      <c r="B85" s="50"/>
      <c r="C85" s="50"/>
      <c r="D85" s="50"/>
      <c r="E85" s="59"/>
      <c r="F85" s="50" t="s">
        <v>202</v>
      </c>
      <c r="H85" s="307" t="s">
        <v>942</v>
      </c>
      <c r="I85" s="308">
        <v>378</v>
      </c>
      <c r="K85" s="44" t="s">
        <v>425</v>
      </c>
      <c r="L85" s="293">
        <v>505</v>
      </c>
      <c r="N85" s="44"/>
      <c r="O85" s="44"/>
      <c r="Q85" s="44"/>
      <c r="R85" s="44"/>
    </row>
    <row r="86" spans="1:18">
      <c r="A86" s="266"/>
      <c r="B86" s="50"/>
      <c r="C86" s="50"/>
      <c r="D86" s="50"/>
      <c r="E86" s="59"/>
      <c r="F86" s="50" t="s">
        <v>202</v>
      </c>
      <c r="H86" s="307" t="s">
        <v>651</v>
      </c>
      <c r="I86" s="308">
        <v>377.5</v>
      </c>
      <c r="K86" s="44"/>
      <c r="L86" s="44"/>
      <c r="N86" s="44"/>
      <c r="O86" s="44"/>
      <c r="Q86" s="44"/>
      <c r="R86" s="44"/>
    </row>
    <row r="87" spans="1:18">
      <c r="A87" s="266"/>
      <c r="B87" s="50"/>
      <c r="C87" s="50"/>
      <c r="D87" s="50"/>
      <c r="E87" s="59"/>
      <c r="F87" s="50" t="s">
        <v>202</v>
      </c>
      <c r="H87" s="307" t="s">
        <v>800</v>
      </c>
      <c r="I87" s="308">
        <v>374</v>
      </c>
      <c r="K87" s="44"/>
      <c r="L87" s="311"/>
      <c r="N87" s="44"/>
      <c r="O87" s="44"/>
      <c r="Q87" s="44"/>
      <c r="R87" s="44"/>
    </row>
    <row r="88" spans="1:18">
      <c r="A88" s="266"/>
      <c r="B88" s="50"/>
      <c r="C88" s="50"/>
      <c r="D88" s="50"/>
      <c r="E88" s="59"/>
      <c r="F88" s="50" t="s">
        <v>617</v>
      </c>
      <c r="H88" s="307" t="s">
        <v>943</v>
      </c>
      <c r="I88" s="308">
        <v>373</v>
      </c>
      <c r="K88" s="44"/>
      <c r="L88" s="44"/>
      <c r="N88" s="44"/>
      <c r="O88" s="44"/>
      <c r="Q88" s="44"/>
      <c r="R88" s="44"/>
    </row>
    <row r="89" spans="1:18">
      <c r="A89" s="266"/>
      <c r="B89" s="50"/>
      <c r="C89" s="50"/>
      <c r="D89" s="50"/>
      <c r="E89" s="59"/>
      <c r="F89" s="50" t="s">
        <v>617</v>
      </c>
      <c r="H89" s="307" t="s">
        <v>944</v>
      </c>
      <c r="I89" s="308">
        <v>373</v>
      </c>
      <c r="K89" s="44"/>
      <c r="L89" s="44"/>
      <c r="N89" s="44"/>
      <c r="O89" s="44"/>
      <c r="Q89" s="44"/>
      <c r="R89" s="44"/>
    </row>
    <row r="90" spans="1:18">
      <c r="A90" s="266"/>
      <c r="B90" s="50"/>
      <c r="C90" s="50"/>
      <c r="D90" s="50"/>
      <c r="E90" s="59"/>
      <c r="F90" s="50" t="s">
        <v>617</v>
      </c>
      <c r="H90" s="307" t="s">
        <v>310</v>
      </c>
      <c r="I90" s="308">
        <v>367</v>
      </c>
      <c r="K90" s="44"/>
      <c r="L90" s="44"/>
      <c r="N90" s="44"/>
      <c r="O90" s="44"/>
      <c r="Q90" s="44"/>
      <c r="R90" s="44"/>
    </row>
    <row r="91" spans="1:18">
      <c r="A91" s="266"/>
      <c r="B91" s="50"/>
      <c r="C91" s="50"/>
      <c r="D91" s="50"/>
      <c r="E91" s="59"/>
      <c r="F91" s="50" t="s">
        <v>617</v>
      </c>
      <c r="H91" s="307" t="s">
        <v>945</v>
      </c>
      <c r="I91" s="308">
        <v>364.1</v>
      </c>
      <c r="K91" s="44"/>
      <c r="L91" s="44"/>
      <c r="N91" s="44"/>
      <c r="O91" s="44"/>
      <c r="Q91" s="44"/>
      <c r="R91" s="44"/>
    </row>
    <row r="92" spans="1:18">
      <c r="A92" s="266"/>
      <c r="B92" s="50"/>
      <c r="C92" s="50"/>
      <c r="D92" s="50"/>
      <c r="E92" s="59"/>
      <c r="F92" s="50" t="s">
        <v>617</v>
      </c>
      <c r="H92" s="307" t="s">
        <v>946</v>
      </c>
      <c r="I92" s="308">
        <v>360.5</v>
      </c>
      <c r="K92" s="44"/>
      <c r="L92" s="44"/>
      <c r="N92" s="44"/>
      <c r="O92" s="44"/>
      <c r="Q92" s="44"/>
      <c r="R92" s="44"/>
    </row>
    <row r="93" spans="1:18">
      <c r="A93" s="266"/>
      <c r="B93" s="50"/>
      <c r="C93" s="50"/>
      <c r="D93" s="50"/>
      <c r="E93" s="59"/>
      <c r="F93" s="50" t="s">
        <v>617</v>
      </c>
      <c r="H93" s="307" t="s">
        <v>947</v>
      </c>
      <c r="I93" s="308">
        <v>354</v>
      </c>
      <c r="K93" s="44"/>
      <c r="L93" s="44"/>
      <c r="N93" s="44"/>
      <c r="O93" s="44"/>
      <c r="Q93" s="44"/>
      <c r="R93" s="44"/>
    </row>
    <row r="94" spans="1:18">
      <c r="A94" s="266"/>
      <c r="B94" s="50"/>
      <c r="C94" s="50"/>
      <c r="D94" s="50"/>
      <c r="E94" s="59"/>
      <c r="F94" s="50" t="s">
        <v>617</v>
      </c>
      <c r="H94" s="307" t="s">
        <v>948</v>
      </c>
      <c r="I94" s="308">
        <v>349</v>
      </c>
      <c r="K94" s="44"/>
      <c r="L94" s="44"/>
      <c r="N94" s="44"/>
      <c r="O94" s="44"/>
      <c r="Q94" s="44"/>
      <c r="R94" s="44"/>
    </row>
    <row r="95" spans="1:18">
      <c r="A95" s="266"/>
      <c r="B95" s="50"/>
      <c r="C95" s="50"/>
      <c r="D95" s="50"/>
      <c r="E95" s="59"/>
      <c r="F95" s="50" t="s">
        <v>617</v>
      </c>
      <c r="H95" s="307" t="s">
        <v>702</v>
      </c>
      <c r="I95" s="308">
        <v>348</v>
      </c>
      <c r="K95" s="44"/>
      <c r="L95" s="44"/>
      <c r="N95" s="44"/>
      <c r="O95" s="44"/>
      <c r="Q95" s="44"/>
      <c r="R95" s="44"/>
    </row>
    <row r="96" spans="1:18">
      <c r="A96" s="284"/>
      <c r="B96" s="285"/>
      <c r="C96" s="285"/>
      <c r="D96" s="285"/>
      <c r="E96" s="286"/>
      <c r="F96" s="50" t="s">
        <v>617</v>
      </c>
      <c r="H96" s="307" t="s">
        <v>949</v>
      </c>
      <c r="I96" s="308">
        <v>345.5</v>
      </c>
      <c r="K96" s="44"/>
      <c r="L96" s="44"/>
      <c r="N96" s="44"/>
      <c r="O96" s="44"/>
      <c r="Q96" s="44"/>
      <c r="R96" s="44"/>
    </row>
    <row r="97" spans="1:18">
      <c r="A97" s="284"/>
      <c r="B97" s="285"/>
      <c r="C97" s="285"/>
      <c r="D97" s="285"/>
      <c r="E97" s="286"/>
      <c r="F97" s="50" t="s">
        <v>617</v>
      </c>
      <c r="H97" s="307" t="s">
        <v>749</v>
      </c>
      <c r="I97" s="308">
        <v>338.5</v>
      </c>
      <c r="K97" s="44"/>
      <c r="L97" s="44"/>
      <c r="N97" s="44"/>
      <c r="O97" s="44"/>
      <c r="Q97" s="44"/>
      <c r="R97" s="44"/>
    </row>
    <row r="98" spans="1:18">
      <c r="A98" s="284"/>
      <c r="B98" s="285"/>
      <c r="C98" s="285"/>
      <c r="D98" s="285"/>
      <c r="E98" s="286"/>
      <c r="F98" s="50" t="s">
        <v>617</v>
      </c>
      <c r="H98" s="307" t="s">
        <v>950</v>
      </c>
      <c r="I98" s="308">
        <v>337</v>
      </c>
      <c r="K98" s="44"/>
      <c r="L98" s="44"/>
      <c r="N98" s="44"/>
      <c r="O98" s="44"/>
      <c r="Q98" s="44"/>
      <c r="R98" s="44"/>
    </row>
    <row r="99" spans="1:18">
      <c r="A99" s="284"/>
      <c r="B99" s="285"/>
      <c r="C99" s="285"/>
      <c r="D99" s="285"/>
      <c r="E99" s="286"/>
      <c r="F99" s="50" t="s">
        <v>617</v>
      </c>
      <c r="H99" s="307" t="s">
        <v>789</v>
      </c>
      <c r="I99" s="308">
        <v>335</v>
      </c>
      <c r="K99" s="44"/>
      <c r="L99" s="44"/>
      <c r="N99" s="44"/>
      <c r="O99" s="44"/>
      <c r="Q99" s="44"/>
      <c r="R99" s="44"/>
    </row>
    <row r="100" spans="1:18">
      <c r="A100" s="284"/>
      <c r="B100" s="285"/>
      <c r="C100" s="285"/>
      <c r="D100" s="285"/>
      <c r="E100" s="286"/>
      <c r="F100" s="50" t="s">
        <v>617</v>
      </c>
      <c r="H100" s="307" t="s">
        <v>951</v>
      </c>
      <c r="I100" s="308">
        <v>330</v>
      </c>
      <c r="K100" s="44"/>
      <c r="L100" s="44"/>
      <c r="N100" s="44"/>
      <c r="O100" s="44"/>
      <c r="Q100" s="44"/>
      <c r="R100" s="44"/>
    </row>
    <row r="101" spans="1:18">
      <c r="A101" s="284"/>
      <c r="B101" s="285"/>
      <c r="C101" s="285"/>
      <c r="D101" s="285"/>
      <c r="E101" s="286"/>
      <c r="F101" s="50" t="s">
        <v>617</v>
      </c>
      <c r="H101" s="307" t="s">
        <v>488</v>
      </c>
      <c r="I101" s="308">
        <v>327.60000000000002</v>
      </c>
      <c r="K101" s="44"/>
      <c r="L101" s="44"/>
    </row>
    <row r="102" spans="1:18">
      <c r="H102" s="307" t="s">
        <v>785</v>
      </c>
      <c r="I102" s="308">
        <v>327.5</v>
      </c>
      <c r="K102" s="44"/>
      <c r="L102" s="44"/>
    </row>
    <row r="103" spans="1:18">
      <c r="H103" s="307" t="s">
        <v>952</v>
      </c>
      <c r="I103" s="308">
        <v>326</v>
      </c>
      <c r="K103" s="44"/>
      <c r="L103" s="44"/>
    </row>
    <row r="104" spans="1:18">
      <c r="H104" s="307" t="s">
        <v>953</v>
      </c>
      <c r="I104" s="308">
        <v>325</v>
      </c>
      <c r="K104" s="44"/>
      <c r="L104" s="44"/>
    </row>
    <row r="105" spans="1:18">
      <c r="H105" s="307" t="s">
        <v>954</v>
      </c>
      <c r="I105" s="308">
        <v>318.5</v>
      </c>
      <c r="K105" s="44"/>
      <c r="L105" s="44"/>
    </row>
    <row r="106" spans="1:18">
      <c r="H106" s="307" t="s">
        <v>955</v>
      </c>
      <c r="I106" s="308">
        <v>313.5</v>
      </c>
      <c r="K106" s="44"/>
      <c r="L106" s="44"/>
    </row>
    <row r="107" spans="1:18">
      <c r="H107" s="307" t="s">
        <v>231</v>
      </c>
      <c r="I107" s="308">
        <v>313</v>
      </c>
      <c r="K107" s="44"/>
      <c r="L107" s="44"/>
    </row>
    <row r="108" spans="1:18">
      <c r="H108" s="307" t="s">
        <v>329</v>
      </c>
      <c r="I108" s="308">
        <v>311</v>
      </c>
      <c r="K108" s="44"/>
      <c r="L108" s="44"/>
    </row>
    <row r="109" spans="1:18">
      <c r="H109" s="307" t="s">
        <v>956</v>
      </c>
      <c r="I109" s="308">
        <v>309</v>
      </c>
      <c r="K109" s="44"/>
      <c r="L109" s="44"/>
    </row>
    <row r="110" spans="1:18">
      <c r="H110" s="307" t="s">
        <v>796</v>
      </c>
      <c r="I110" s="308">
        <v>294</v>
      </c>
      <c r="K110" s="44"/>
      <c r="L110" s="44"/>
    </row>
    <row r="111" spans="1:18">
      <c r="H111" s="307" t="s">
        <v>786</v>
      </c>
      <c r="I111" s="308">
        <v>291</v>
      </c>
      <c r="K111" s="44"/>
      <c r="L111" s="44"/>
    </row>
    <row r="112" spans="1:18">
      <c r="H112" s="307" t="s">
        <v>957</v>
      </c>
      <c r="I112" s="308">
        <v>290.82</v>
      </c>
      <c r="K112" s="44"/>
      <c r="L112" s="44"/>
    </row>
    <row r="113" spans="8:12">
      <c r="H113" s="307" t="s">
        <v>751</v>
      </c>
      <c r="I113" s="308">
        <v>287</v>
      </c>
      <c r="K113" s="44"/>
      <c r="L113" s="44"/>
    </row>
    <row r="114" spans="8:12">
      <c r="H114" s="307" t="s">
        <v>958</v>
      </c>
      <c r="I114" s="308">
        <v>286</v>
      </c>
      <c r="K114" s="44"/>
      <c r="L114" s="44"/>
    </row>
    <row r="115" spans="8:12">
      <c r="H115" s="307" t="s">
        <v>258</v>
      </c>
      <c r="I115" s="308">
        <v>282</v>
      </c>
      <c r="K115" s="44"/>
      <c r="L115" s="44"/>
    </row>
    <row r="116" spans="8:12">
      <c r="H116" s="307" t="s">
        <v>959</v>
      </c>
      <c r="I116" s="308">
        <v>282</v>
      </c>
      <c r="K116" s="44"/>
      <c r="L116" s="44"/>
    </row>
    <row r="117" spans="8:12">
      <c r="H117" s="307" t="s">
        <v>960</v>
      </c>
      <c r="I117" s="308">
        <v>281.81</v>
      </c>
      <c r="K117" s="44"/>
      <c r="L117" s="44"/>
    </row>
    <row r="118" spans="8:12">
      <c r="H118" s="307" t="s">
        <v>653</v>
      </c>
      <c r="I118" s="308">
        <v>281.5</v>
      </c>
      <c r="K118" s="44"/>
      <c r="L118" s="44"/>
    </row>
    <row r="119" spans="8:12">
      <c r="H119" s="307" t="s">
        <v>893</v>
      </c>
      <c r="I119" s="308">
        <v>274</v>
      </c>
      <c r="K119" s="44"/>
      <c r="L119" s="44"/>
    </row>
    <row r="120" spans="8:12">
      <c r="H120" s="307" t="s">
        <v>670</v>
      </c>
      <c r="I120" s="308">
        <v>270.5</v>
      </c>
      <c r="K120" s="44"/>
      <c r="L120" s="44"/>
    </row>
    <row r="121" spans="8:12">
      <c r="H121" s="307" t="s">
        <v>961</v>
      </c>
      <c r="I121" s="308">
        <v>264</v>
      </c>
      <c r="K121" s="44"/>
      <c r="L121" s="44"/>
    </row>
    <row r="122" spans="8:12">
      <c r="H122" s="307" t="s">
        <v>962</v>
      </c>
      <c r="I122" s="308">
        <v>263</v>
      </c>
      <c r="K122" s="44"/>
      <c r="L122" s="44"/>
    </row>
    <row r="123" spans="8:12">
      <c r="H123" s="307" t="s">
        <v>963</v>
      </c>
      <c r="I123" s="308">
        <v>263</v>
      </c>
      <c r="K123" s="44"/>
      <c r="L123" s="44"/>
    </row>
    <row r="124" spans="8:12">
      <c r="H124" s="307" t="s">
        <v>964</v>
      </c>
      <c r="I124" s="308">
        <v>262</v>
      </c>
      <c r="K124" s="44"/>
      <c r="L124" s="44"/>
    </row>
    <row r="125" spans="8:12">
      <c r="H125" s="307" t="s">
        <v>965</v>
      </c>
      <c r="I125" s="308">
        <v>260.5</v>
      </c>
      <c r="K125" s="44"/>
      <c r="L125" s="44"/>
    </row>
    <row r="126" spans="8:12">
      <c r="H126" s="307" t="s">
        <v>966</v>
      </c>
      <c r="I126" s="308">
        <v>260</v>
      </c>
      <c r="K126" s="44"/>
      <c r="L126" s="44"/>
    </row>
    <row r="127" spans="8:12">
      <c r="H127" s="307" t="s">
        <v>727</v>
      </c>
      <c r="I127" s="308">
        <v>258</v>
      </c>
      <c r="K127" s="44"/>
      <c r="L127" s="44"/>
    </row>
    <row r="128" spans="8:12">
      <c r="H128" s="307" t="s">
        <v>967</v>
      </c>
      <c r="I128" s="308">
        <v>257.5</v>
      </c>
      <c r="K128" s="44"/>
      <c r="L128" s="44"/>
    </row>
    <row r="129" spans="8:9">
      <c r="H129" s="307" t="s">
        <v>298</v>
      </c>
      <c r="I129" s="308">
        <v>256</v>
      </c>
    </row>
    <row r="130" spans="8:9">
      <c r="H130" s="307" t="s">
        <v>758</v>
      </c>
      <c r="I130" s="308">
        <v>255</v>
      </c>
    </row>
    <row r="131" spans="8:9">
      <c r="H131" s="307" t="s">
        <v>549</v>
      </c>
      <c r="I131" s="308">
        <v>254.5</v>
      </c>
    </row>
    <row r="132" spans="8:9">
      <c r="H132" s="307" t="s">
        <v>968</v>
      </c>
      <c r="I132" s="308">
        <v>253</v>
      </c>
    </row>
    <row r="133" spans="8:9">
      <c r="H133" s="307" t="s">
        <v>621</v>
      </c>
      <c r="I133" s="308">
        <v>252.5</v>
      </c>
    </row>
    <row r="134" spans="8:9">
      <c r="H134" s="307" t="s">
        <v>969</v>
      </c>
      <c r="I134" s="308">
        <v>251.5</v>
      </c>
    </row>
  </sheetData>
  <mergeCells count="8">
    <mergeCell ref="K55:L55"/>
    <mergeCell ref="H1:I1"/>
    <mergeCell ref="K1:L1"/>
    <mergeCell ref="N1:O1"/>
    <mergeCell ref="H43:O43"/>
    <mergeCell ref="H47:I47"/>
    <mergeCell ref="K47:L47"/>
    <mergeCell ref="N47:O47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FEEF-911C-412F-9AAF-B49E2D4CF9E6}">
  <dimension ref="A1:R169"/>
  <sheetViews>
    <sheetView workbookViewId="0">
      <pane ySplit="1" topLeftCell="A53" activePane="bottomLeft" state="frozen"/>
      <selection pane="bottomLeft" activeCell="H59" sqref="H59"/>
    </sheetView>
  </sheetViews>
  <sheetFormatPr defaultRowHeight="15"/>
  <cols>
    <col min="1" max="1" width="4.42578125" bestFit="1" customWidth="1"/>
    <col min="2" max="2" width="47.42578125" style="64" bestFit="1" customWidth="1"/>
    <col min="4" max="4" width="12.5703125" customWidth="1"/>
    <col min="5" max="5" width="32.42578125" style="306" customWidth="1"/>
    <col min="6" max="6" width="19.42578125" customWidth="1"/>
    <col min="8" max="8" width="33" bestFit="1" customWidth="1"/>
    <col min="9" max="9" width="25.7109375" customWidth="1"/>
    <col min="10" max="10" width="4.42578125" customWidth="1"/>
    <col min="11" max="11" width="27.5703125" customWidth="1"/>
    <col min="12" max="12" width="25.7109375" customWidth="1"/>
    <col min="13" max="13" width="3.140625" customWidth="1"/>
    <col min="14" max="14" width="27" bestFit="1" customWidth="1"/>
    <col min="15" max="15" width="20.7109375" customWidth="1"/>
    <col min="16" max="16" width="3.5703125" customWidth="1"/>
    <col min="17" max="18" width="20.7109375" customWidth="1"/>
  </cols>
  <sheetData>
    <row r="1" spans="1:15" ht="26.25" customHeight="1">
      <c r="A1" s="43" t="s">
        <v>42</v>
      </c>
      <c r="B1" s="51" t="s">
        <v>43</v>
      </c>
      <c r="C1" s="51" t="s">
        <v>191</v>
      </c>
      <c r="D1" s="51" t="s">
        <v>192</v>
      </c>
      <c r="E1" s="303" t="s">
        <v>193</v>
      </c>
      <c r="F1" s="52" t="s">
        <v>194</v>
      </c>
      <c r="H1" s="505" t="s">
        <v>626</v>
      </c>
      <c r="I1" s="505"/>
      <c r="K1" s="502" t="s">
        <v>663</v>
      </c>
      <c r="L1" s="502"/>
      <c r="N1" s="502" t="s">
        <v>803</v>
      </c>
      <c r="O1" s="502"/>
    </row>
    <row r="2" spans="1:15" ht="30.75">
      <c r="A2" s="266"/>
      <c r="B2" s="266" t="s">
        <v>490</v>
      </c>
      <c r="C2" s="269">
        <v>22</v>
      </c>
      <c r="D2" s="269" t="s">
        <v>410</v>
      </c>
      <c r="E2" s="58" t="s">
        <v>970</v>
      </c>
      <c r="F2" s="277" t="s">
        <v>209</v>
      </c>
      <c r="H2" s="288" t="s">
        <v>630</v>
      </c>
      <c r="I2" s="289" t="s">
        <v>48</v>
      </c>
      <c r="K2" s="290" t="s">
        <v>630</v>
      </c>
      <c r="L2" s="290" t="s">
        <v>48</v>
      </c>
      <c r="N2" s="290" t="s">
        <v>630</v>
      </c>
      <c r="O2" s="290" t="s">
        <v>48</v>
      </c>
    </row>
    <row r="3" spans="1:15" ht="30.75">
      <c r="A3" s="266"/>
      <c r="B3" s="50" t="s">
        <v>971</v>
      </c>
      <c r="C3" s="50">
        <v>22</v>
      </c>
      <c r="D3" s="50" t="s">
        <v>972</v>
      </c>
      <c r="E3" s="59" t="s">
        <v>973</v>
      </c>
      <c r="F3" s="277" t="s">
        <v>217</v>
      </c>
      <c r="H3" s="266" t="s">
        <v>974</v>
      </c>
      <c r="I3" s="266">
        <v>720</v>
      </c>
      <c r="J3" s="64"/>
      <c r="K3" s="266" t="s">
        <v>975</v>
      </c>
      <c r="L3" s="266">
        <v>870</v>
      </c>
      <c r="M3" s="64"/>
      <c r="N3" s="309" t="s">
        <v>976</v>
      </c>
      <c r="O3" s="309">
        <v>40</v>
      </c>
    </row>
    <row r="4" spans="1:15">
      <c r="A4" s="266"/>
      <c r="B4" s="266" t="s">
        <v>126</v>
      </c>
      <c r="C4" s="269">
        <v>22</v>
      </c>
      <c r="D4" s="49" t="s">
        <v>197</v>
      </c>
      <c r="E4" s="179" t="s">
        <v>977</v>
      </c>
      <c r="F4" s="277" t="s">
        <v>217</v>
      </c>
      <c r="H4" s="266" t="s">
        <v>587</v>
      </c>
      <c r="I4" s="266">
        <v>728</v>
      </c>
      <c r="J4" s="64"/>
      <c r="K4" s="266" t="s">
        <v>978</v>
      </c>
      <c r="L4" s="266">
        <v>26</v>
      </c>
      <c r="M4" s="64"/>
      <c r="N4" s="309" t="s">
        <v>979</v>
      </c>
      <c r="O4" s="309">
        <v>40</v>
      </c>
    </row>
    <row r="5" spans="1:15">
      <c r="A5" s="266"/>
      <c r="B5" s="266" t="s">
        <v>214</v>
      </c>
      <c r="C5" s="269">
        <v>641</v>
      </c>
      <c r="D5" s="269" t="s">
        <v>197</v>
      </c>
      <c r="E5" s="179" t="s">
        <v>980</v>
      </c>
      <c r="F5" s="277" t="s">
        <v>209</v>
      </c>
      <c r="H5" s="266" t="s">
        <v>868</v>
      </c>
      <c r="I5" s="266">
        <v>10</v>
      </c>
      <c r="J5" s="64"/>
      <c r="K5" s="266" t="s">
        <v>981</v>
      </c>
      <c r="L5" s="266">
        <v>24</v>
      </c>
      <c r="M5" s="64"/>
      <c r="N5" s="266" t="s">
        <v>982</v>
      </c>
      <c r="O5" s="266">
        <v>29</v>
      </c>
    </row>
    <row r="6" spans="1:15">
      <c r="A6" s="266"/>
      <c r="B6" s="266" t="s">
        <v>492</v>
      </c>
      <c r="C6" s="269">
        <v>641</v>
      </c>
      <c r="D6" s="269" t="s">
        <v>215</v>
      </c>
      <c r="E6" s="58" t="s">
        <v>983</v>
      </c>
      <c r="F6" s="277" t="s">
        <v>217</v>
      </c>
      <c r="H6" s="266" t="s">
        <v>984</v>
      </c>
      <c r="I6" s="266">
        <v>116</v>
      </c>
      <c r="J6" s="64"/>
      <c r="K6" s="266" t="s">
        <v>985</v>
      </c>
      <c r="L6" s="266">
        <v>22</v>
      </c>
      <c r="M6" s="64"/>
      <c r="N6" s="266" t="s">
        <v>986</v>
      </c>
      <c r="O6" s="266">
        <v>92</v>
      </c>
    </row>
    <row r="7" spans="1:15">
      <c r="A7" s="266"/>
      <c r="B7" s="49" t="s">
        <v>987</v>
      </c>
      <c r="C7" s="48">
        <v>17</v>
      </c>
      <c r="D7" s="49" t="s">
        <v>410</v>
      </c>
      <c r="E7" s="179" t="s">
        <v>988</v>
      </c>
      <c r="F7" s="277" t="s">
        <v>209</v>
      </c>
      <c r="H7" s="266" t="s">
        <v>877</v>
      </c>
      <c r="I7" s="266">
        <v>92</v>
      </c>
      <c r="J7" s="64"/>
      <c r="K7" s="266" t="s">
        <v>989</v>
      </c>
      <c r="L7" s="266">
        <v>4</v>
      </c>
      <c r="M7" s="64"/>
      <c r="N7" s="266" t="s">
        <v>990</v>
      </c>
      <c r="O7" s="266">
        <v>116</v>
      </c>
    </row>
    <row r="8" spans="1:15" ht="24" customHeight="1">
      <c r="A8" s="266"/>
      <c r="B8" s="50" t="s">
        <v>409</v>
      </c>
      <c r="C8" s="46">
        <v>17</v>
      </c>
      <c r="D8" s="50" t="s">
        <v>197</v>
      </c>
      <c r="E8" s="179" t="s">
        <v>991</v>
      </c>
      <c r="F8" s="277" t="s">
        <v>209</v>
      </c>
      <c r="H8" s="266" t="s">
        <v>874</v>
      </c>
      <c r="I8" s="266">
        <v>116</v>
      </c>
      <c r="J8" s="64"/>
      <c r="K8" s="266" t="s">
        <v>992</v>
      </c>
      <c r="L8" s="266">
        <v>4</v>
      </c>
      <c r="M8" s="64"/>
      <c r="N8" s="266" t="s">
        <v>993</v>
      </c>
      <c r="O8" s="266">
        <v>13</v>
      </c>
    </row>
    <row r="9" spans="1:15" ht="30.75" customHeight="1">
      <c r="A9" s="266"/>
      <c r="B9" s="266" t="s">
        <v>635</v>
      </c>
      <c r="C9" s="269">
        <v>282</v>
      </c>
      <c r="D9" s="269" t="s">
        <v>197</v>
      </c>
      <c r="E9" s="58" t="s">
        <v>994</v>
      </c>
      <c r="F9" s="278" t="s">
        <v>507</v>
      </c>
      <c r="H9" s="266" t="s">
        <v>871</v>
      </c>
      <c r="I9" s="266">
        <v>3004</v>
      </c>
      <c r="J9" s="64"/>
      <c r="K9" s="266" t="s">
        <v>995</v>
      </c>
      <c r="L9" s="266">
        <v>531</v>
      </c>
      <c r="M9" s="64"/>
      <c r="N9" s="266" t="s">
        <v>996</v>
      </c>
      <c r="O9" s="266">
        <v>8</v>
      </c>
    </row>
    <row r="10" spans="1:15" ht="30.75" customHeight="1">
      <c r="A10" s="266"/>
      <c r="B10" s="284" t="s">
        <v>997</v>
      </c>
      <c r="C10" s="333">
        <v>19</v>
      </c>
      <c r="D10" s="334" t="s">
        <v>197</v>
      </c>
      <c r="E10" s="58" t="s">
        <v>998</v>
      </c>
      <c r="F10" s="278" t="s">
        <v>507</v>
      </c>
      <c r="H10" s="266" t="s">
        <v>878</v>
      </c>
      <c r="I10" s="266">
        <v>31</v>
      </c>
      <c r="J10" s="64"/>
      <c r="K10" s="266"/>
      <c r="L10" s="266"/>
      <c r="M10" s="64"/>
      <c r="N10" s="266" t="s">
        <v>984</v>
      </c>
      <c r="O10" s="266">
        <v>116</v>
      </c>
    </row>
    <row r="11" spans="1:15" ht="30.75">
      <c r="A11" s="330"/>
      <c r="B11" s="266" t="s">
        <v>187</v>
      </c>
      <c r="C11" s="270">
        <v>531</v>
      </c>
      <c r="D11" s="269" t="s">
        <v>197</v>
      </c>
      <c r="E11" s="58" t="s">
        <v>999</v>
      </c>
      <c r="F11" s="278" t="s">
        <v>507</v>
      </c>
      <c r="H11" s="266" t="s">
        <v>866</v>
      </c>
      <c r="I11" s="266">
        <v>116</v>
      </c>
      <c r="J11" s="64"/>
      <c r="K11" s="266"/>
      <c r="L11" s="266"/>
      <c r="M11" s="64"/>
      <c r="N11" s="266" t="s">
        <v>1000</v>
      </c>
      <c r="O11" s="266">
        <v>641</v>
      </c>
    </row>
    <row r="12" spans="1:15" ht="30.75">
      <c r="A12" s="330"/>
      <c r="B12" s="266" t="s">
        <v>997</v>
      </c>
      <c r="C12" s="269">
        <v>19</v>
      </c>
      <c r="D12" s="269" t="s">
        <v>197</v>
      </c>
      <c r="E12" s="58" t="s">
        <v>1001</v>
      </c>
      <c r="F12" s="278" t="s">
        <v>507</v>
      </c>
      <c r="H12" s="266" t="s">
        <v>707</v>
      </c>
      <c r="I12" s="266">
        <v>3</v>
      </c>
      <c r="J12" s="64"/>
      <c r="K12" s="266"/>
      <c r="L12" s="266"/>
      <c r="M12" s="64"/>
      <c r="N12" s="266" t="s">
        <v>1002</v>
      </c>
      <c r="O12" s="266">
        <v>3040</v>
      </c>
    </row>
    <row r="13" spans="1:15" ht="30.75">
      <c r="A13" s="330"/>
      <c r="B13" s="266" t="s">
        <v>295</v>
      </c>
      <c r="C13" s="269">
        <v>18</v>
      </c>
      <c r="D13" s="269" t="s">
        <v>523</v>
      </c>
      <c r="E13" s="58" t="s">
        <v>1003</v>
      </c>
      <c r="F13" s="278" t="s">
        <v>507</v>
      </c>
      <c r="H13" s="266" t="s">
        <v>1004</v>
      </c>
      <c r="I13" s="266">
        <v>20</v>
      </c>
      <c r="J13" s="64"/>
      <c r="K13" s="266"/>
      <c r="L13" s="266"/>
      <c r="M13" s="64"/>
      <c r="N13" s="266" t="s">
        <v>1005</v>
      </c>
      <c r="O13" s="266">
        <v>3040</v>
      </c>
    </row>
    <row r="14" spans="1:15" ht="30.75">
      <c r="A14" s="330"/>
      <c r="B14" s="266" t="s">
        <v>1006</v>
      </c>
      <c r="C14" s="269">
        <v>19</v>
      </c>
      <c r="D14" s="269" t="s">
        <v>219</v>
      </c>
      <c r="E14" s="58" t="s">
        <v>1007</v>
      </c>
      <c r="F14" s="278" t="s">
        <v>507</v>
      </c>
      <c r="H14" s="266" t="s">
        <v>1008</v>
      </c>
      <c r="I14" s="266">
        <v>24</v>
      </c>
      <c r="J14" s="64"/>
      <c r="K14" s="266"/>
      <c r="L14" s="266"/>
      <c r="M14" s="64"/>
      <c r="N14" s="266" t="s">
        <v>1009</v>
      </c>
      <c r="O14" s="266">
        <v>3040</v>
      </c>
    </row>
    <row r="15" spans="1:15" ht="30.75">
      <c r="A15" s="330"/>
      <c r="B15" s="266" t="s">
        <v>1010</v>
      </c>
      <c r="C15" s="269">
        <v>19</v>
      </c>
      <c r="D15" s="269" t="s">
        <v>505</v>
      </c>
      <c r="E15" s="58" t="s">
        <v>1011</v>
      </c>
      <c r="F15" s="278" t="s">
        <v>507</v>
      </c>
      <c r="H15" s="266" t="s">
        <v>1012</v>
      </c>
      <c r="I15" s="266">
        <v>11</v>
      </c>
      <c r="J15" s="64"/>
      <c r="K15" s="266"/>
      <c r="L15" s="266"/>
      <c r="M15" s="64"/>
      <c r="N15" s="266" t="s">
        <v>1013</v>
      </c>
      <c r="O15" s="266">
        <v>641</v>
      </c>
    </row>
    <row r="16" spans="1:15">
      <c r="A16" s="330"/>
      <c r="B16" s="329" t="s">
        <v>224</v>
      </c>
      <c r="C16" s="329">
        <v>11</v>
      </c>
      <c r="D16" s="266"/>
      <c r="E16" s="332" t="s">
        <v>1014</v>
      </c>
      <c r="F16" s="279" t="s">
        <v>223</v>
      </c>
      <c r="H16" s="266" t="s">
        <v>1015</v>
      </c>
      <c r="I16" s="266">
        <v>23</v>
      </c>
      <c r="J16" s="64"/>
      <c r="K16" s="266"/>
      <c r="L16" s="266"/>
      <c r="M16" s="64"/>
      <c r="N16" s="266"/>
      <c r="O16" s="266"/>
    </row>
    <row r="17" spans="1:15">
      <c r="A17" s="330"/>
      <c r="B17" s="329" t="s">
        <v>224</v>
      </c>
      <c r="C17" s="266">
        <v>11</v>
      </c>
      <c r="D17" s="266"/>
      <c r="E17" s="331" t="s">
        <v>1016</v>
      </c>
      <c r="F17" s="279" t="s">
        <v>223</v>
      </c>
      <c r="H17" s="266" t="s">
        <v>1017</v>
      </c>
      <c r="I17" s="266">
        <v>26</v>
      </c>
      <c r="J17" s="64"/>
      <c r="K17" s="266"/>
      <c r="L17" s="266"/>
      <c r="M17" s="64"/>
      <c r="N17" s="266"/>
      <c r="O17" s="266"/>
    </row>
    <row r="18" spans="1:15" ht="30.75">
      <c r="A18" s="330"/>
      <c r="B18" s="329" t="s">
        <v>224</v>
      </c>
      <c r="C18" s="266">
        <v>11</v>
      </c>
      <c r="D18" s="266"/>
      <c r="E18" s="331" t="s">
        <v>1018</v>
      </c>
      <c r="F18" s="279" t="s">
        <v>223</v>
      </c>
      <c r="H18" s="266" t="s">
        <v>126</v>
      </c>
      <c r="I18" s="266">
        <v>22</v>
      </c>
      <c r="J18" s="64"/>
      <c r="K18" s="266"/>
      <c r="L18" s="266"/>
      <c r="M18" s="64"/>
      <c r="N18" s="266"/>
      <c r="O18" s="266"/>
    </row>
    <row r="19" spans="1:15">
      <c r="A19" s="330"/>
      <c r="B19" s="266" t="s">
        <v>395</v>
      </c>
      <c r="C19" s="266">
        <v>14</v>
      </c>
      <c r="D19" s="266"/>
      <c r="E19" s="331" t="s">
        <v>1019</v>
      </c>
      <c r="F19" s="279" t="s">
        <v>223</v>
      </c>
      <c r="H19" s="266" t="s">
        <v>416</v>
      </c>
      <c r="I19" s="266">
        <v>22</v>
      </c>
      <c r="J19" s="64"/>
      <c r="K19" s="266"/>
      <c r="L19" s="266"/>
      <c r="M19" s="64"/>
      <c r="N19" s="266"/>
      <c r="O19" s="266"/>
    </row>
    <row r="20" spans="1:15">
      <c r="A20" s="330"/>
      <c r="B20" s="266" t="s">
        <v>1020</v>
      </c>
      <c r="C20" s="266">
        <v>20</v>
      </c>
      <c r="D20" s="266"/>
      <c r="E20" s="331" t="s">
        <v>1021</v>
      </c>
      <c r="F20" s="279" t="s">
        <v>223</v>
      </c>
      <c r="H20" s="266" t="s">
        <v>798</v>
      </c>
      <c r="I20" s="266">
        <v>1</v>
      </c>
      <c r="J20" s="64"/>
      <c r="K20" s="266"/>
      <c r="L20" s="266"/>
      <c r="M20" s="64"/>
      <c r="N20" s="266"/>
      <c r="O20" s="266"/>
    </row>
    <row r="21" spans="1:15" ht="45.75">
      <c r="A21" s="330"/>
      <c r="B21" s="266" t="s">
        <v>1022</v>
      </c>
      <c r="C21" s="266">
        <v>3</v>
      </c>
      <c r="D21" s="266"/>
      <c r="E21" s="331" t="s">
        <v>1023</v>
      </c>
      <c r="F21" s="279" t="s">
        <v>223</v>
      </c>
      <c r="H21" s="266" t="s">
        <v>772</v>
      </c>
      <c r="I21" s="266">
        <v>4</v>
      </c>
      <c r="J21" s="64"/>
      <c r="K21" s="266"/>
      <c r="L21" s="266"/>
      <c r="M21" s="64"/>
      <c r="N21" s="266"/>
      <c r="O21" s="266"/>
    </row>
    <row r="22" spans="1:15" ht="30.75">
      <c r="A22" s="266"/>
      <c r="B22" s="335" t="s">
        <v>1024</v>
      </c>
      <c r="C22" s="335">
        <v>21</v>
      </c>
      <c r="D22" s="335"/>
      <c r="E22" s="58" t="s">
        <v>1025</v>
      </c>
      <c r="F22" s="279" t="s">
        <v>223</v>
      </c>
      <c r="H22" s="284" t="s">
        <v>930</v>
      </c>
      <c r="I22" s="284">
        <v>999</v>
      </c>
      <c r="J22" s="64"/>
      <c r="K22" s="266"/>
      <c r="L22" s="266"/>
      <c r="M22" s="64"/>
      <c r="N22" s="266"/>
      <c r="O22" s="266"/>
    </row>
    <row r="23" spans="1:15">
      <c r="A23" s="272"/>
      <c r="B23" s="273"/>
      <c r="C23" s="273"/>
      <c r="D23" s="273"/>
      <c r="E23" s="274"/>
      <c r="F23" s="273"/>
      <c r="H23" s="266" t="s">
        <v>1026</v>
      </c>
      <c r="I23" s="266">
        <v>2</v>
      </c>
      <c r="J23" s="64"/>
      <c r="K23" s="266"/>
      <c r="L23" s="266"/>
      <c r="M23" s="64"/>
      <c r="N23" s="266"/>
      <c r="O23" s="266"/>
    </row>
    <row r="24" spans="1:15" ht="30.75">
      <c r="A24" s="266"/>
      <c r="B24" s="266" t="s">
        <v>316</v>
      </c>
      <c r="C24" s="266">
        <v>599</v>
      </c>
      <c r="D24" s="266" t="s">
        <v>197</v>
      </c>
      <c r="E24" s="58" t="s">
        <v>1027</v>
      </c>
      <c r="F24" s="280" t="s">
        <v>501</v>
      </c>
      <c r="H24" s="284" t="s">
        <v>959</v>
      </c>
      <c r="I24" s="284">
        <v>2</v>
      </c>
    </row>
    <row r="25" spans="1:15" ht="30.75">
      <c r="A25" s="266"/>
      <c r="B25" s="50" t="s">
        <v>243</v>
      </c>
      <c r="C25" s="50">
        <v>720</v>
      </c>
      <c r="D25" s="50" t="s">
        <v>244</v>
      </c>
      <c r="E25" s="59" t="s">
        <v>1028</v>
      </c>
      <c r="F25" s="280" t="s">
        <v>501</v>
      </c>
      <c r="H25" s="266" t="s">
        <v>1029</v>
      </c>
      <c r="I25" s="266">
        <v>999</v>
      </c>
    </row>
    <row r="26" spans="1:15">
      <c r="A26" s="266"/>
      <c r="B26" s="50" t="s">
        <v>1030</v>
      </c>
      <c r="C26" s="50">
        <v>975</v>
      </c>
      <c r="D26" s="50" t="s">
        <v>197</v>
      </c>
      <c r="E26" s="59" t="s">
        <v>1031</v>
      </c>
      <c r="F26" s="275" t="s">
        <v>501</v>
      </c>
      <c r="H26" s="266" t="s">
        <v>1032</v>
      </c>
      <c r="I26" s="266">
        <v>448</v>
      </c>
    </row>
    <row r="27" spans="1:15">
      <c r="A27" s="266"/>
      <c r="B27" s="50" t="s">
        <v>966</v>
      </c>
      <c r="C27" s="50">
        <v>280</v>
      </c>
      <c r="D27" s="50" t="s">
        <v>197</v>
      </c>
      <c r="E27" s="59" t="s">
        <v>1031</v>
      </c>
      <c r="F27" s="275" t="s">
        <v>501</v>
      </c>
      <c r="H27" s="266"/>
      <c r="I27" s="266"/>
    </row>
    <row r="28" spans="1:15">
      <c r="A28" s="266"/>
      <c r="B28" s="50" t="s">
        <v>1033</v>
      </c>
      <c r="C28" s="50">
        <v>975</v>
      </c>
      <c r="D28" s="50" t="s">
        <v>410</v>
      </c>
      <c r="E28" s="59" t="s">
        <v>1034</v>
      </c>
      <c r="F28" s="275" t="s">
        <v>501</v>
      </c>
      <c r="H28" s="266"/>
      <c r="I28" s="266"/>
    </row>
    <row r="29" spans="1:15">
      <c r="A29" s="266"/>
      <c r="B29" s="50" t="s">
        <v>316</v>
      </c>
      <c r="C29" s="50">
        <v>599</v>
      </c>
      <c r="D29" s="50" t="s">
        <v>197</v>
      </c>
      <c r="E29" s="59" t="s">
        <v>1035</v>
      </c>
      <c r="F29" s="275" t="s">
        <v>501</v>
      </c>
      <c r="H29" s="266"/>
      <c r="I29" s="266"/>
    </row>
    <row r="30" spans="1:15">
      <c r="A30" s="266"/>
      <c r="B30" s="50" t="s">
        <v>1036</v>
      </c>
      <c r="C30" s="50">
        <v>830</v>
      </c>
      <c r="D30" s="50" t="s">
        <v>244</v>
      </c>
      <c r="E30" s="59" t="s">
        <v>1037</v>
      </c>
      <c r="F30" s="275" t="s">
        <v>501</v>
      </c>
      <c r="H30" s="266"/>
      <c r="I30" s="266"/>
    </row>
    <row r="31" spans="1:15">
      <c r="A31" s="266"/>
      <c r="B31" s="50" t="s">
        <v>557</v>
      </c>
      <c r="C31" s="50">
        <v>847</v>
      </c>
      <c r="D31" s="50"/>
      <c r="E31" s="59" t="s">
        <v>1038</v>
      </c>
      <c r="F31" s="281" t="s">
        <v>359</v>
      </c>
    </row>
    <row r="32" spans="1:15" ht="30.75">
      <c r="A32" s="266"/>
      <c r="B32" s="50" t="s">
        <v>161</v>
      </c>
      <c r="C32" s="50">
        <v>865</v>
      </c>
      <c r="D32" s="50"/>
      <c r="E32" s="59" t="s">
        <v>1039</v>
      </c>
      <c r="F32" s="281" t="s">
        <v>359</v>
      </c>
    </row>
    <row r="33" spans="1:6" ht="30.75">
      <c r="A33" s="266"/>
      <c r="B33" s="50" t="s">
        <v>161</v>
      </c>
      <c r="C33" s="266">
        <v>865</v>
      </c>
      <c r="D33" s="266"/>
      <c r="E33" s="58" t="s">
        <v>1040</v>
      </c>
      <c r="F33" s="281" t="s">
        <v>359</v>
      </c>
    </row>
    <row r="34" spans="1:6" ht="30.75">
      <c r="A34" s="266"/>
      <c r="B34" s="266" t="s">
        <v>557</v>
      </c>
      <c r="C34" s="266">
        <v>847</v>
      </c>
      <c r="D34" s="266"/>
      <c r="E34" s="58" t="s">
        <v>1041</v>
      </c>
      <c r="F34" s="281" t="s">
        <v>359</v>
      </c>
    </row>
    <row r="35" spans="1:6" ht="30.75">
      <c r="A35" s="266"/>
      <c r="B35" s="328" t="s">
        <v>794</v>
      </c>
      <c r="C35" s="266">
        <v>919</v>
      </c>
      <c r="D35" s="266"/>
      <c r="E35" s="58" t="s">
        <v>1042</v>
      </c>
      <c r="F35" s="281" t="s">
        <v>359</v>
      </c>
    </row>
    <row r="36" spans="1:6" ht="30.75">
      <c r="A36" s="266"/>
      <c r="B36" s="240" t="s">
        <v>1043</v>
      </c>
      <c r="C36" s="266">
        <v>46</v>
      </c>
      <c r="D36" s="266"/>
      <c r="E36" s="58" t="s">
        <v>1044</v>
      </c>
      <c r="F36" s="281" t="s">
        <v>359</v>
      </c>
    </row>
    <row r="37" spans="1:6" ht="30.75">
      <c r="A37" s="266"/>
      <c r="B37" s="50" t="s">
        <v>883</v>
      </c>
      <c r="C37" s="50">
        <v>46</v>
      </c>
      <c r="D37" s="50"/>
      <c r="E37" s="59" t="s">
        <v>1045</v>
      </c>
      <c r="F37" s="281" t="s">
        <v>359</v>
      </c>
    </row>
    <row r="38" spans="1:6">
      <c r="A38" s="266"/>
      <c r="B38" s="50" t="s">
        <v>282</v>
      </c>
      <c r="C38" s="50">
        <v>865</v>
      </c>
      <c r="D38" s="50"/>
      <c r="E38" s="59" t="s">
        <v>1046</v>
      </c>
      <c r="F38" s="282" t="s">
        <v>359</v>
      </c>
    </row>
    <row r="39" spans="1:6">
      <c r="A39" s="266"/>
      <c r="B39" s="50" t="s">
        <v>689</v>
      </c>
      <c r="C39" s="50">
        <v>283</v>
      </c>
      <c r="D39" s="50"/>
      <c r="E39" s="59" t="s">
        <v>1047</v>
      </c>
      <c r="F39" s="282" t="s">
        <v>359</v>
      </c>
    </row>
    <row r="40" spans="1:6" ht="30.75">
      <c r="A40" s="266"/>
      <c r="B40" s="50" t="s">
        <v>557</v>
      </c>
      <c r="C40" s="50">
        <v>847</v>
      </c>
      <c r="D40" s="50"/>
      <c r="E40" s="59" t="s">
        <v>1048</v>
      </c>
      <c r="F40" s="282" t="s">
        <v>359</v>
      </c>
    </row>
    <row r="41" spans="1:6">
      <c r="A41" s="266"/>
      <c r="B41" s="50" t="s">
        <v>557</v>
      </c>
      <c r="C41" s="50">
        <v>847</v>
      </c>
      <c r="D41" s="50"/>
      <c r="E41" s="59" t="s">
        <v>1049</v>
      </c>
      <c r="F41" s="282" t="s">
        <v>359</v>
      </c>
    </row>
    <row r="42" spans="1:6">
      <c r="A42" s="266"/>
      <c r="B42" s="50" t="s">
        <v>557</v>
      </c>
      <c r="C42" s="50">
        <v>847</v>
      </c>
      <c r="D42" s="50"/>
      <c r="E42" s="59" t="s">
        <v>1050</v>
      </c>
      <c r="F42" s="282" t="s">
        <v>359</v>
      </c>
    </row>
    <row r="43" spans="1:6">
      <c r="A43" s="266"/>
      <c r="B43" s="50" t="s">
        <v>425</v>
      </c>
      <c r="C43" s="50">
        <v>919</v>
      </c>
      <c r="D43" s="50" t="s">
        <v>215</v>
      </c>
      <c r="E43" s="59" t="s">
        <v>1051</v>
      </c>
      <c r="F43" s="275" t="s">
        <v>359</v>
      </c>
    </row>
    <row r="44" spans="1:6">
      <c r="A44" s="266"/>
      <c r="B44" s="50" t="s">
        <v>1052</v>
      </c>
      <c r="C44" s="50">
        <v>919</v>
      </c>
      <c r="D44" s="50" t="s">
        <v>215</v>
      </c>
      <c r="E44" s="59" t="s">
        <v>1051</v>
      </c>
      <c r="F44" s="275" t="s">
        <v>359</v>
      </c>
    </row>
    <row r="45" spans="1:6">
      <c r="A45" s="272"/>
      <c r="B45" s="273"/>
      <c r="C45" s="273"/>
      <c r="D45" s="273"/>
      <c r="E45" s="274"/>
      <c r="F45" s="273"/>
    </row>
    <row r="46" spans="1:6">
      <c r="A46" s="266"/>
      <c r="B46" s="50" t="s">
        <v>200</v>
      </c>
      <c r="C46" s="50">
        <v>999</v>
      </c>
      <c r="D46" s="50" t="s">
        <v>197</v>
      </c>
      <c r="E46" s="59" t="s">
        <v>1053</v>
      </c>
      <c r="F46" s="265" t="s">
        <v>202</v>
      </c>
    </row>
    <row r="47" spans="1:6">
      <c r="A47" s="266"/>
      <c r="B47" s="266" t="s">
        <v>1054</v>
      </c>
      <c r="C47" s="269">
        <v>4</v>
      </c>
      <c r="D47" s="266" t="s">
        <v>353</v>
      </c>
      <c r="E47" s="58" t="s">
        <v>1055</v>
      </c>
      <c r="F47" s="265" t="s">
        <v>202</v>
      </c>
    </row>
    <row r="48" spans="1:6" ht="30.75">
      <c r="A48" s="266"/>
      <c r="B48" s="266" t="s">
        <v>612</v>
      </c>
      <c r="C48" s="269">
        <v>606</v>
      </c>
      <c r="D48" s="266" t="s">
        <v>215</v>
      </c>
      <c r="E48" s="58" t="s">
        <v>1056</v>
      </c>
      <c r="F48" s="265" t="s">
        <v>202</v>
      </c>
    </row>
    <row r="49" spans="1:15" ht="31.5">
      <c r="A49" s="266"/>
      <c r="B49" s="266" t="s">
        <v>254</v>
      </c>
      <c r="C49" s="269">
        <v>2</v>
      </c>
      <c r="D49" s="266" t="s">
        <v>197</v>
      </c>
      <c r="E49" s="58" t="s">
        <v>1057</v>
      </c>
      <c r="F49" s="265" t="s">
        <v>202</v>
      </c>
      <c r="H49" s="503" t="s">
        <v>724</v>
      </c>
      <c r="I49" s="503"/>
      <c r="J49" s="503"/>
      <c r="K49" s="503"/>
      <c r="L49" s="503"/>
      <c r="M49" s="503"/>
      <c r="N49" s="503"/>
      <c r="O49" s="503"/>
    </row>
    <row r="50" spans="1:15" ht="30.75">
      <c r="A50" s="266"/>
      <c r="B50" s="266" t="s">
        <v>607</v>
      </c>
      <c r="C50" s="266">
        <v>4</v>
      </c>
      <c r="D50" s="266" t="s">
        <v>197</v>
      </c>
      <c r="E50" s="58" t="s">
        <v>1058</v>
      </c>
      <c r="F50" s="265" t="s">
        <v>202</v>
      </c>
    </row>
    <row r="51" spans="1:15">
      <c r="A51" s="266"/>
      <c r="B51" s="266" t="s">
        <v>305</v>
      </c>
      <c r="C51" s="269">
        <v>6</v>
      </c>
      <c r="D51" s="266" t="s">
        <v>353</v>
      </c>
      <c r="E51" s="58" t="s">
        <v>1059</v>
      </c>
      <c r="F51" s="265" t="s">
        <v>202</v>
      </c>
    </row>
    <row r="52" spans="1:15">
      <c r="A52" s="266"/>
      <c r="B52" s="266" t="s">
        <v>254</v>
      </c>
      <c r="C52" s="269">
        <v>2</v>
      </c>
      <c r="D52" s="266" t="s">
        <v>197</v>
      </c>
      <c r="E52" s="58" t="s">
        <v>1060</v>
      </c>
      <c r="F52" s="265" t="s">
        <v>202</v>
      </c>
    </row>
    <row r="53" spans="1:15">
      <c r="A53" s="266"/>
      <c r="B53" s="50" t="s">
        <v>200</v>
      </c>
      <c r="C53" s="50">
        <v>999</v>
      </c>
      <c r="D53" s="50" t="s">
        <v>197</v>
      </c>
      <c r="E53" s="59" t="s">
        <v>1061</v>
      </c>
      <c r="F53" s="50" t="s">
        <v>202</v>
      </c>
    </row>
    <row r="54" spans="1:15">
      <c r="A54" s="266"/>
      <c r="B54" s="50" t="s">
        <v>930</v>
      </c>
      <c r="C54" s="50">
        <v>999</v>
      </c>
      <c r="D54" s="50" t="s">
        <v>215</v>
      </c>
      <c r="E54" s="59" t="s">
        <v>1062</v>
      </c>
      <c r="F54" s="50" t="s">
        <v>202</v>
      </c>
    </row>
    <row r="55" spans="1:15" ht="30.75" customHeight="1">
      <c r="A55" s="266"/>
      <c r="B55" s="50" t="s">
        <v>405</v>
      </c>
      <c r="C55" s="50">
        <v>92</v>
      </c>
      <c r="D55" s="50" t="s">
        <v>197</v>
      </c>
      <c r="E55" s="59" t="s">
        <v>1063</v>
      </c>
      <c r="F55" s="283" t="s">
        <v>617</v>
      </c>
      <c r="H55" s="505" t="s">
        <v>728</v>
      </c>
      <c r="I55" s="505"/>
      <c r="K55" s="501" t="s">
        <v>901</v>
      </c>
      <c r="L55" s="501"/>
      <c r="N55" s="505" t="s">
        <v>729</v>
      </c>
      <c r="O55" s="505"/>
    </row>
    <row r="56" spans="1:15" ht="23.25">
      <c r="A56" s="266"/>
      <c r="B56" s="50" t="s">
        <v>1064</v>
      </c>
      <c r="C56" s="50">
        <v>3004</v>
      </c>
      <c r="D56" s="50" t="s">
        <v>197</v>
      </c>
      <c r="E56" s="59" t="s">
        <v>1065</v>
      </c>
      <c r="F56" s="283" t="s">
        <v>617</v>
      </c>
      <c r="H56" s="288" t="s">
        <v>48</v>
      </c>
      <c r="I56" s="289" t="s">
        <v>732</v>
      </c>
      <c r="K56" s="336" t="s">
        <v>630</v>
      </c>
      <c r="L56" s="336" t="s">
        <v>732</v>
      </c>
      <c r="N56" s="288" t="s">
        <v>630</v>
      </c>
      <c r="O56" s="289" t="s">
        <v>48</v>
      </c>
    </row>
    <row r="57" spans="1:15" ht="21">
      <c r="A57" s="266"/>
      <c r="B57" s="266" t="s">
        <v>287</v>
      </c>
      <c r="C57" s="266">
        <v>31</v>
      </c>
      <c r="D57" s="266" t="s">
        <v>197</v>
      </c>
      <c r="E57" s="58" t="s">
        <v>1066</v>
      </c>
      <c r="F57" s="283" t="s">
        <v>617</v>
      </c>
      <c r="H57" s="318" t="s">
        <v>1067</v>
      </c>
      <c r="I57" s="317">
        <v>3914</v>
      </c>
      <c r="K57" s="337" t="s">
        <v>1068</v>
      </c>
      <c r="L57" s="317">
        <v>4186.5</v>
      </c>
      <c r="N57" s="266" t="s">
        <v>316</v>
      </c>
      <c r="O57" s="291">
        <v>599</v>
      </c>
    </row>
    <row r="58" spans="1:15" ht="30.75">
      <c r="A58" s="266"/>
      <c r="B58" s="266" t="s">
        <v>1069</v>
      </c>
      <c r="C58" s="269">
        <v>13</v>
      </c>
      <c r="D58" s="49" t="s">
        <v>197</v>
      </c>
      <c r="E58" s="58" t="s">
        <v>1070</v>
      </c>
      <c r="F58" s="283" t="s">
        <v>617</v>
      </c>
      <c r="H58" s="318" t="s">
        <v>1071</v>
      </c>
      <c r="I58" s="317">
        <v>3774</v>
      </c>
      <c r="K58" s="338" t="s">
        <v>1072</v>
      </c>
      <c r="L58" s="317">
        <v>4045</v>
      </c>
      <c r="N58" s="266" t="s">
        <v>635</v>
      </c>
      <c r="O58" s="291">
        <v>282</v>
      </c>
    </row>
    <row r="59" spans="1:15" ht="21">
      <c r="A59" s="266"/>
      <c r="B59" s="266" t="s">
        <v>695</v>
      </c>
      <c r="C59" s="269">
        <v>3004</v>
      </c>
      <c r="D59" s="50" t="s">
        <v>244</v>
      </c>
      <c r="E59" s="58" t="s">
        <v>1073</v>
      </c>
      <c r="F59" s="283" t="s">
        <v>617</v>
      </c>
      <c r="H59" s="318" t="s">
        <v>920</v>
      </c>
      <c r="I59" s="317">
        <v>3547</v>
      </c>
      <c r="K59" s="337"/>
      <c r="L59" s="339"/>
      <c r="N59" s="266" t="s">
        <v>200</v>
      </c>
      <c r="O59" s="291">
        <v>999</v>
      </c>
    </row>
    <row r="60" spans="1:15" ht="21">
      <c r="A60" s="266"/>
      <c r="B60" s="49" t="s">
        <v>762</v>
      </c>
      <c r="C60" s="48">
        <v>13</v>
      </c>
      <c r="D60" s="49" t="s">
        <v>215</v>
      </c>
      <c r="E60" s="179" t="s">
        <v>1074</v>
      </c>
      <c r="F60" s="283" t="s">
        <v>617</v>
      </c>
      <c r="H60" s="318" t="s">
        <v>738</v>
      </c>
      <c r="I60" s="317">
        <v>3437</v>
      </c>
      <c r="K60" s="337"/>
      <c r="L60" s="339"/>
      <c r="N60" s="266" t="s">
        <v>1075</v>
      </c>
      <c r="O60" s="291">
        <v>448</v>
      </c>
    </row>
    <row r="61" spans="1:15" ht="21">
      <c r="A61" s="266"/>
      <c r="B61" s="50" t="s">
        <v>695</v>
      </c>
      <c r="C61" s="46">
        <v>3004</v>
      </c>
      <c r="D61" s="50" t="s">
        <v>244</v>
      </c>
      <c r="E61" s="59" t="s">
        <v>1076</v>
      </c>
      <c r="F61" s="283" t="s">
        <v>617</v>
      </c>
      <c r="H61" s="318" t="s">
        <v>1077</v>
      </c>
      <c r="I61" s="317">
        <v>3205.5</v>
      </c>
      <c r="K61" s="337"/>
      <c r="L61" s="339"/>
      <c r="N61" s="266" t="s">
        <v>187</v>
      </c>
      <c r="O61" s="291">
        <v>531</v>
      </c>
    </row>
    <row r="62" spans="1:15" ht="21">
      <c r="A62" s="276"/>
      <c r="B62" s="296"/>
      <c r="C62" s="254"/>
      <c r="D62" s="265"/>
      <c r="E62" s="305"/>
      <c r="F62" s="265"/>
      <c r="H62" s="318" t="s">
        <v>1078</v>
      </c>
      <c r="I62" s="317">
        <v>3187</v>
      </c>
      <c r="K62" s="337"/>
      <c r="L62" s="339"/>
      <c r="N62" s="284" t="s">
        <v>689</v>
      </c>
      <c r="O62" s="292">
        <v>283</v>
      </c>
    </row>
    <row r="63" spans="1:15" ht="23.25">
      <c r="A63" s="266"/>
      <c r="B63" s="49"/>
      <c r="C63" s="48"/>
      <c r="D63" s="49"/>
      <c r="E63" s="179"/>
      <c r="F63" s="49" t="s">
        <v>217</v>
      </c>
      <c r="H63" s="318" t="s">
        <v>912</v>
      </c>
      <c r="I63" s="317">
        <v>3122.5</v>
      </c>
      <c r="K63" s="501" t="s">
        <v>743</v>
      </c>
      <c r="L63" s="501"/>
      <c r="N63" s="266" t="s">
        <v>557</v>
      </c>
      <c r="O63" s="291">
        <v>847</v>
      </c>
    </row>
    <row r="64" spans="1:15" ht="23.25">
      <c r="A64" s="266"/>
      <c r="B64" s="49"/>
      <c r="C64" s="48"/>
      <c r="D64" s="49"/>
      <c r="E64" s="179"/>
      <c r="F64" s="49" t="s">
        <v>217</v>
      </c>
      <c r="H64" s="318" t="s">
        <v>1079</v>
      </c>
      <c r="I64" s="317">
        <v>3088.5</v>
      </c>
      <c r="K64" s="336" t="s">
        <v>630</v>
      </c>
      <c r="L64" s="336" t="s">
        <v>732</v>
      </c>
      <c r="N64" s="266"/>
      <c r="O64" s="291"/>
    </row>
    <row r="65" spans="1:15" ht="21">
      <c r="A65" s="266"/>
      <c r="B65" s="49"/>
      <c r="C65" s="48"/>
      <c r="D65" s="49"/>
      <c r="E65" s="179"/>
      <c r="F65" s="49" t="s">
        <v>217</v>
      </c>
      <c r="H65" s="318" t="s">
        <v>1080</v>
      </c>
      <c r="I65" s="317">
        <v>3030</v>
      </c>
      <c r="K65" s="73" t="s">
        <v>925</v>
      </c>
      <c r="L65" s="317">
        <v>6906</v>
      </c>
      <c r="N65" s="266"/>
      <c r="O65" s="291"/>
    </row>
    <row r="66" spans="1:15" ht="21">
      <c r="A66" s="266"/>
      <c r="B66" s="50"/>
      <c r="C66" s="50"/>
      <c r="D66" s="50"/>
      <c r="E66" s="179"/>
      <c r="F66" s="49" t="s">
        <v>217</v>
      </c>
      <c r="H66" s="318" t="s">
        <v>1081</v>
      </c>
      <c r="I66" s="317">
        <v>2635</v>
      </c>
      <c r="K66" s="340" t="s">
        <v>736</v>
      </c>
      <c r="L66" s="317">
        <v>6906</v>
      </c>
      <c r="N66" s="266"/>
      <c r="O66" s="291"/>
    </row>
    <row r="67" spans="1:15" ht="21">
      <c r="A67" s="266"/>
      <c r="B67" s="49"/>
      <c r="C67" s="48"/>
      <c r="D67" s="49"/>
      <c r="E67" s="179"/>
      <c r="F67" s="49" t="s">
        <v>217</v>
      </c>
      <c r="H67" s="318" t="s">
        <v>1082</v>
      </c>
      <c r="I67" s="317">
        <v>2444.5</v>
      </c>
      <c r="K67" s="73"/>
      <c r="L67" s="316"/>
      <c r="N67" s="266"/>
      <c r="O67" s="291"/>
    </row>
    <row r="68" spans="1:15" ht="21">
      <c r="A68" s="266"/>
      <c r="B68" s="50"/>
      <c r="C68" s="46"/>
      <c r="D68" s="50"/>
      <c r="E68" s="59"/>
      <c r="F68" s="50" t="s">
        <v>637</v>
      </c>
      <c r="H68" s="318" t="s">
        <v>1083</v>
      </c>
      <c r="I68" s="317">
        <v>2409.5</v>
      </c>
      <c r="K68" s="73"/>
      <c r="L68" s="316"/>
      <c r="N68" s="266"/>
      <c r="O68" s="291"/>
    </row>
    <row r="69" spans="1:15" ht="21">
      <c r="A69" s="266"/>
      <c r="B69" s="49"/>
      <c r="C69" s="48"/>
      <c r="D69" s="49"/>
      <c r="E69" s="179"/>
      <c r="F69" s="50" t="s">
        <v>637</v>
      </c>
      <c r="H69" s="318">
        <v>280</v>
      </c>
      <c r="I69" s="317">
        <v>2378</v>
      </c>
      <c r="K69" s="73"/>
      <c r="L69" s="316"/>
      <c r="N69" s="266"/>
      <c r="O69" s="291"/>
    </row>
    <row r="70" spans="1:15" ht="21">
      <c r="A70" s="266"/>
      <c r="B70" s="50"/>
      <c r="C70" s="46"/>
      <c r="D70" s="50"/>
      <c r="E70" s="59"/>
      <c r="F70" s="50" t="s">
        <v>637</v>
      </c>
      <c r="H70" s="318" t="s">
        <v>1084</v>
      </c>
      <c r="I70" s="317">
        <v>2273</v>
      </c>
      <c r="K70" s="73"/>
      <c r="L70" s="316"/>
      <c r="N70" s="266"/>
      <c r="O70" s="291"/>
    </row>
    <row r="71" spans="1:15">
      <c r="A71" s="266"/>
      <c r="B71" s="49"/>
      <c r="C71" s="48"/>
      <c r="D71" s="49"/>
      <c r="E71" s="179"/>
      <c r="F71" s="50" t="s">
        <v>637</v>
      </c>
      <c r="H71" s="318">
        <v>22</v>
      </c>
      <c r="I71" s="317">
        <v>2079.0100000000002</v>
      </c>
    </row>
    <row r="72" spans="1:15">
      <c r="A72" s="266"/>
      <c r="B72" s="50"/>
      <c r="C72" s="50"/>
      <c r="D72" s="50"/>
      <c r="E72" s="59"/>
      <c r="F72" s="50" t="s">
        <v>637</v>
      </c>
    </row>
    <row r="73" spans="1:15">
      <c r="A73" s="266"/>
      <c r="B73" s="49"/>
      <c r="C73" s="48"/>
      <c r="D73" s="49"/>
      <c r="E73" s="179"/>
      <c r="F73" s="50" t="s">
        <v>223</v>
      </c>
    </row>
    <row r="74" spans="1:15">
      <c r="A74" s="266"/>
      <c r="B74" s="50"/>
      <c r="C74" s="46"/>
      <c r="D74" s="50"/>
      <c r="E74" s="59"/>
      <c r="F74" s="50" t="s">
        <v>223</v>
      </c>
    </row>
    <row r="75" spans="1:15">
      <c r="A75" s="266"/>
      <c r="B75" s="49"/>
      <c r="C75" s="48"/>
      <c r="D75" s="49"/>
      <c r="E75" s="179"/>
      <c r="F75" s="50" t="s">
        <v>223</v>
      </c>
    </row>
    <row r="76" spans="1:15">
      <c r="A76" s="266"/>
      <c r="B76" s="50"/>
      <c r="C76" s="46"/>
      <c r="D76" s="50"/>
      <c r="E76" s="59"/>
      <c r="F76" s="50" t="s">
        <v>223</v>
      </c>
    </row>
    <row r="77" spans="1:15">
      <c r="A77" s="266"/>
      <c r="B77" s="49"/>
      <c r="C77" s="48"/>
      <c r="D77" s="49"/>
      <c r="E77" s="179"/>
      <c r="F77" s="50" t="s">
        <v>223</v>
      </c>
    </row>
    <row r="78" spans="1:15">
      <c r="A78" s="266"/>
      <c r="B78" s="50"/>
      <c r="C78" s="50"/>
      <c r="D78" s="50"/>
      <c r="E78" s="59"/>
      <c r="F78" s="275" t="s">
        <v>501</v>
      </c>
    </row>
    <row r="79" spans="1:15">
      <c r="A79" s="266"/>
      <c r="B79" s="50"/>
      <c r="C79" s="50"/>
      <c r="D79" s="50"/>
      <c r="E79" s="59"/>
      <c r="F79" s="275" t="s">
        <v>501</v>
      </c>
    </row>
    <row r="80" spans="1:15">
      <c r="A80" s="266"/>
      <c r="B80" s="50"/>
      <c r="C80" s="50"/>
      <c r="D80" s="50"/>
      <c r="E80" s="59"/>
      <c r="F80" s="275" t="s">
        <v>501</v>
      </c>
    </row>
    <row r="81" spans="1:18">
      <c r="A81" s="266"/>
      <c r="B81" s="50"/>
      <c r="C81" s="50"/>
      <c r="D81" s="50"/>
      <c r="E81" s="59"/>
      <c r="F81" s="275" t="s">
        <v>501</v>
      </c>
    </row>
    <row r="82" spans="1:18">
      <c r="A82" s="266"/>
      <c r="B82" s="50"/>
      <c r="C82" s="50"/>
      <c r="D82" s="50"/>
      <c r="E82" s="59"/>
      <c r="F82" s="275" t="s">
        <v>501</v>
      </c>
    </row>
    <row r="83" spans="1:18">
      <c r="A83" s="266"/>
      <c r="B83" s="50"/>
      <c r="C83" s="50"/>
      <c r="D83" s="50"/>
      <c r="E83" s="59"/>
      <c r="F83" s="275" t="s">
        <v>501</v>
      </c>
    </row>
    <row r="84" spans="1:18">
      <c r="A84" s="266"/>
      <c r="B84" s="50"/>
      <c r="C84" s="50"/>
      <c r="D84" s="50"/>
      <c r="E84" s="59"/>
      <c r="F84" s="275" t="s">
        <v>359</v>
      </c>
    </row>
    <row r="85" spans="1:18">
      <c r="A85" s="266"/>
      <c r="B85" s="50"/>
      <c r="C85" s="50"/>
      <c r="D85" s="50"/>
      <c r="E85" s="59"/>
      <c r="F85" s="275" t="s">
        <v>359</v>
      </c>
    </row>
    <row r="86" spans="1:18">
      <c r="A86" s="266"/>
      <c r="B86" s="50"/>
      <c r="C86" s="50"/>
      <c r="D86" s="50"/>
      <c r="E86" s="59"/>
      <c r="F86" s="275" t="s">
        <v>359</v>
      </c>
    </row>
    <row r="87" spans="1:18" ht="23.25">
      <c r="A87" s="266"/>
      <c r="B87" s="50"/>
      <c r="C87" s="50"/>
      <c r="D87" s="50"/>
      <c r="E87" s="59"/>
      <c r="F87" s="275" t="s">
        <v>359</v>
      </c>
      <c r="H87" s="310" t="s">
        <v>754</v>
      </c>
      <c r="I87" s="310"/>
      <c r="K87" s="310" t="s">
        <v>755</v>
      </c>
      <c r="L87" s="310"/>
      <c r="N87" s="310" t="s">
        <v>756</v>
      </c>
      <c r="O87" s="310"/>
      <c r="Q87" s="327" t="s">
        <v>757</v>
      </c>
      <c r="R87" s="310"/>
    </row>
    <row r="88" spans="1:18" ht="23.25">
      <c r="A88" s="266"/>
      <c r="B88" s="50"/>
      <c r="C88" s="50"/>
      <c r="D88" s="50"/>
      <c r="E88" s="59"/>
      <c r="F88" s="275" t="s">
        <v>359</v>
      </c>
      <c r="H88" s="288" t="s">
        <v>630</v>
      </c>
      <c r="I88" s="289" t="s">
        <v>732</v>
      </c>
      <c r="K88" s="288" t="s">
        <v>630</v>
      </c>
      <c r="L88" s="289" t="s">
        <v>732</v>
      </c>
      <c r="M88" s="288" t="s">
        <v>630</v>
      </c>
      <c r="N88" s="289" t="s">
        <v>732</v>
      </c>
      <c r="Q88" s="288" t="s">
        <v>630</v>
      </c>
      <c r="R88" s="289" t="s">
        <v>732</v>
      </c>
    </row>
    <row r="89" spans="1:18">
      <c r="A89" s="266"/>
      <c r="B89" s="50"/>
      <c r="C89" s="50"/>
      <c r="D89" s="50"/>
      <c r="E89" s="59"/>
      <c r="F89" s="275" t="s">
        <v>359</v>
      </c>
      <c r="H89" s="319" t="s">
        <v>942</v>
      </c>
      <c r="I89" s="320">
        <v>497</v>
      </c>
      <c r="K89" s="319"/>
      <c r="L89" s="320"/>
      <c r="M89" s="325" t="s">
        <v>931</v>
      </c>
      <c r="N89" s="326">
        <v>984.5</v>
      </c>
      <c r="Q89" s="319" t="s">
        <v>64</v>
      </c>
      <c r="R89" s="320">
        <v>1417</v>
      </c>
    </row>
    <row r="90" spans="1:18">
      <c r="A90" s="266"/>
      <c r="B90" s="50"/>
      <c r="C90" s="50"/>
      <c r="D90" s="50"/>
      <c r="E90" s="59"/>
      <c r="F90" s="275" t="s">
        <v>359</v>
      </c>
      <c r="H90" s="321" t="s">
        <v>945</v>
      </c>
      <c r="I90" s="322">
        <v>487.23</v>
      </c>
      <c r="K90" s="321" t="s">
        <v>651</v>
      </c>
      <c r="L90" s="322">
        <v>722.5</v>
      </c>
      <c r="M90" s="323" t="s">
        <v>907</v>
      </c>
      <c r="N90" s="324">
        <v>981.5</v>
      </c>
      <c r="Q90" s="321" t="s">
        <v>1085</v>
      </c>
      <c r="R90" s="322">
        <v>1323.5</v>
      </c>
    </row>
    <row r="91" spans="1:18">
      <c r="A91" s="266"/>
      <c r="B91" s="50" t="s">
        <v>200</v>
      </c>
      <c r="C91" s="50">
        <v>999</v>
      </c>
      <c r="D91" s="50" t="s">
        <v>197</v>
      </c>
      <c r="E91" s="59" t="s">
        <v>1061</v>
      </c>
      <c r="F91" s="50" t="s">
        <v>202</v>
      </c>
      <c r="H91" s="323" t="s">
        <v>329</v>
      </c>
      <c r="I91" s="324">
        <v>487</v>
      </c>
      <c r="K91" s="323" t="s">
        <v>949</v>
      </c>
      <c r="L91" s="324">
        <v>681.5</v>
      </c>
      <c r="M91" s="321" t="s">
        <v>310</v>
      </c>
      <c r="N91" s="322">
        <v>994</v>
      </c>
      <c r="Q91" s="323" t="s">
        <v>705</v>
      </c>
      <c r="R91" s="324">
        <v>1139</v>
      </c>
    </row>
    <row r="92" spans="1:18">
      <c r="A92" s="266"/>
      <c r="B92" s="50" t="s">
        <v>930</v>
      </c>
      <c r="C92" s="50">
        <v>999</v>
      </c>
      <c r="D92" s="50" t="s">
        <v>215</v>
      </c>
      <c r="E92" s="59" t="s">
        <v>1062</v>
      </c>
      <c r="F92" s="50" t="s">
        <v>202</v>
      </c>
      <c r="H92" s="321" t="s">
        <v>416</v>
      </c>
      <c r="I92" s="322">
        <v>486.18</v>
      </c>
      <c r="K92" s="321" t="s">
        <v>305</v>
      </c>
      <c r="L92" s="322">
        <v>679</v>
      </c>
      <c r="M92" s="323" t="s">
        <v>791</v>
      </c>
      <c r="N92" s="324">
        <v>964.5</v>
      </c>
      <c r="Q92" s="321" t="s">
        <v>932</v>
      </c>
      <c r="R92" s="322">
        <v>1077.5</v>
      </c>
    </row>
    <row r="93" spans="1:18">
      <c r="A93" s="266"/>
      <c r="B93" s="50"/>
      <c r="C93" s="50"/>
      <c r="D93" s="50"/>
      <c r="E93" s="59"/>
      <c r="F93" s="50" t="s">
        <v>202</v>
      </c>
      <c r="H93" s="323" t="s">
        <v>948</v>
      </c>
      <c r="I93" s="324">
        <v>481</v>
      </c>
      <c r="K93" s="323" t="s">
        <v>962</v>
      </c>
      <c r="L93" s="324">
        <v>675</v>
      </c>
      <c r="M93" s="321" t="s">
        <v>768</v>
      </c>
      <c r="N93" s="322">
        <v>927</v>
      </c>
      <c r="Q93" s="323" t="s">
        <v>777</v>
      </c>
      <c r="R93" s="324">
        <v>1014</v>
      </c>
    </row>
    <row r="94" spans="1:18">
      <c r="A94" s="266"/>
      <c r="B94" s="50"/>
      <c r="C94" s="50"/>
      <c r="D94" s="50"/>
      <c r="E94" s="59"/>
      <c r="F94" s="50" t="s">
        <v>202</v>
      </c>
      <c r="H94" s="321" t="s">
        <v>702</v>
      </c>
      <c r="I94" s="322">
        <v>481</v>
      </c>
      <c r="K94" s="321" t="s">
        <v>425</v>
      </c>
      <c r="L94" s="322">
        <v>671.5</v>
      </c>
      <c r="M94" s="323" t="s">
        <v>427</v>
      </c>
      <c r="N94" s="324">
        <v>924</v>
      </c>
      <c r="Q94" s="44" t="s">
        <v>612</v>
      </c>
      <c r="R94" s="293">
        <v>1112</v>
      </c>
    </row>
    <row r="95" spans="1:18">
      <c r="A95" s="266"/>
      <c r="B95" s="50"/>
      <c r="C95" s="50"/>
      <c r="D95" s="50"/>
      <c r="E95" s="59"/>
      <c r="F95" s="50" t="s">
        <v>202</v>
      </c>
      <c r="H95" s="323" t="s">
        <v>642</v>
      </c>
      <c r="I95" s="324">
        <v>475.5</v>
      </c>
      <c r="K95" s="323" t="s">
        <v>941</v>
      </c>
      <c r="L95" s="324">
        <v>667</v>
      </c>
      <c r="M95" s="321" t="s">
        <v>776</v>
      </c>
      <c r="N95" s="322">
        <v>899</v>
      </c>
      <c r="Q95" s="44"/>
      <c r="R95" s="44"/>
    </row>
    <row r="96" spans="1:18">
      <c r="A96" s="266"/>
      <c r="B96" s="50"/>
      <c r="C96" s="50"/>
      <c r="D96" s="50"/>
      <c r="E96" s="59"/>
      <c r="F96" s="50" t="s">
        <v>617</v>
      </c>
      <c r="H96" s="321" t="s">
        <v>1086</v>
      </c>
      <c r="I96" s="322">
        <v>467</v>
      </c>
      <c r="K96" s="321" t="s">
        <v>802</v>
      </c>
      <c r="L96" s="322">
        <v>651</v>
      </c>
      <c r="M96" s="323" t="s">
        <v>772</v>
      </c>
      <c r="N96" s="324">
        <v>898.5</v>
      </c>
      <c r="Q96" s="44"/>
      <c r="R96" s="44"/>
    </row>
    <row r="97" spans="1:18">
      <c r="A97" s="266"/>
      <c r="B97" s="50"/>
      <c r="C97" s="50"/>
      <c r="D97" s="50"/>
      <c r="E97" s="59"/>
      <c r="F97" s="50" t="s">
        <v>617</v>
      </c>
      <c r="H97" s="323" t="s">
        <v>956</v>
      </c>
      <c r="I97" s="324">
        <v>459</v>
      </c>
      <c r="K97" s="323" t="s">
        <v>937</v>
      </c>
      <c r="L97" s="324">
        <v>640.5</v>
      </c>
      <c r="M97" s="321" t="s">
        <v>933</v>
      </c>
      <c r="N97" s="322">
        <v>829</v>
      </c>
      <c r="Q97" s="44"/>
      <c r="R97" s="44"/>
    </row>
    <row r="98" spans="1:18">
      <c r="A98" s="266"/>
      <c r="B98" s="50"/>
      <c r="C98" s="50"/>
      <c r="D98" s="50"/>
      <c r="E98" s="59"/>
      <c r="F98" s="50" t="s">
        <v>617</v>
      </c>
      <c r="H98" s="321" t="s">
        <v>1087</v>
      </c>
      <c r="I98" s="322">
        <v>447</v>
      </c>
      <c r="K98" s="321" t="s">
        <v>549</v>
      </c>
      <c r="L98" s="322">
        <v>638</v>
      </c>
      <c r="M98" s="323" t="s">
        <v>781</v>
      </c>
      <c r="N98" s="324">
        <v>825.5</v>
      </c>
      <c r="Q98" s="44"/>
      <c r="R98" s="44"/>
    </row>
    <row r="99" spans="1:18">
      <c r="A99" s="266"/>
      <c r="B99" s="50"/>
      <c r="C99" s="50"/>
      <c r="D99" s="50"/>
      <c r="E99" s="59"/>
      <c r="F99" s="50" t="s">
        <v>617</v>
      </c>
      <c r="H99" s="323" t="s">
        <v>438</v>
      </c>
      <c r="I99" s="324">
        <v>442</v>
      </c>
      <c r="K99" s="323" t="s">
        <v>899</v>
      </c>
      <c r="L99" s="324">
        <v>636</v>
      </c>
      <c r="M99" s="321" t="s">
        <v>939</v>
      </c>
      <c r="N99" s="322">
        <v>792.5</v>
      </c>
      <c r="Q99" s="44"/>
      <c r="R99" s="44"/>
    </row>
    <row r="100" spans="1:18">
      <c r="A100" s="266"/>
      <c r="B100" s="50"/>
      <c r="C100" s="50"/>
      <c r="D100" s="50"/>
      <c r="E100" s="59"/>
      <c r="F100" s="50" t="s">
        <v>617</v>
      </c>
      <c r="H100" s="321" t="s">
        <v>785</v>
      </c>
      <c r="I100" s="322">
        <v>436.5</v>
      </c>
      <c r="K100" s="321" t="s">
        <v>947</v>
      </c>
      <c r="L100" s="322">
        <v>622</v>
      </c>
      <c r="M100" s="323" t="s">
        <v>930</v>
      </c>
      <c r="N100" s="324">
        <v>784.5</v>
      </c>
      <c r="Q100" s="44"/>
      <c r="R100" s="44"/>
    </row>
    <row r="101" spans="1:18">
      <c r="A101" s="266"/>
      <c r="B101" s="50"/>
      <c r="C101" s="50"/>
      <c r="D101" s="50"/>
      <c r="E101" s="59"/>
      <c r="F101" s="50" t="s">
        <v>617</v>
      </c>
      <c r="H101" s="323" t="s">
        <v>653</v>
      </c>
      <c r="I101" s="324">
        <v>435</v>
      </c>
      <c r="K101" s="323" t="s">
        <v>790</v>
      </c>
      <c r="L101" s="324">
        <v>616.5</v>
      </c>
      <c r="M101" s="321" t="s">
        <v>794</v>
      </c>
      <c r="N101" s="322">
        <v>776</v>
      </c>
      <c r="Q101" s="44"/>
      <c r="R101" s="44"/>
    </row>
    <row r="102" spans="1:18">
      <c r="A102" s="266"/>
      <c r="B102" s="50"/>
      <c r="C102" s="50"/>
      <c r="D102" s="50"/>
      <c r="E102" s="59"/>
      <c r="F102" s="50" t="s">
        <v>617</v>
      </c>
      <c r="H102" s="321" t="s">
        <v>943</v>
      </c>
      <c r="I102" s="322">
        <v>410</v>
      </c>
      <c r="K102" s="321" t="s">
        <v>282</v>
      </c>
      <c r="L102" s="322">
        <v>585</v>
      </c>
      <c r="M102" s="44" t="s">
        <v>773</v>
      </c>
      <c r="N102" s="311">
        <v>967</v>
      </c>
      <c r="Q102" s="44"/>
      <c r="R102" s="44"/>
    </row>
    <row r="103" spans="1:18">
      <c r="A103" s="266"/>
      <c r="B103" s="50"/>
      <c r="C103" s="50"/>
      <c r="D103" s="50"/>
      <c r="E103" s="59"/>
      <c r="F103" s="50" t="s">
        <v>617</v>
      </c>
      <c r="H103" s="323" t="s">
        <v>621</v>
      </c>
      <c r="I103" s="324">
        <v>404</v>
      </c>
      <c r="K103" s="323" t="s">
        <v>780</v>
      </c>
      <c r="L103" s="324">
        <v>577.5</v>
      </c>
      <c r="N103" s="44"/>
      <c r="O103" s="44"/>
      <c r="Q103" s="44"/>
      <c r="R103" s="44"/>
    </row>
    <row r="104" spans="1:18">
      <c r="A104" s="284"/>
      <c r="B104" s="285"/>
      <c r="C104" s="285"/>
      <c r="D104" s="285"/>
      <c r="E104" s="286"/>
      <c r="F104" s="50" t="s">
        <v>617</v>
      </c>
      <c r="H104" s="321" t="s">
        <v>310</v>
      </c>
      <c r="I104" s="322">
        <v>403</v>
      </c>
      <c r="K104" s="321" t="s">
        <v>779</v>
      </c>
      <c r="L104" s="322">
        <v>567</v>
      </c>
      <c r="N104" s="44"/>
      <c r="O104" s="44"/>
      <c r="Q104" s="44"/>
      <c r="R104" s="44"/>
    </row>
    <row r="105" spans="1:18">
      <c r="A105" s="284"/>
      <c r="B105" s="285"/>
      <c r="C105" s="285"/>
      <c r="D105" s="285"/>
      <c r="E105" s="286"/>
      <c r="F105" s="50" t="s">
        <v>617</v>
      </c>
      <c r="H105" s="323" t="s">
        <v>966</v>
      </c>
      <c r="I105" s="324">
        <v>402</v>
      </c>
      <c r="K105" s="323" t="s">
        <v>929</v>
      </c>
      <c r="L105" s="324">
        <v>565</v>
      </c>
      <c r="N105" s="44"/>
      <c r="O105" s="44"/>
      <c r="Q105" s="44"/>
      <c r="R105" s="44"/>
    </row>
    <row r="106" spans="1:18">
      <c r="A106" s="284"/>
      <c r="B106" s="285"/>
      <c r="C106" s="285"/>
      <c r="D106" s="285"/>
      <c r="E106" s="286"/>
      <c r="F106" s="50" t="s">
        <v>617</v>
      </c>
      <c r="H106" s="321" t="s">
        <v>963</v>
      </c>
      <c r="I106" s="322">
        <v>398</v>
      </c>
      <c r="K106" s="321" t="s">
        <v>946</v>
      </c>
      <c r="L106" s="322">
        <v>564.5</v>
      </c>
      <c r="N106" s="44"/>
      <c r="O106" s="44"/>
      <c r="Q106" s="44"/>
      <c r="R106" s="44"/>
    </row>
    <row r="107" spans="1:18">
      <c r="A107" s="284"/>
      <c r="B107" s="285"/>
      <c r="C107" s="285"/>
      <c r="D107" s="285"/>
      <c r="E107" s="286"/>
      <c r="F107" s="50" t="s">
        <v>617</v>
      </c>
      <c r="H107" s="323" t="s">
        <v>1088</v>
      </c>
      <c r="I107" s="324">
        <v>397</v>
      </c>
      <c r="K107" s="323" t="s">
        <v>935</v>
      </c>
      <c r="L107" s="324">
        <v>557.5</v>
      </c>
      <c r="N107" s="44"/>
      <c r="O107" s="44"/>
      <c r="Q107" s="44"/>
      <c r="R107" s="44"/>
    </row>
    <row r="108" spans="1:18">
      <c r="A108" s="284"/>
      <c r="B108" s="285"/>
      <c r="C108" s="285"/>
      <c r="D108" s="285"/>
      <c r="E108" s="286"/>
      <c r="F108" s="50" t="s">
        <v>617</v>
      </c>
      <c r="H108" s="321" t="s">
        <v>969</v>
      </c>
      <c r="I108" s="322">
        <v>397</v>
      </c>
      <c r="K108" s="321" t="s">
        <v>944</v>
      </c>
      <c r="L108" s="322">
        <v>551</v>
      </c>
      <c r="N108" s="44"/>
      <c r="O108" s="44"/>
      <c r="Q108" s="44"/>
      <c r="R108" s="44"/>
    </row>
    <row r="109" spans="1:18">
      <c r="A109" s="284"/>
      <c r="B109" s="285"/>
      <c r="C109" s="285"/>
      <c r="D109" s="285"/>
      <c r="E109" s="286"/>
      <c r="F109" s="50" t="s">
        <v>617</v>
      </c>
      <c r="H109" s="323" t="s">
        <v>773</v>
      </c>
      <c r="I109" s="324">
        <v>396.5</v>
      </c>
      <c r="K109" s="323" t="s">
        <v>793</v>
      </c>
      <c r="L109" s="324">
        <v>543</v>
      </c>
      <c r="N109" s="44"/>
      <c r="O109" s="44"/>
      <c r="Q109" s="44"/>
      <c r="R109" s="44"/>
    </row>
    <row r="110" spans="1:18">
      <c r="H110" s="321" t="s">
        <v>951</v>
      </c>
      <c r="I110" s="322">
        <v>396</v>
      </c>
      <c r="K110" s="321" t="s">
        <v>488</v>
      </c>
      <c r="L110" s="322">
        <v>528.47</v>
      </c>
      <c r="N110" s="44"/>
      <c r="O110" s="44"/>
      <c r="Q110" s="44"/>
      <c r="R110" s="44"/>
    </row>
    <row r="111" spans="1:18">
      <c r="H111" s="323" t="s">
        <v>749</v>
      </c>
      <c r="I111" s="324">
        <v>389</v>
      </c>
      <c r="K111" s="323" t="s">
        <v>893</v>
      </c>
      <c r="L111" s="324">
        <v>526.5</v>
      </c>
      <c r="N111" s="44"/>
      <c r="O111" s="44"/>
      <c r="Q111" s="44"/>
      <c r="R111" s="44"/>
    </row>
    <row r="112" spans="1:18">
      <c r="H112" s="321" t="s">
        <v>1033</v>
      </c>
      <c r="I112" s="322">
        <v>389</v>
      </c>
      <c r="K112" s="321" t="s">
        <v>928</v>
      </c>
      <c r="L112" s="322">
        <v>526.5</v>
      </c>
      <c r="N112" s="44"/>
      <c r="O112" s="44"/>
      <c r="Q112" s="44"/>
      <c r="R112" s="44"/>
    </row>
    <row r="113" spans="8:18">
      <c r="H113" s="323" t="s">
        <v>670</v>
      </c>
      <c r="I113" s="324">
        <v>388.5</v>
      </c>
      <c r="K113" s="321" t="s">
        <v>490</v>
      </c>
      <c r="L113" s="322">
        <v>505.22</v>
      </c>
      <c r="N113" s="44"/>
      <c r="O113" s="44"/>
      <c r="Q113" s="44"/>
      <c r="R113" s="44"/>
    </row>
    <row r="114" spans="8:18">
      <c r="H114" s="321" t="s">
        <v>905</v>
      </c>
      <c r="I114" s="322">
        <v>384.5</v>
      </c>
      <c r="N114" s="44"/>
      <c r="O114" s="44"/>
      <c r="Q114" s="44"/>
      <c r="R114" s="44"/>
    </row>
    <row r="115" spans="8:18">
      <c r="H115" s="323" t="s">
        <v>231</v>
      </c>
      <c r="I115" s="324">
        <v>384</v>
      </c>
      <c r="K115" s="44"/>
      <c r="L115" s="44"/>
      <c r="N115" s="44"/>
      <c r="O115" s="44"/>
      <c r="Q115" s="44"/>
      <c r="R115" s="44"/>
    </row>
    <row r="116" spans="8:18">
      <c r="H116" s="321" t="s">
        <v>319</v>
      </c>
      <c r="I116" s="322">
        <v>381.5</v>
      </c>
      <c r="K116" s="44"/>
      <c r="L116" s="44"/>
      <c r="N116" s="44"/>
      <c r="O116" s="44"/>
      <c r="Q116" s="44"/>
      <c r="R116" s="44"/>
    </row>
    <row r="117" spans="8:18">
      <c r="H117" s="323" t="s">
        <v>1089</v>
      </c>
      <c r="I117" s="324">
        <v>377</v>
      </c>
      <c r="K117" s="44"/>
      <c r="L117" s="44"/>
      <c r="N117" s="44"/>
      <c r="O117" s="44"/>
      <c r="Q117" s="44"/>
      <c r="R117" s="44"/>
    </row>
    <row r="118" spans="8:18">
      <c r="H118" s="321" t="s">
        <v>800</v>
      </c>
      <c r="I118" s="322">
        <v>374</v>
      </c>
      <c r="K118" s="44"/>
      <c r="L118" s="44"/>
      <c r="N118" s="44"/>
      <c r="O118" s="44"/>
      <c r="Q118" s="44"/>
      <c r="R118" s="44"/>
    </row>
    <row r="119" spans="8:18">
      <c r="H119" s="323" t="s">
        <v>1090</v>
      </c>
      <c r="I119" s="324">
        <v>374</v>
      </c>
      <c r="K119" s="44"/>
      <c r="L119" s="44"/>
      <c r="N119" s="44"/>
      <c r="O119" s="44"/>
      <c r="Q119" s="44"/>
      <c r="R119" s="44"/>
    </row>
    <row r="120" spans="8:18">
      <c r="H120" s="321" t="s">
        <v>295</v>
      </c>
      <c r="I120" s="322">
        <v>362</v>
      </c>
      <c r="K120" s="44"/>
      <c r="L120" s="44"/>
      <c r="N120" s="44"/>
      <c r="O120" s="44"/>
      <c r="Q120" s="44"/>
      <c r="R120" s="44"/>
    </row>
    <row r="121" spans="8:18">
      <c r="H121" s="323" t="s">
        <v>958</v>
      </c>
      <c r="I121" s="324">
        <v>355</v>
      </c>
      <c r="K121" s="44"/>
      <c r="L121" s="44"/>
      <c r="N121" s="44"/>
      <c r="O121" s="44"/>
      <c r="Q121" s="44"/>
      <c r="R121" s="44"/>
    </row>
    <row r="122" spans="8:18">
      <c r="H122" s="321" t="s">
        <v>950</v>
      </c>
      <c r="I122" s="322">
        <v>355</v>
      </c>
      <c r="K122" s="44"/>
      <c r="L122" s="44"/>
      <c r="N122" s="44"/>
      <c r="O122" s="44"/>
      <c r="Q122" s="44"/>
      <c r="R122" s="44"/>
    </row>
    <row r="123" spans="8:18">
      <c r="H123" s="323" t="s">
        <v>789</v>
      </c>
      <c r="I123" s="324">
        <v>353</v>
      </c>
      <c r="K123" s="44"/>
      <c r="L123" s="44"/>
      <c r="N123" s="44"/>
      <c r="O123" s="44"/>
      <c r="Q123" s="44"/>
      <c r="R123" s="44"/>
    </row>
    <row r="124" spans="8:18">
      <c r="H124" s="321" t="s">
        <v>953</v>
      </c>
      <c r="I124" s="322">
        <v>348</v>
      </c>
      <c r="K124" s="44"/>
      <c r="L124" s="44"/>
    </row>
    <row r="125" spans="8:18">
      <c r="H125" s="323" t="s">
        <v>960</v>
      </c>
      <c r="I125" s="324">
        <v>343.32</v>
      </c>
      <c r="K125" s="44"/>
      <c r="L125" s="44"/>
    </row>
    <row r="126" spans="8:18">
      <c r="H126" s="321" t="s">
        <v>965</v>
      </c>
      <c r="I126" s="322">
        <v>341</v>
      </c>
      <c r="K126" s="44"/>
      <c r="L126" s="44"/>
    </row>
    <row r="127" spans="8:18">
      <c r="H127" s="323" t="s">
        <v>955</v>
      </c>
      <c r="I127" s="324">
        <v>336.5</v>
      </c>
      <c r="K127" s="44"/>
      <c r="L127" s="44"/>
    </row>
    <row r="128" spans="8:18">
      <c r="H128" s="321" t="s">
        <v>1091</v>
      </c>
      <c r="I128" s="322">
        <v>335</v>
      </c>
      <c r="K128" s="44"/>
      <c r="L128" s="44"/>
    </row>
    <row r="129" spans="8:12">
      <c r="H129" s="323" t="s">
        <v>961</v>
      </c>
      <c r="I129" s="324">
        <v>333</v>
      </c>
      <c r="K129" s="44"/>
      <c r="L129" s="44"/>
    </row>
    <row r="130" spans="8:12">
      <c r="H130" s="321" t="s">
        <v>1092</v>
      </c>
      <c r="I130" s="322">
        <v>330.5</v>
      </c>
      <c r="K130" s="44"/>
      <c r="L130" s="44"/>
    </row>
    <row r="131" spans="8:12">
      <c r="H131" s="323" t="s">
        <v>727</v>
      </c>
      <c r="I131" s="324">
        <v>327.5</v>
      </c>
      <c r="K131" s="44"/>
      <c r="L131" s="44"/>
    </row>
    <row r="132" spans="8:12">
      <c r="H132" s="321" t="s">
        <v>952</v>
      </c>
      <c r="I132" s="322">
        <v>326</v>
      </c>
      <c r="K132" s="44"/>
      <c r="L132" s="44"/>
    </row>
    <row r="133" spans="8:12">
      <c r="H133" s="323" t="s">
        <v>490</v>
      </c>
      <c r="I133" s="324">
        <v>324.07</v>
      </c>
      <c r="K133" s="44"/>
      <c r="L133" s="44"/>
    </row>
    <row r="134" spans="8:12">
      <c r="H134" s="321" t="s">
        <v>1093</v>
      </c>
      <c r="I134" s="322">
        <v>323.5</v>
      </c>
      <c r="K134" s="44"/>
      <c r="L134" s="44"/>
    </row>
    <row r="135" spans="8:12">
      <c r="H135" s="323" t="s">
        <v>967</v>
      </c>
      <c r="I135" s="324">
        <v>320.5</v>
      </c>
      <c r="K135" s="44"/>
      <c r="L135" s="44"/>
    </row>
    <row r="136" spans="8:12">
      <c r="H136" s="321" t="s">
        <v>954</v>
      </c>
      <c r="I136" s="322">
        <v>319.5</v>
      </c>
      <c r="K136" s="44"/>
      <c r="L136" s="44"/>
    </row>
    <row r="137" spans="8:12">
      <c r="H137" s="323" t="s">
        <v>862</v>
      </c>
      <c r="I137" s="324">
        <v>312.5</v>
      </c>
      <c r="K137" s="44"/>
      <c r="L137" s="44"/>
    </row>
    <row r="138" spans="8:12">
      <c r="H138" s="321" t="s">
        <v>1094</v>
      </c>
      <c r="I138" s="322">
        <v>309.5</v>
      </c>
      <c r="K138" s="44"/>
      <c r="L138" s="44"/>
    </row>
    <row r="139" spans="8:12">
      <c r="H139" s="323" t="s">
        <v>968</v>
      </c>
      <c r="I139" s="324">
        <v>308</v>
      </c>
      <c r="K139" s="44"/>
      <c r="L139" s="44"/>
    </row>
    <row r="140" spans="8:12">
      <c r="H140" s="321" t="s">
        <v>1095</v>
      </c>
      <c r="I140" s="322">
        <v>307</v>
      </c>
      <c r="K140" s="44"/>
      <c r="L140" s="44"/>
    </row>
    <row r="141" spans="8:12">
      <c r="H141" s="323" t="s">
        <v>1096</v>
      </c>
      <c r="I141" s="324">
        <v>297</v>
      </c>
      <c r="K141" s="44"/>
      <c r="L141" s="44"/>
    </row>
    <row r="142" spans="8:12">
      <c r="H142" s="321" t="s">
        <v>796</v>
      </c>
      <c r="I142" s="322">
        <v>294</v>
      </c>
      <c r="K142" s="44"/>
      <c r="L142" s="44"/>
    </row>
    <row r="143" spans="8:12">
      <c r="H143" s="323" t="s">
        <v>1097</v>
      </c>
      <c r="I143" s="324">
        <v>292</v>
      </c>
      <c r="K143" s="44"/>
      <c r="L143" s="44"/>
    </row>
    <row r="144" spans="8:12">
      <c r="H144" s="321" t="s">
        <v>786</v>
      </c>
      <c r="I144" s="322">
        <v>291</v>
      </c>
      <c r="K144" s="44"/>
      <c r="L144" s="44"/>
    </row>
    <row r="145" spans="8:12">
      <c r="H145" s="323" t="s">
        <v>957</v>
      </c>
      <c r="I145" s="324">
        <v>290.82</v>
      </c>
      <c r="K145" s="44"/>
      <c r="L145" s="44"/>
    </row>
    <row r="146" spans="8:12">
      <c r="H146" s="321" t="s">
        <v>786</v>
      </c>
      <c r="I146" s="322">
        <v>290</v>
      </c>
      <c r="K146" s="44"/>
      <c r="L146" s="44"/>
    </row>
    <row r="147" spans="8:12">
      <c r="H147" s="323" t="s">
        <v>1098</v>
      </c>
      <c r="I147" s="324">
        <v>289</v>
      </c>
      <c r="K147" s="44"/>
      <c r="L147" s="44"/>
    </row>
    <row r="148" spans="8:12">
      <c r="H148" s="321" t="s">
        <v>751</v>
      </c>
      <c r="I148" s="322">
        <v>287</v>
      </c>
      <c r="K148" s="44"/>
      <c r="L148" s="44"/>
    </row>
    <row r="149" spans="8:12">
      <c r="H149" s="323" t="s">
        <v>1099</v>
      </c>
      <c r="I149" s="324">
        <v>284</v>
      </c>
      <c r="K149" s="44"/>
      <c r="L149" s="44"/>
    </row>
    <row r="150" spans="8:12">
      <c r="H150" s="321" t="s">
        <v>959</v>
      </c>
      <c r="I150" s="322">
        <v>282</v>
      </c>
      <c r="K150" s="44"/>
      <c r="L150" s="44"/>
    </row>
    <row r="151" spans="8:12">
      <c r="H151" s="323" t="s">
        <v>258</v>
      </c>
      <c r="I151" s="324">
        <v>282</v>
      </c>
      <c r="K151" s="44"/>
      <c r="L151" s="44"/>
    </row>
    <row r="152" spans="8:12">
      <c r="H152" s="321" t="s">
        <v>75</v>
      </c>
      <c r="I152" s="322">
        <v>279</v>
      </c>
    </row>
    <row r="153" spans="8:12">
      <c r="H153" s="323" t="s">
        <v>1100</v>
      </c>
      <c r="I153" s="324">
        <v>278.74</v>
      </c>
    </row>
    <row r="154" spans="8:12">
      <c r="H154" s="321" t="s">
        <v>1101</v>
      </c>
      <c r="I154" s="322">
        <v>278.41000000000003</v>
      </c>
    </row>
    <row r="155" spans="8:12">
      <c r="H155" s="323" t="s">
        <v>930</v>
      </c>
      <c r="I155" s="324">
        <v>278</v>
      </c>
    </row>
    <row r="156" spans="8:12">
      <c r="H156" s="321" t="s">
        <v>795</v>
      </c>
      <c r="I156" s="322">
        <v>277</v>
      </c>
    </row>
    <row r="157" spans="8:12">
      <c r="H157" s="323" t="s">
        <v>797</v>
      </c>
      <c r="I157" s="324">
        <v>276.5</v>
      </c>
    </row>
    <row r="158" spans="8:12">
      <c r="H158" s="321" t="s">
        <v>67</v>
      </c>
      <c r="I158" s="322">
        <v>274</v>
      </c>
    </row>
    <row r="159" spans="8:12">
      <c r="H159" s="323" t="s">
        <v>1004</v>
      </c>
      <c r="I159" s="324">
        <v>267</v>
      </c>
    </row>
    <row r="160" spans="8:12">
      <c r="H160" s="321" t="s">
        <v>1102</v>
      </c>
      <c r="I160" s="322">
        <v>263</v>
      </c>
    </row>
    <row r="161" spans="8:9">
      <c r="H161" s="323" t="s">
        <v>964</v>
      </c>
      <c r="I161" s="324">
        <v>262</v>
      </c>
    </row>
    <row r="162" spans="8:9">
      <c r="H162" s="321" t="s">
        <v>1103</v>
      </c>
      <c r="I162" s="322">
        <v>262</v>
      </c>
    </row>
    <row r="163" spans="8:9">
      <c r="H163" s="323" t="s">
        <v>319</v>
      </c>
      <c r="I163" s="324">
        <v>261</v>
      </c>
    </row>
    <row r="164" spans="8:9">
      <c r="H164" s="321" t="s">
        <v>298</v>
      </c>
      <c r="I164" s="322">
        <v>256</v>
      </c>
    </row>
    <row r="165" spans="8:9">
      <c r="H165" s="323" t="s">
        <v>758</v>
      </c>
      <c r="I165" s="324">
        <v>255</v>
      </c>
    </row>
    <row r="166" spans="8:9">
      <c r="H166" s="321" t="s">
        <v>549</v>
      </c>
      <c r="I166" s="322">
        <v>254.5</v>
      </c>
    </row>
    <row r="167" spans="8:9">
      <c r="H167" s="323" t="s">
        <v>817</v>
      </c>
      <c r="I167" s="324">
        <v>253</v>
      </c>
    </row>
    <row r="168" spans="8:9">
      <c r="H168" s="321" t="s">
        <v>1104</v>
      </c>
      <c r="I168" s="322">
        <v>252.5</v>
      </c>
    </row>
    <row r="169" spans="8:9">
      <c r="H169" s="323" t="s">
        <v>962</v>
      </c>
      <c r="I169" s="324">
        <v>251</v>
      </c>
    </row>
  </sheetData>
  <sortState xmlns:xlrd2="http://schemas.microsoft.com/office/spreadsheetml/2017/richdata2" ref="M89:N93">
    <sortCondition descending="1" ref="N89:N93"/>
  </sortState>
  <mergeCells count="8">
    <mergeCell ref="K63:L63"/>
    <mergeCell ref="H49:O49"/>
    <mergeCell ref="N1:O1"/>
    <mergeCell ref="H55:I55"/>
    <mergeCell ref="K55:L55"/>
    <mergeCell ref="N55:O55"/>
    <mergeCell ref="H1:I1"/>
    <mergeCell ref="K1:L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89BC15E273FE4EB5DA9106A124D2D0" ma:contentTypeVersion="15" ma:contentTypeDescription="Create a new document." ma:contentTypeScope="" ma:versionID="cdaa0117229aea1d586186a86d377102">
  <xsd:schema xmlns:xsd="http://www.w3.org/2001/XMLSchema" xmlns:xs="http://www.w3.org/2001/XMLSchema" xmlns:p="http://schemas.microsoft.com/office/2006/metadata/properties" xmlns:ns2="ea541c21-14ef-4a2f-89c1-bcd7a9e2deea" xmlns:ns3="d6fe49bd-2a5b-4aa6-84bb-fdc543c2c21f" targetNamespace="http://schemas.microsoft.com/office/2006/metadata/properties" ma:root="true" ma:fieldsID="dbe4473e95c7f78469cfacd32bceb8eb" ns2:_="" ns3:_="">
    <xsd:import namespace="ea541c21-14ef-4a2f-89c1-bcd7a9e2deea"/>
    <xsd:import namespace="d6fe49bd-2a5b-4aa6-84bb-fdc543c2c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41c21-14ef-4a2f-89c1-bcd7a9e2d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b9fc7b1-ac6c-4cf4-a8dd-2f137b6936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49bd-2a5b-4aa6-84bb-fdc543c2c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41c21-14ef-4a2f-89c1-bcd7a9e2dee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5ADA93-F777-48CF-9720-0665AF2F4E0E}"/>
</file>

<file path=customXml/itemProps2.xml><?xml version="1.0" encoding="utf-8"?>
<ds:datastoreItem xmlns:ds="http://schemas.openxmlformats.org/officeDocument/2006/customXml" ds:itemID="{01B0B9B5-C11B-4321-A250-58C967A5AED1}"/>
</file>

<file path=customXml/itemProps3.xml><?xml version="1.0" encoding="utf-8"?>
<ds:datastoreItem xmlns:ds="http://schemas.openxmlformats.org/officeDocument/2006/customXml" ds:itemID="{A716084F-59B5-46B3-9B1D-EFBDE7280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ONeill</dc:creator>
  <cp:keywords/>
  <dc:description/>
  <cp:lastModifiedBy/>
  <cp:revision/>
  <dcterms:created xsi:type="dcterms:W3CDTF">2025-02-10T15:09:28Z</dcterms:created>
  <dcterms:modified xsi:type="dcterms:W3CDTF">2025-12-09T12:55:08Z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0x0101007489BC15E273FE4EB5DA9106A124D2D0</vt:lpwstr>
  </property>
  <property fmtid="{D5CDD505-2E9C-101B-9397-08002B2CF9AE}" pid="3" name="MediaServiceImageTags">
    <vt:lpwstr/>
  </property>
</Properties>
</file>