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slicers/slicer2.xml" ContentType="application/vnd.ms-excel.slicer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slicers/slicer3.xml" ContentType="application/vnd.ms-excel.slicer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slicers/slicer4.xml" ContentType="application/vnd.ms-excel.slicer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slicers/slicer5.xml" ContentType="application/vnd.ms-excel.slicer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slicers/slicer6.xml" ContentType="application/vnd.ms-excel.slicer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https://d.docs.live.net/81c1e6c11fe9b7c1/Desktop/Frequents/Inventory/"/>
    </mc:Choice>
  </mc:AlternateContent>
  <xr:revisionPtr revIDLastSave="1198" documentId="8_{7015BFF1-9BC1-47D0-A5F8-459054105B0E}" xr6:coauthVersionLast="47" xr6:coauthVersionMax="47" xr10:uidLastSave="{D99ACE6D-5950-4D14-8274-36A1C734EB5A}"/>
  <bookViews>
    <workbookView xWindow="-120" yWindow="-120" windowWidth="29040" windowHeight="17520" firstSheet="5" activeTab="2" xr2:uid="{DA6F2BBB-C13B-417B-9DDE-3D15A6B7FE30}"/>
  </bookViews>
  <sheets>
    <sheet name="P10 - 10-04" sheetId="2" r:id="rId1"/>
    <sheet name="P10 - 10-11" sheetId="7" r:id="rId2"/>
    <sheet name="P10 - 10-18" sheetId="3" r:id="rId3"/>
    <sheet name="P10 - 10-25" sheetId="4" r:id="rId4"/>
    <sheet name="P10 - 11-01" sheetId="5" r:id="rId5"/>
    <sheet name="P10 PTD" sheetId="6" r:id="rId6"/>
  </sheets>
  <definedNames>
    <definedName name="Slicer_District">#N/A</definedName>
    <definedName name="Slicer_District1">#N/A</definedName>
    <definedName name="Slicer_District2">#N/A</definedName>
    <definedName name="Slicer_District3">#N/A</definedName>
    <definedName name="Slicer_District4">#N/A</definedName>
    <definedName name="Slicer_District5">#N/A</definedName>
  </definedNames>
  <calcPr calcId="191028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7"/>
        <x14:slicerCache r:id="rId8"/>
        <x14:slicerCache r:id="rId9"/>
        <x14:slicerCache r:id="rId10"/>
        <x14:slicerCache r:id="rId11"/>
        <x14:slicerCache r:id="rId12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5" l="1"/>
  <c r="S13" i="7"/>
  <c r="S14" i="7"/>
  <c r="S15" i="7"/>
  <c r="S16" i="7"/>
  <c r="S17" i="7"/>
  <c r="S20" i="7"/>
  <c r="S21" i="7"/>
  <c r="S22" i="7"/>
  <c r="S23" i="7"/>
  <c r="S24" i="7"/>
  <c r="S25" i="7"/>
  <c r="S26" i="7"/>
  <c r="S27" i="7"/>
  <c r="S28" i="7"/>
  <c r="S29" i="7"/>
  <c r="S30" i="7"/>
  <c r="S31" i="7"/>
  <c r="S32" i="7"/>
  <c r="S33" i="7"/>
  <c r="S34" i="7"/>
  <c r="S35" i="7"/>
  <c r="S36" i="7"/>
  <c r="S37" i="7"/>
  <c r="S38" i="7"/>
  <c r="S39" i="7"/>
  <c r="S40" i="7"/>
  <c r="S41" i="7"/>
  <c r="S42" i="7"/>
  <c r="S43" i="7"/>
  <c r="S44" i="7"/>
  <c r="S45" i="7"/>
  <c r="S46" i="7"/>
  <c r="S47" i="7"/>
  <c r="S48" i="7"/>
  <c r="S49" i="7"/>
  <c r="S50" i="7"/>
  <c r="S51" i="7"/>
  <c r="S52" i="7"/>
  <c r="S53" i="7"/>
  <c r="S54" i="7"/>
  <c r="S55" i="7"/>
  <c r="S56" i="7"/>
  <c r="S57" i="7"/>
  <c r="S58" i="7"/>
  <c r="S60" i="7"/>
  <c r="S61" i="7"/>
  <c r="S62" i="7"/>
  <c r="S63" i="7"/>
  <c r="S64" i="7"/>
  <c r="S65" i="7"/>
  <c r="S66" i="7"/>
  <c r="S67" i="7"/>
  <c r="S68" i="7"/>
  <c r="P68" i="4"/>
  <c r="P67" i="4"/>
  <c r="P66" i="4"/>
  <c r="P65" i="4"/>
  <c r="P64" i="4"/>
  <c r="P63" i="4"/>
  <c r="P62" i="4"/>
  <c r="P61" i="4"/>
  <c r="P60" i="4"/>
  <c r="P59" i="4"/>
  <c r="P58" i="4"/>
  <c r="P57" i="4"/>
  <c r="P56" i="4"/>
  <c r="P55" i="4"/>
  <c r="P54" i="4"/>
  <c r="P53" i="4"/>
  <c r="P52" i="4"/>
  <c r="P51" i="4"/>
  <c r="P50" i="4"/>
  <c r="P49" i="4"/>
  <c r="P48" i="4"/>
  <c r="P47" i="4"/>
  <c r="P46" i="4"/>
  <c r="P45" i="4"/>
  <c r="P44" i="4"/>
  <c r="P43" i="4"/>
  <c r="P42" i="4"/>
  <c r="P41" i="4"/>
  <c r="P40" i="4"/>
  <c r="P39" i="4"/>
  <c r="P38" i="4"/>
  <c r="P37" i="4"/>
  <c r="P36" i="4"/>
  <c r="P35" i="4"/>
  <c r="P34" i="4"/>
  <c r="P33" i="4"/>
  <c r="P32" i="4"/>
  <c r="P31" i="4"/>
  <c r="P30" i="4"/>
  <c r="P29" i="4"/>
  <c r="P28" i="4"/>
  <c r="P27" i="4"/>
  <c r="P26" i="4"/>
  <c r="P25" i="4"/>
  <c r="P24" i="4"/>
  <c r="P23" i="4"/>
  <c r="P22" i="4"/>
  <c r="P21" i="4"/>
  <c r="P20" i="4"/>
  <c r="P19" i="4"/>
  <c r="P18" i="4"/>
  <c r="P17" i="4"/>
  <c r="P16" i="4"/>
  <c r="P15" i="4"/>
  <c r="P14" i="4"/>
  <c r="P13" i="4"/>
  <c r="P12" i="4"/>
  <c r="P68" i="3"/>
  <c r="P67" i="3"/>
  <c r="P66" i="3"/>
  <c r="P65" i="3"/>
  <c r="P64" i="3"/>
  <c r="P63" i="3"/>
  <c r="P62" i="3"/>
  <c r="P61" i="3"/>
  <c r="P60" i="3"/>
  <c r="P59" i="3"/>
  <c r="P58" i="3"/>
  <c r="P57" i="3"/>
  <c r="P56" i="3"/>
  <c r="P55" i="3"/>
  <c r="P54" i="3"/>
  <c r="P53" i="3"/>
  <c r="P52" i="3"/>
  <c r="P51" i="3"/>
  <c r="P50" i="3"/>
  <c r="P49" i="3"/>
  <c r="P48" i="3"/>
  <c r="P47" i="3"/>
  <c r="P46" i="3"/>
  <c r="P45" i="3"/>
  <c r="P44" i="3"/>
  <c r="P43" i="3"/>
  <c r="P42" i="3"/>
  <c r="P41" i="3"/>
  <c r="P40" i="3"/>
  <c r="P39" i="3"/>
  <c r="P38" i="3"/>
  <c r="P37" i="3"/>
  <c r="P36" i="3"/>
  <c r="P35" i="3"/>
  <c r="P34" i="3"/>
  <c r="P33" i="3"/>
  <c r="P32" i="3"/>
  <c r="P31" i="3"/>
  <c r="P30" i="3"/>
  <c r="P29" i="3"/>
  <c r="P28" i="3"/>
  <c r="P27" i="3"/>
  <c r="P26" i="3"/>
  <c r="P25" i="3"/>
  <c r="P24" i="3"/>
  <c r="P23" i="3"/>
  <c r="P22" i="3"/>
  <c r="P21" i="3"/>
  <c r="P20" i="3"/>
  <c r="P19" i="3"/>
  <c r="P18" i="3"/>
  <c r="P17" i="3"/>
  <c r="P16" i="3"/>
  <c r="P15" i="3"/>
  <c r="P14" i="3"/>
  <c r="P13" i="3"/>
  <c r="P12" i="3"/>
  <c r="P68" i="2"/>
  <c r="P67" i="2"/>
  <c r="P66" i="2"/>
  <c r="P65" i="2"/>
  <c r="P64" i="2"/>
  <c r="P63" i="2"/>
  <c r="P62" i="2"/>
  <c r="P61" i="2"/>
  <c r="P60" i="2"/>
  <c r="P59" i="2"/>
  <c r="P58" i="2"/>
  <c r="P57" i="2"/>
  <c r="P56" i="2"/>
  <c r="P55" i="2"/>
  <c r="P54" i="2"/>
  <c r="P53" i="2"/>
  <c r="P52" i="2"/>
  <c r="P51" i="2"/>
  <c r="P50" i="2"/>
  <c r="P49" i="2"/>
  <c r="P48" i="2"/>
  <c r="P47" i="2"/>
  <c r="P46" i="2"/>
  <c r="P45" i="2"/>
  <c r="P44" i="2"/>
  <c r="P43" i="2"/>
  <c r="P42" i="2"/>
  <c r="P41" i="2"/>
  <c r="P40" i="2"/>
  <c r="P39" i="2"/>
  <c r="P38" i="2"/>
  <c r="P37" i="2"/>
  <c r="P36" i="2"/>
  <c r="P35" i="2"/>
  <c r="P34" i="2"/>
  <c r="P33" i="2"/>
  <c r="P32" i="2"/>
  <c r="P31" i="2"/>
  <c r="P30" i="2"/>
  <c r="P29" i="2"/>
  <c r="P28" i="2"/>
  <c r="P27" i="2"/>
  <c r="P26" i="2"/>
  <c r="P25" i="2"/>
  <c r="P24" i="2"/>
  <c r="P23" i="2"/>
  <c r="P22" i="2"/>
  <c r="P21" i="2"/>
  <c r="P20" i="2"/>
  <c r="P19" i="2"/>
  <c r="P18" i="2"/>
  <c r="P17" i="2"/>
  <c r="P16" i="2"/>
  <c r="P15" i="2"/>
  <c r="P14" i="2"/>
  <c r="P13" i="2"/>
  <c r="P12" i="2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P35" i="7"/>
  <c r="P36" i="7"/>
  <c r="P37" i="7"/>
  <c r="P38" i="7"/>
  <c r="P39" i="7"/>
  <c r="P40" i="7"/>
  <c r="P41" i="7"/>
  <c r="P42" i="7"/>
  <c r="P43" i="7"/>
  <c r="P44" i="7"/>
  <c r="P45" i="7"/>
  <c r="P46" i="7"/>
  <c r="P47" i="7"/>
  <c r="P48" i="7"/>
  <c r="P49" i="7"/>
  <c r="P50" i="7"/>
  <c r="P51" i="7"/>
  <c r="P52" i="7"/>
  <c r="P53" i="7"/>
  <c r="P54" i="7"/>
  <c r="P55" i="7"/>
  <c r="P56" i="7"/>
  <c r="P57" i="7"/>
  <c r="P58" i="7"/>
  <c r="P59" i="7"/>
  <c r="P60" i="7"/>
  <c r="P61" i="7"/>
  <c r="P62" i="7"/>
  <c r="P63" i="7"/>
  <c r="P64" i="7"/>
  <c r="P65" i="7"/>
  <c r="P66" i="7"/>
  <c r="P67" i="7"/>
  <c r="P68" i="7"/>
  <c r="J41" i="6"/>
  <c r="I41" i="6"/>
  <c r="H41" i="6"/>
  <c r="G41" i="6"/>
  <c r="F41" i="6"/>
  <c r="E41" i="6"/>
  <c r="D41" i="6"/>
  <c r="C41" i="6"/>
  <c r="K41" i="6"/>
  <c r="M41" i="6"/>
  <c r="O41" i="6"/>
  <c r="S41" i="5"/>
  <c r="P41" i="5" s="1"/>
  <c r="K41" i="5"/>
  <c r="M41" i="5"/>
  <c r="O41" i="5"/>
  <c r="G8" i="4"/>
  <c r="G5" i="4"/>
  <c r="S41" i="4"/>
  <c r="K41" i="4"/>
  <c r="M41" i="4"/>
  <c r="O41" i="4"/>
  <c r="S41" i="3"/>
  <c r="K41" i="3"/>
  <c r="M41" i="3"/>
  <c r="O41" i="3"/>
  <c r="K41" i="7"/>
  <c r="M41" i="7"/>
  <c r="O41" i="7"/>
  <c r="B6" i="2"/>
  <c r="B5" i="2"/>
  <c r="S41" i="2"/>
  <c r="S41" i="6" s="1"/>
  <c r="K41" i="2"/>
  <c r="M41" i="2"/>
  <c r="O41" i="2"/>
  <c r="I3" i="2"/>
  <c r="I2" i="2"/>
  <c r="T1" i="6"/>
  <c r="S12" i="5"/>
  <c r="P12" i="5" s="1"/>
  <c r="S68" i="5"/>
  <c r="P68" i="5" s="1"/>
  <c r="S67" i="5"/>
  <c r="P67" i="5" s="1"/>
  <c r="S66" i="5"/>
  <c r="P66" i="5" s="1"/>
  <c r="S65" i="5"/>
  <c r="P65" i="5" s="1"/>
  <c r="S64" i="5"/>
  <c r="P64" i="5" s="1"/>
  <c r="S63" i="5"/>
  <c r="P63" i="5" s="1"/>
  <c r="S62" i="5"/>
  <c r="P62" i="5" s="1"/>
  <c r="S61" i="5"/>
  <c r="P61" i="5" s="1"/>
  <c r="S60" i="5"/>
  <c r="P60" i="5" s="1"/>
  <c r="P59" i="5"/>
  <c r="S58" i="5"/>
  <c r="P58" i="5" s="1"/>
  <c r="S57" i="5"/>
  <c r="P57" i="5" s="1"/>
  <c r="S56" i="5"/>
  <c r="P56" i="5" s="1"/>
  <c r="S55" i="5"/>
  <c r="P55" i="5" s="1"/>
  <c r="S54" i="5"/>
  <c r="P54" i="5" s="1"/>
  <c r="S53" i="5"/>
  <c r="P53" i="5" s="1"/>
  <c r="S52" i="5"/>
  <c r="P52" i="5" s="1"/>
  <c r="S51" i="5"/>
  <c r="P51" i="5" s="1"/>
  <c r="S50" i="5"/>
  <c r="P50" i="5" s="1"/>
  <c r="S49" i="5"/>
  <c r="P49" i="5" s="1"/>
  <c r="S48" i="5"/>
  <c r="P48" i="5" s="1"/>
  <c r="S47" i="5"/>
  <c r="P47" i="5" s="1"/>
  <c r="S46" i="5"/>
  <c r="P46" i="5" s="1"/>
  <c r="S45" i="5"/>
  <c r="P45" i="5" s="1"/>
  <c r="S44" i="5"/>
  <c r="P44" i="5" s="1"/>
  <c r="S43" i="5"/>
  <c r="P43" i="5" s="1"/>
  <c r="S42" i="5"/>
  <c r="P42" i="5" s="1"/>
  <c r="S40" i="5"/>
  <c r="P40" i="5" s="1"/>
  <c r="S39" i="5"/>
  <c r="P39" i="5" s="1"/>
  <c r="S38" i="5"/>
  <c r="P38" i="5" s="1"/>
  <c r="S37" i="5"/>
  <c r="P37" i="5" s="1"/>
  <c r="S36" i="5"/>
  <c r="P36" i="5" s="1"/>
  <c r="S35" i="5"/>
  <c r="P35" i="5" s="1"/>
  <c r="S34" i="5"/>
  <c r="P34" i="5" s="1"/>
  <c r="S33" i="5"/>
  <c r="P33" i="5" s="1"/>
  <c r="S32" i="5"/>
  <c r="P32" i="5" s="1"/>
  <c r="S31" i="5"/>
  <c r="P31" i="5" s="1"/>
  <c r="S30" i="5"/>
  <c r="P30" i="5" s="1"/>
  <c r="S29" i="5"/>
  <c r="P29" i="5" s="1"/>
  <c r="S28" i="5"/>
  <c r="P28" i="5" s="1"/>
  <c r="S27" i="5"/>
  <c r="P27" i="5" s="1"/>
  <c r="S26" i="5"/>
  <c r="P26" i="5" s="1"/>
  <c r="S25" i="5"/>
  <c r="P25" i="5" s="1"/>
  <c r="S24" i="5"/>
  <c r="P24" i="5" s="1"/>
  <c r="S23" i="5"/>
  <c r="P23" i="5" s="1"/>
  <c r="S22" i="5"/>
  <c r="P22" i="5" s="1"/>
  <c r="S21" i="5"/>
  <c r="P21" i="5" s="1"/>
  <c r="S20" i="5"/>
  <c r="P20" i="5" s="1"/>
  <c r="P19" i="5"/>
  <c r="P18" i="5"/>
  <c r="S17" i="5"/>
  <c r="P17" i="5" s="1"/>
  <c r="S16" i="5"/>
  <c r="P16" i="5" s="1"/>
  <c r="S15" i="5"/>
  <c r="P15" i="5" s="1"/>
  <c r="S14" i="5"/>
  <c r="P14" i="5" s="1"/>
  <c r="S13" i="5"/>
  <c r="P13" i="5" s="1"/>
  <c r="S68" i="4"/>
  <c r="S67" i="4"/>
  <c r="S66" i="4"/>
  <c r="S65" i="4"/>
  <c r="S64" i="4"/>
  <c r="S63" i="4"/>
  <c r="S62" i="4"/>
  <c r="S61" i="4"/>
  <c r="S60" i="4"/>
  <c r="S58" i="4"/>
  <c r="S57" i="4"/>
  <c r="S56" i="4"/>
  <c r="S55" i="4"/>
  <c r="S54" i="4"/>
  <c r="S53" i="4"/>
  <c r="S52" i="4"/>
  <c r="S51" i="4"/>
  <c r="S50" i="4"/>
  <c r="S49" i="4"/>
  <c r="S48" i="4"/>
  <c r="S47" i="4"/>
  <c r="S46" i="4"/>
  <c r="S45" i="4"/>
  <c r="S44" i="4"/>
  <c r="S43" i="4"/>
  <c r="S42" i="4"/>
  <c r="S40" i="4"/>
  <c r="S39" i="4"/>
  <c r="S38" i="4"/>
  <c r="S37" i="4"/>
  <c r="S36" i="4"/>
  <c r="S35" i="4"/>
  <c r="S34" i="4"/>
  <c r="S33" i="4"/>
  <c r="S32" i="4"/>
  <c r="S31" i="4"/>
  <c r="S30" i="4"/>
  <c r="S29" i="4"/>
  <c r="S28" i="4"/>
  <c r="S27" i="4"/>
  <c r="S26" i="4"/>
  <c r="S25" i="4"/>
  <c r="S24" i="4"/>
  <c r="S23" i="4"/>
  <c r="S22" i="4"/>
  <c r="S21" i="4"/>
  <c r="S20" i="4"/>
  <c r="S17" i="4"/>
  <c r="S16" i="4"/>
  <c r="S15" i="4"/>
  <c r="S14" i="4"/>
  <c r="S13" i="4"/>
  <c r="S12" i="4"/>
  <c r="S68" i="3"/>
  <c r="S67" i="3"/>
  <c r="S66" i="3"/>
  <c r="S65" i="3"/>
  <c r="S64" i="3"/>
  <c r="S63" i="3"/>
  <c r="S62" i="3"/>
  <c r="S61" i="3"/>
  <c r="S60" i="3"/>
  <c r="S58" i="3"/>
  <c r="S57" i="3"/>
  <c r="S56" i="3"/>
  <c r="S55" i="3"/>
  <c r="S54" i="3"/>
  <c r="S53" i="3"/>
  <c r="S52" i="3"/>
  <c r="S51" i="3"/>
  <c r="S50" i="3"/>
  <c r="S49" i="3"/>
  <c r="S48" i="3"/>
  <c r="S47" i="3"/>
  <c r="S46" i="3"/>
  <c r="S45" i="3"/>
  <c r="S44" i="3"/>
  <c r="S43" i="3"/>
  <c r="S42" i="3"/>
  <c r="S40" i="3"/>
  <c r="S39" i="3"/>
  <c r="S38" i="3"/>
  <c r="S37" i="3"/>
  <c r="S36" i="3"/>
  <c r="S35" i="3"/>
  <c r="S34" i="3"/>
  <c r="S33" i="3"/>
  <c r="S32" i="3"/>
  <c r="S31" i="3"/>
  <c r="S30" i="3"/>
  <c r="S29" i="3"/>
  <c r="S28" i="3"/>
  <c r="S27" i="3"/>
  <c r="S26" i="3"/>
  <c r="S25" i="3"/>
  <c r="S24" i="3"/>
  <c r="S23" i="3"/>
  <c r="S22" i="3"/>
  <c r="S21" i="3"/>
  <c r="S20" i="3"/>
  <c r="S17" i="3"/>
  <c r="S16" i="3"/>
  <c r="S15" i="3"/>
  <c r="S14" i="3"/>
  <c r="S13" i="3"/>
  <c r="S12" i="3"/>
  <c r="S12" i="7"/>
  <c r="S68" i="2"/>
  <c r="S68" i="6" s="1"/>
  <c r="S13" i="2"/>
  <c r="S13" i="6" s="1"/>
  <c r="S14" i="2"/>
  <c r="S14" i="6" s="1"/>
  <c r="S15" i="2"/>
  <c r="S15" i="6" s="1"/>
  <c r="S16" i="2"/>
  <c r="S16" i="6" s="1"/>
  <c r="S17" i="2"/>
  <c r="S17" i="6" s="1"/>
  <c r="S18" i="6"/>
  <c r="S19" i="6"/>
  <c r="S20" i="2"/>
  <c r="S20" i="6" s="1"/>
  <c r="S21" i="2"/>
  <c r="S21" i="6" s="1"/>
  <c r="S22" i="2"/>
  <c r="S22" i="6" s="1"/>
  <c r="S23" i="2"/>
  <c r="S23" i="6" s="1"/>
  <c r="S24" i="2"/>
  <c r="S24" i="6" s="1"/>
  <c r="S25" i="2"/>
  <c r="S25" i="6" s="1"/>
  <c r="S26" i="2"/>
  <c r="S26" i="6" s="1"/>
  <c r="S27" i="2"/>
  <c r="S27" i="6" s="1"/>
  <c r="S28" i="2"/>
  <c r="S28" i="6" s="1"/>
  <c r="S29" i="2"/>
  <c r="S29" i="6" s="1"/>
  <c r="S30" i="2"/>
  <c r="S30" i="6" s="1"/>
  <c r="S31" i="2"/>
  <c r="S31" i="6" s="1"/>
  <c r="S32" i="2"/>
  <c r="S32" i="6" s="1"/>
  <c r="S33" i="2"/>
  <c r="S33" i="6" s="1"/>
  <c r="S34" i="2"/>
  <c r="S34" i="6" s="1"/>
  <c r="S35" i="2"/>
  <c r="S35" i="6" s="1"/>
  <c r="S36" i="2"/>
  <c r="S36" i="6" s="1"/>
  <c r="S37" i="2"/>
  <c r="S37" i="6" s="1"/>
  <c r="S38" i="2"/>
  <c r="S38" i="6" s="1"/>
  <c r="S39" i="2"/>
  <c r="S39" i="6" s="1"/>
  <c r="S40" i="2"/>
  <c r="S40" i="6" s="1"/>
  <c r="S42" i="2"/>
  <c r="S42" i="6" s="1"/>
  <c r="S43" i="2"/>
  <c r="S43" i="6" s="1"/>
  <c r="S44" i="2"/>
  <c r="S44" i="6" s="1"/>
  <c r="S45" i="2"/>
  <c r="S45" i="6" s="1"/>
  <c r="S46" i="2"/>
  <c r="S46" i="6" s="1"/>
  <c r="S47" i="2"/>
  <c r="S47" i="6" s="1"/>
  <c r="S48" i="2"/>
  <c r="S48" i="6" s="1"/>
  <c r="S49" i="2"/>
  <c r="S49" i="6" s="1"/>
  <c r="S50" i="2"/>
  <c r="S50" i="6" s="1"/>
  <c r="S51" i="2"/>
  <c r="S51" i="6" s="1"/>
  <c r="S52" i="2"/>
  <c r="S52" i="6" s="1"/>
  <c r="S53" i="2"/>
  <c r="S53" i="6" s="1"/>
  <c r="S54" i="2"/>
  <c r="S54" i="6" s="1"/>
  <c r="S55" i="2"/>
  <c r="S55" i="6" s="1"/>
  <c r="S56" i="2"/>
  <c r="S56" i="6" s="1"/>
  <c r="S57" i="2"/>
  <c r="S57" i="6" s="1"/>
  <c r="S58" i="2"/>
  <c r="S58" i="6" s="1"/>
  <c r="S59" i="6"/>
  <c r="S60" i="2"/>
  <c r="S60" i="6" s="1"/>
  <c r="S61" i="2"/>
  <c r="S61" i="6" s="1"/>
  <c r="S62" i="2"/>
  <c r="S62" i="6" s="1"/>
  <c r="S63" i="2"/>
  <c r="S63" i="6" s="1"/>
  <c r="S64" i="2"/>
  <c r="S64" i="6" s="1"/>
  <c r="S65" i="2"/>
  <c r="S65" i="6" s="1"/>
  <c r="S66" i="2"/>
  <c r="S66" i="6" s="1"/>
  <c r="S67" i="2"/>
  <c r="S67" i="6" s="1"/>
  <c r="S12" i="2"/>
  <c r="J2" i="2" s="1"/>
  <c r="I8" i="5"/>
  <c r="J8" i="5" s="1"/>
  <c r="H8" i="5"/>
  <c r="G8" i="5"/>
  <c r="F8" i="5"/>
  <c r="E8" i="5"/>
  <c r="D8" i="5"/>
  <c r="C8" i="5"/>
  <c r="B8" i="5"/>
  <c r="A8" i="5"/>
  <c r="I7" i="5"/>
  <c r="J7" i="5" s="1"/>
  <c r="H7" i="5"/>
  <c r="G7" i="5"/>
  <c r="F7" i="5"/>
  <c r="E7" i="5"/>
  <c r="D7" i="5"/>
  <c r="C7" i="5"/>
  <c r="B7" i="5"/>
  <c r="A7" i="5"/>
  <c r="I6" i="5"/>
  <c r="J6" i="5" s="1"/>
  <c r="H6" i="5"/>
  <c r="G6" i="5"/>
  <c r="F6" i="5"/>
  <c r="E6" i="5"/>
  <c r="D6" i="5"/>
  <c r="C6" i="5"/>
  <c r="B6" i="5"/>
  <c r="A6" i="5"/>
  <c r="I5" i="5"/>
  <c r="J5" i="5" s="1"/>
  <c r="H5" i="5"/>
  <c r="G5" i="5"/>
  <c r="F5" i="5"/>
  <c r="E5" i="5"/>
  <c r="D5" i="5"/>
  <c r="C5" i="5"/>
  <c r="B5" i="5"/>
  <c r="A5" i="5"/>
  <c r="I4" i="5"/>
  <c r="J4" i="5" s="1"/>
  <c r="H4" i="5"/>
  <c r="G4" i="5"/>
  <c r="F4" i="5"/>
  <c r="E4" i="5"/>
  <c r="D4" i="5"/>
  <c r="C4" i="5"/>
  <c r="B4" i="5"/>
  <c r="A4" i="5"/>
  <c r="I3" i="5"/>
  <c r="J3" i="5" s="1"/>
  <c r="H3" i="5"/>
  <c r="G3" i="5"/>
  <c r="F3" i="5"/>
  <c r="E3" i="5"/>
  <c r="D3" i="5"/>
  <c r="C3" i="5"/>
  <c r="B3" i="5"/>
  <c r="A3" i="5"/>
  <c r="I2" i="5"/>
  <c r="H2" i="5"/>
  <c r="H9" i="5" s="1"/>
  <c r="G2" i="5"/>
  <c r="G9" i="5" s="1"/>
  <c r="F2" i="5"/>
  <c r="F9" i="5" s="1"/>
  <c r="E2" i="5"/>
  <c r="E9" i="5" s="1"/>
  <c r="D2" i="5"/>
  <c r="D9" i="5" s="1"/>
  <c r="C2" i="5"/>
  <c r="C9" i="5" s="1"/>
  <c r="B2" i="5"/>
  <c r="B9" i="5" s="1"/>
  <c r="A2" i="5"/>
  <c r="I8" i="4"/>
  <c r="J8" i="4" s="1"/>
  <c r="H8" i="4"/>
  <c r="F8" i="4"/>
  <c r="E8" i="4"/>
  <c r="D8" i="4"/>
  <c r="C8" i="4"/>
  <c r="B8" i="4"/>
  <c r="A8" i="4"/>
  <c r="I7" i="4"/>
  <c r="J7" i="4" s="1"/>
  <c r="H7" i="4"/>
  <c r="G7" i="4"/>
  <c r="F7" i="4"/>
  <c r="E7" i="4"/>
  <c r="D7" i="4"/>
  <c r="C7" i="4"/>
  <c r="B7" i="4"/>
  <c r="A7" i="4"/>
  <c r="I6" i="4"/>
  <c r="J6" i="4" s="1"/>
  <c r="H6" i="4"/>
  <c r="G6" i="4"/>
  <c r="F6" i="4"/>
  <c r="E6" i="4"/>
  <c r="D6" i="4"/>
  <c r="C6" i="4"/>
  <c r="B6" i="4"/>
  <c r="A6" i="4"/>
  <c r="I5" i="4"/>
  <c r="J5" i="4" s="1"/>
  <c r="H5" i="4"/>
  <c r="F5" i="4"/>
  <c r="E5" i="4"/>
  <c r="D5" i="4"/>
  <c r="C5" i="4"/>
  <c r="B5" i="4"/>
  <c r="A5" i="4"/>
  <c r="I4" i="4"/>
  <c r="J4" i="4" s="1"/>
  <c r="H4" i="4"/>
  <c r="G4" i="4"/>
  <c r="F4" i="4"/>
  <c r="E4" i="4"/>
  <c r="D4" i="4"/>
  <c r="C4" i="4"/>
  <c r="B4" i="4"/>
  <c r="A4" i="4"/>
  <c r="I3" i="4"/>
  <c r="J3" i="4" s="1"/>
  <c r="H3" i="4"/>
  <c r="G3" i="4"/>
  <c r="F3" i="4"/>
  <c r="E3" i="4"/>
  <c r="D3" i="4"/>
  <c r="C3" i="4"/>
  <c r="B3" i="4"/>
  <c r="A3" i="4"/>
  <c r="I2" i="4"/>
  <c r="J2" i="4" s="1"/>
  <c r="H2" i="4"/>
  <c r="H9" i="4" s="1"/>
  <c r="G2" i="4"/>
  <c r="G9" i="4" s="1"/>
  <c r="F2" i="4"/>
  <c r="F9" i="4" s="1"/>
  <c r="E2" i="4"/>
  <c r="E9" i="4" s="1"/>
  <c r="D2" i="4"/>
  <c r="D9" i="4" s="1"/>
  <c r="C2" i="4"/>
  <c r="C9" i="4" s="1"/>
  <c r="B2" i="4"/>
  <c r="B9" i="4" s="1"/>
  <c r="A2" i="4"/>
  <c r="I8" i="3"/>
  <c r="J8" i="3" s="1"/>
  <c r="H8" i="3"/>
  <c r="G8" i="3"/>
  <c r="F8" i="3"/>
  <c r="E8" i="3"/>
  <c r="D8" i="3"/>
  <c r="C8" i="3"/>
  <c r="B8" i="3"/>
  <c r="A8" i="3"/>
  <c r="I7" i="3"/>
  <c r="J7" i="3" s="1"/>
  <c r="H7" i="3"/>
  <c r="G7" i="3"/>
  <c r="F7" i="3"/>
  <c r="E7" i="3"/>
  <c r="D7" i="3"/>
  <c r="C7" i="3"/>
  <c r="B7" i="3"/>
  <c r="A7" i="3"/>
  <c r="I6" i="3"/>
  <c r="J6" i="3" s="1"/>
  <c r="H6" i="3"/>
  <c r="G6" i="3"/>
  <c r="F6" i="3"/>
  <c r="E6" i="3"/>
  <c r="D6" i="3"/>
  <c r="C6" i="3"/>
  <c r="B6" i="3"/>
  <c r="A6" i="3"/>
  <c r="I5" i="3"/>
  <c r="J5" i="3" s="1"/>
  <c r="H5" i="3"/>
  <c r="G5" i="3"/>
  <c r="F5" i="3"/>
  <c r="E5" i="3"/>
  <c r="D5" i="3"/>
  <c r="C5" i="3"/>
  <c r="B5" i="3"/>
  <c r="A5" i="3"/>
  <c r="I4" i="3"/>
  <c r="J4" i="3" s="1"/>
  <c r="H4" i="3"/>
  <c r="G4" i="3"/>
  <c r="F4" i="3"/>
  <c r="E4" i="3"/>
  <c r="D4" i="3"/>
  <c r="C4" i="3"/>
  <c r="B4" i="3"/>
  <c r="A4" i="3"/>
  <c r="I3" i="3"/>
  <c r="J3" i="3" s="1"/>
  <c r="H3" i="3"/>
  <c r="G3" i="3"/>
  <c r="F3" i="3"/>
  <c r="E3" i="3"/>
  <c r="D3" i="3"/>
  <c r="C3" i="3"/>
  <c r="B3" i="3"/>
  <c r="A3" i="3"/>
  <c r="I2" i="3"/>
  <c r="J2" i="3" s="1"/>
  <c r="H2" i="3"/>
  <c r="H9" i="3" s="1"/>
  <c r="G2" i="3"/>
  <c r="G9" i="3" s="1"/>
  <c r="F2" i="3"/>
  <c r="F9" i="3" s="1"/>
  <c r="E2" i="3"/>
  <c r="E9" i="3" s="1"/>
  <c r="D2" i="3"/>
  <c r="D9" i="3" s="1"/>
  <c r="C2" i="3"/>
  <c r="C9" i="3" s="1"/>
  <c r="B2" i="3"/>
  <c r="B9" i="3" s="1"/>
  <c r="A2" i="3"/>
  <c r="I8" i="7"/>
  <c r="J8" i="7" s="1"/>
  <c r="H8" i="7"/>
  <c r="G8" i="7"/>
  <c r="F8" i="7"/>
  <c r="E8" i="7"/>
  <c r="D8" i="7"/>
  <c r="C8" i="7"/>
  <c r="B8" i="7"/>
  <c r="A8" i="7"/>
  <c r="I7" i="7"/>
  <c r="J7" i="7" s="1"/>
  <c r="H7" i="7"/>
  <c r="G7" i="7"/>
  <c r="F7" i="7"/>
  <c r="E7" i="7"/>
  <c r="D7" i="7"/>
  <c r="C7" i="7"/>
  <c r="B7" i="7"/>
  <c r="A7" i="7"/>
  <c r="I6" i="7"/>
  <c r="J6" i="7" s="1"/>
  <c r="H6" i="7"/>
  <c r="G6" i="7"/>
  <c r="F6" i="7"/>
  <c r="E6" i="7"/>
  <c r="D6" i="7"/>
  <c r="C6" i="7"/>
  <c r="B6" i="7"/>
  <c r="A6" i="7"/>
  <c r="I5" i="7"/>
  <c r="J5" i="7" s="1"/>
  <c r="H5" i="7"/>
  <c r="G5" i="7"/>
  <c r="F5" i="7"/>
  <c r="E5" i="7"/>
  <c r="D5" i="7"/>
  <c r="C5" i="7"/>
  <c r="B5" i="7"/>
  <c r="A5" i="7"/>
  <c r="I4" i="7"/>
  <c r="J4" i="7" s="1"/>
  <c r="H4" i="7"/>
  <c r="G4" i="7"/>
  <c r="F4" i="7"/>
  <c r="E4" i="7"/>
  <c r="D4" i="7"/>
  <c r="C4" i="7"/>
  <c r="B4" i="7"/>
  <c r="A4" i="7"/>
  <c r="I3" i="7"/>
  <c r="J3" i="7" s="1"/>
  <c r="H3" i="7"/>
  <c r="G3" i="7"/>
  <c r="F3" i="7"/>
  <c r="E3" i="7"/>
  <c r="D3" i="7"/>
  <c r="C3" i="7"/>
  <c r="B3" i="7"/>
  <c r="A3" i="7"/>
  <c r="I2" i="7"/>
  <c r="J2" i="7" s="1"/>
  <c r="H2" i="7"/>
  <c r="H9" i="7" s="1"/>
  <c r="G2" i="7"/>
  <c r="G9" i="7" s="1"/>
  <c r="F2" i="7"/>
  <c r="F9" i="7" s="1"/>
  <c r="E2" i="7"/>
  <c r="E9" i="7" s="1"/>
  <c r="D2" i="7"/>
  <c r="D9" i="7" s="1"/>
  <c r="C2" i="7"/>
  <c r="C9" i="7" s="1"/>
  <c r="B2" i="7"/>
  <c r="B9" i="7" s="1"/>
  <c r="A2" i="7"/>
  <c r="H2" i="2"/>
  <c r="C2" i="2"/>
  <c r="D2" i="2"/>
  <c r="E2" i="2"/>
  <c r="F2" i="2"/>
  <c r="G2" i="2"/>
  <c r="C3" i="2"/>
  <c r="D3" i="2"/>
  <c r="E3" i="2"/>
  <c r="F3" i="2"/>
  <c r="G3" i="2"/>
  <c r="H3" i="2"/>
  <c r="C4" i="2"/>
  <c r="D4" i="2"/>
  <c r="E4" i="2"/>
  <c r="F4" i="2"/>
  <c r="G4" i="2"/>
  <c r="H4" i="2"/>
  <c r="I4" i="2"/>
  <c r="C5" i="2"/>
  <c r="D5" i="2"/>
  <c r="E5" i="2"/>
  <c r="F5" i="2"/>
  <c r="G5" i="2"/>
  <c r="H5" i="2"/>
  <c r="I5" i="2"/>
  <c r="C6" i="2"/>
  <c r="D6" i="2"/>
  <c r="E6" i="2"/>
  <c r="F6" i="2"/>
  <c r="G6" i="2"/>
  <c r="H6" i="2"/>
  <c r="I6" i="2"/>
  <c r="C7" i="2"/>
  <c r="D7" i="2"/>
  <c r="E7" i="2"/>
  <c r="F7" i="2"/>
  <c r="G7" i="2"/>
  <c r="H7" i="2"/>
  <c r="I7" i="2"/>
  <c r="C8" i="2"/>
  <c r="D8" i="2"/>
  <c r="E8" i="2"/>
  <c r="F8" i="2"/>
  <c r="G8" i="2"/>
  <c r="H8" i="2"/>
  <c r="I8" i="2"/>
  <c r="B8" i="2"/>
  <c r="B7" i="2"/>
  <c r="B4" i="2"/>
  <c r="A8" i="2"/>
  <c r="A7" i="2"/>
  <c r="A6" i="2"/>
  <c r="A5" i="2"/>
  <c r="A4" i="2"/>
  <c r="A3" i="2"/>
  <c r="A2" i="2"/>
  <c r="B3" i="2"/>
  <c r="B2" i="2"/>
  <c r="B9" i="2" s="1"/>
  <c r="K68" i="2"/>
  <c r="M68" i="2"/>
  <c r="O68" i="2"/>
  <c r="K68" i="7"/>
  <c r="M68" i="7"/>
  <c r="O68" i="7"/>
  <c r="K68" i="3"/>
  <c r="M68" i="3"/>
  <c r="O68" i="3"/>
  <c r="K68" i="4"/>
  <c r="M68" i="4"/>
  <c r="O68" i="4"/>
  <c r="C17" i="6"/>
  <c r="D17" i="6"/>
  <c r="E17" i="6"/>
  <c r="F17" i="6"/>
  <c r="G17" i="6"/>
  <c r="H17" i="6"/>
  <c r="I17" i="6"/>
  <c r="J17" i="6"/>
  <c r="P17" i="6" s="1"/>
  <c r="K17" i="6"/>
  <c r="M17" i="6"/>
  <c r="O17" i="6"/>
  <c r="K18" i="5"/>
  <c r="M18" i="5"/>
  <c r="O18" i="5"/>
  <c r="D58" i="6"/>
  <c r="C58" i="6"/>
  <c r="E58" i="6"/>
  <c r="F58" i="6"/>
  <c r="G58" i="6"/>
  <c r="H58" i="6"/>
  <c r="I58" i="6"/>
  <c r="J58" i="6"/>
  <c r="P58" i="6" s="1"/>
  <c r="K58" i="6"/>
  <c r="M58" i="6"/>
  <c r="O58" i="6"/>
  <c r="C18" i="6"/>
  <c r="D18" i="6"/>
  <c r="E18" i="6"/>
  <c r="F18" i="6"/>
  <c r="G18" i="6"/>
  <c r="H18" i="6"/>
  <c r="I18" i="6"/>
  <c r="J18" i="6"/>
  <c r="P18" i="6" s="1"/>
  <c r="K18" i="6"/>
  <c r="M18" i="6"/>
  <c r="O18" i="6"/>
  <c r="K58" i="5"/>
  <c r="M58" i="5"/>
  <c r="O58" i="5"/>
  <c r="K17" i="5"/>
  <c r="M17" i="5"/>
  <c r="O17" i="5"/>
  <c r="K57" i="4"/>
  <c r="M57" i="4"/>
  <c r="O57" i="4"/>
  <c r="K17" i="4"/>
  <c r="M17" i="4"/>
  <c r="O17" i="4"/>
  <c r="K57" i="3"/>
  <c r="M57" i="3"/>
  <c r="O57" i="3"/>
  <c r="K17" i="3"/>
  <c r="M17" i="3"/>
  <c r="O17" i="3"/>
  <c r="K57" i="7"/>
  <c r="M57" i="7"/>
  <c r="O57" i="7"/>
  <c r="K17" i="7"/>
  <c r="M17" i="7"/>
  <c r="O17" i="7"/>
  <c r="K17" i="2"/>
  <c r="M17" i="2"/>
  <c r="O17" i="2"/>
  <c r="K57" i="2"/>
  <c r="M57" i="2"/>
  <c r="O57" i="2"/>
  <c r="J12" i="6"/>
  <c r="J13" i="6"/>
  <c r="P13" i="6" s="1"/>
  <c r="J14" i="6"/>
  <c r="P14" i="6" s="1"/>
  <c r="J15" i="6"/>
  <c r="P15" i="6" s="1"/>
  <c r="J16" i="6"/>
  <c r="P16" i="6" s="1"/>
  <c r="J19" i="6"/>
  <c r="P19" i="6" s="1"/>
  <c r="J20" i="6"/>
  <c r="P20" i="6" s="1"/>
  <c r="J21" i="6"/>
  <c r="P21" i="6" s="1"/>
  <c r="J22" i="6"/>
  <c r="P22" i="6" s="1"/>
  <c r="J23" i="6"/>
  <c r="P23" i="6" s="1"/>
  <c r="J24" i="6"/>
  <c r="P24" i="6" s="1"/>
  <c r="J25" i="6"/>
  <c r="P25" i="6" s="1"/>
  <c r="J26" i="6"/>
  <c r="P26" i="6" s="1"/>
  <c r="J27" i="6"/>
  <c r="P27" i="6" s="1"/>
  <c r="J28" i="6"/>
  <c r="P28" i="6" s="1"/>
  <c r="J29" i="6"/>
  <c r="P29" i="6" s="1"/>
  <c r="J30" i="6"/>
  <c r="P30" i="6" s="1"/>
  <c r="J31" i="6"/>
  <c r="P31" i="6" s="1"/>
  <c r="J32" i="6"/>
  <c r="P32" i="6" s="1"/>
  <c r="J33" i="6"/>
  <c r="P33" i="6" s="1"/>
  <c r="J34" i="6"/>
  <c r="P34" i="6" s="1"/>
  <c r="J35" i="6"/>
  <c r="P35" i="6" s="1"/>
  <c r="J36" i="6"/>
  <c r="P36" i="6" s="1"/>
  <c r="J37" i="6"/>
  <c r="P37" i="6" s="1"/>
  <c r="J38" i="6"/>
  <c r="P38" i="6" s="1"/>
  <c r="J39" i="6"/>
  <c r="P39" i="6" s="1"/>
  <c r="J40" i="6"/>
  <c r="P40" i="6" s="1"/>
  <c r="J42" i="6"/>
  <c r="P42" i="6" s="1"/>
  <c r="J43" i="6"/>
  <c r="P43" i="6" s="1"/>
  <c r="J44" i="6"/>
  <c r="P44" i="6" s="1"/>
  <c r="J45" i="6"/>
  <c r="P45" i="6" s="1"/>
  <c r="J46" i="6"/>
  <c r="P46" i="6" s="1"/>
  <c r="J47" i="6"/>
  <c r="P47" i="6" s="1"/>
  <c r="J48" i="6"/>
  <c r="P48" i="6" s="1"/>
  <c r="J49" i="6"/>
  <c r="P49" i="6" s="1"/>
  <c r="J50" i="6"/>
  <c r="P50" i="6" s="1"/>
  <c r="J51" i="6"/>
  <c r="P51" i="6" s="1"/>
  <c r="J52" i="6"/>
  <c r="P52" i="6" s="1"/>
  <c r="J53" i="6"/>
  <c r="P53" i="6" s="1"/>
  <c r="J54" i="6"/>
  <c r="P54" i="6" s="1"/>
  <c r="J55" i="6"/>
  <c r="P55" i="6" s="1"/>
  <c r="J56" i="6"/>
  <c r="P56" i="6" s="1"/>
  <c r="J57" i="6"/>
  <c r="P57" i="6" s="1"/>
  <c r="J59" i="6"/>
  <c r="P59" i="6" s="1"/>
  <c r="J60" i="6"/>
  <c r="P60" i="6" s="1"/>
  <c r="J61" i="6"/>
  <c r="P61" i="6" s="1"/>
  <c r="J62" i="6"/>
  <c r="P62" i="6" s="1"/>
  <c r="J63" i="6"/>
  <c r="P63" i="6" s="1"/>
  <c r="J64" i="6"/>
  <c r="P64" i="6" s="1"/>
  <c r="J65" i="6"/>
  <c r="P65" i="6" s="1"/>
  <c r="J66" i="6"/>
  <c r="P66" i="6" s="1"/>
  <c r="J67" i="6"/>
  <c r="P67" i="6" s="1"/>
  <c r="J68" i="6"/>
  <c r="P68" i="6" s="1"/>
  <c r="I13" i="6"/>
  <c r="I14" i="6"/>
  <c r="I15" i="6"/>
  <c r="I16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9" i="6"/>
  <c r="I60" i="6"/>
  <c r="I61" i="6"/>
  <c r="I62" i="6"/>
  <c r="I63" i="6"/>
  <c r="I64" i="6"/>
  <c r="I65" i="6"/>
  <c r="I66" i="6"/>
  <c r="I67" i="6"/>
  <c r="I68" i="6"/>
  <c r="I12" i="6"/>
  <c r="D13" i="6"/>
  <c r="E13" i="6"/>
  <c r="F13" i="6"/>
  <c r="G13" i="6"/>
  <c r="H13" i="6"/>
  <c r="D14" i="6"/>
  <c r="E14" i="6"/>
  <c r="F14" i="6"/>
  <c r="G14" i="6"/>
  <c r="H14" i="6"/>
  <c r="D15" i="6"/>
  <c r="E15" i="6"/>
  <c r="F15" i="6"/>
  <c r="G15" i="6"/>
  <c r="H15" i="6"/>
  <c r="D16" i="6"/>
  <c r="E16" i="6"/>
  <c r="F16" i="6"/>
  <c r="G16" i="6"/>
  <c r="H16" i="6"/>
  <c r="D19" i="6"/>
  <c r="E19" i="6"/>
  <c r="F19" i="6"/>
  <c r="G19" i="6"/>
  <c r="H19" i="6"/>
  <c r="D20" i="6"/>
  <c r="E20" i="6"/>
  <c r="F20" i="6"/>
  <c r="G20" i="6"/>
  <c r="H20" i="6"/>
  <c r="D21" i="6"/>
  <c r="E21" i="6"/>
  <c r="F21" i="6"/>
  <c r="G21" i="6"/>
  <c r="H21" i="6"/>
  <c r="D22" i="6"/>
  <c r="E22" i="6"/>
  <c r="F22" i="6"/>
  <c r="G22" i="6"/>
  <c r="H22" i="6"/>
  <c r="D23" i="6"/>
  <c r="E23" i="6"/>
  <c r="F23" i="6"/>
  <c r="G23" i="6"/>
  <c r="H23" i="6"/>
  <c r="D24" i="6"/>
  <c r="E24" i="6"/>
  <c r="F24" i="6"/>
  <c r="G24" i="6"/>
  <c r="H24" i="6"/>
  <c r="D25" i="6"/>
  <c r="E25" i="6"/>
  <c r="F25" i="6"/>
  <c r="G25" i="6"/>
  <c r="H25" i="6"/>
  <c r="D26" i="6"/>
  <c r="E26" i="6"/>
  <c r="F26" i="6"/>
  <c r="G26" i="6"/>
  <c r="H26" i="6"/>
  <c r="D27" i="6"/>
  <c r="E27" i="6"/>
  <c r="F27" i="6"/>
  <c r="G27" i="6"/>
  <c r="H27" i="6"/>
  <c r="D28" i="6"/>
  <c r="E28" i="6"/>
  <c r="F28" i="6"/>
  <c r="G28" i="6"/>
  <c r="H28" i="6"/>
  <c r="D29" i="6"/>
  <c r="E29" i="6"/>
  <c r="F29" i="6"/>
  <c r="G29" i="6"/>
  <c r="H29" i="6"/>
  <c r="D30" i="6"/>
  <c r="E30" i="6"/>
  <c r="F30" i="6"/>
  <c r="G30" i="6"/>
  <c r="H30" i="6"/>
  <c r="D31" i="6"/>
  <c r="E31" i="6"/>
  <c r="F31" i="6"/>
  <c r="G31" i="6"/>
  <c r="H31" i="6"/>
  <c r="D32" i="6"/>
  <c r="E32" i="6"/>
  <c r="F32" i="6"/>
  <c r="G32" i="6"/>
  <c r="H32" i="6"/>
  <c r="D33" i="6"/>
  <c r="E33" i="6"/>
  <c r="F33" i="6"/>
  <c r="G33" i="6"/>
  <c r="H33" i="6"/>
  <c r="D34" i="6"/>
  <c r="E34" i="6"/>
  <c r="F34" i="6"/>
  <c r="G34" i="6"/>
  <c r="H34" i="6"/>
  <c r="D35" i="6"/>
  <c r="E35" i="6"/>
  <c r="F35" i="6"/>
  <c r="G35" i="6"/>
  <c r="H35" i="6"/>
  <c r="D36" i="6"/>
  <c r="E36" i="6"/>
  <c r="F36" i="6"/>
  <c r="G36" i="6"/>
  <c r="H36" i="6"/>
  <c r="D37" i="6"/>
  <c r="E37" i="6"/>
  <c r="F37" i="6"/>
  <c r="G37" i="6"/>
  <c r="H37" i="6"/>
  <c r="D38" i="6"/>
  <c r="E38" i="6"/>
  <c r="F38" i="6"/>
  <c r="G38" i="6"/>
  <c r="H38" i="6"/>
  <c r="D39" i="6"/>
  <c r="E39" i="6"/>
  <c r="F39" i="6"/>
  <c r="G39" i="6"/>
  <c r="H39" i="6"/>
  <c r="D40" i="6"/>
  <c r="E40" i="6"/>
  <c r="F40" i="6"/>
  <c r="G40" i="6"/>
  <c r="H40" i="6"/>
  <c r="D42" i="6"/>
  <c r="E42" i="6"/>
  <c r="F42" i="6"/>
  <c r="G42" i="6"/>
  <c r="H42" i="6"/>
  <c r="D43" i="6"/>
  <c r="E43" i="6"/>
  <c r="F43" i="6"/>
  <c r="G43" i="6"/>
  <c r="H43" i="6"/>
  <c r="D44" i="6"/>
  <c r="E44" i="6"/>
  <c r="F44" i="6"/>
  <c r="G44" i="6"/>
  <c r="H44" i="6"/>
  <c r="D45" i="6"/>
  <c r="E45" i="6"/>
  <c r="F45" i="6"/>
  <c r="G45" i="6"/>
  <c r="H45" i="6"/>
  <c r="D46" i="6"/>
  <c r="E46" i="6"/>
  <c r="F46" i="6"/>
  <c r="G46" i="6"/>
  <c r="H46" i="6"/>
  <c r="D47" i="6"/>
  <c r="E47" i="6"/>
  <c r="F47" i="6"/>
  <c r="G47" i="6"/>
  <c r="H47" i="6"/>
  <c r="D48" i="6"/>
  <c r="E48" i="6"/>
  <c r="F48" i="6"/>
  <c r="G48" i="6"/>
  <c r="H48" i="6"/>
  <c r="D49" i="6"/>
  <c r="E49" i="6"/>
  <c r="F49" i="6"/>
  <c r="G49" i="6"/>
  <c r="H49" i="6"/>
  <c r="D50" i="6"/>
  <c r="E50" i="6"/>
  <c r="F50" i="6"/>
  <c r="G50" i="6"/>
  <c r="H50" i="6"/>
  <c r="D51" i="6"/>
  <c r="E51" i="6"/>
  <c r="F51" i="6"/>
  <c r="G51" i="6"/>
  <c r="H51" i="6"/>
  <c r="D52" i="6"/>
  <c r="E52" i="6"/>
  <c r="F52" i="6"/>
  <c r="G52" i="6"/>
  <c r="H52" i="6"/>
  <c r="D53" i="6"/>
  <c r="E53" i="6"/>
  <c r="F53" i="6"/>
  <c r="G53" i="6"/>
  <c r="H53" i="6"/>
  <c r="D54" i="6"/>
  <c r="E54" i="6"/>
  <c r="F54" i="6"/>
  <c r="G54" i="6"/>
  <c r="H54" i="6"/>
  <c r="D55" i="6"/>
  <c r="E55" i="6"/>
  <c r="F55" i="6"/>
  <c r="G55" i="6"/>
  <c r="H55" i="6"/>
  <c r="D56" i="6"/>
  <c r="E56" i="6"/>
  <c r="F56" i="6"/>
  <c r="G56" i="6"/>
  <c r="H56" i="6"/>
  <c r="D57" i="6"/>
  <c r="E57" i="6"/>
  <c r="F57" i="6"/>
  <c r="G57" i="6"/>
  <c r="H57" i="6"/>
  <c r="D59" i="6"/>
  <c r="E59" i="6"/>
  <c r="F59" i="6"/>
  <c r="G59" i="6"/>
  <c r="H59" i="6"/>
  <c r="D60" i="6"/>
  <c r="E60" i="6"/>
  <c r="F60" i="6"/>
  <c r="G60" i="6"/>
  <c r="H60" i="6"/>
  <c r="D61" i="6"/>
  <c r="E61" i="6"/>
  <c r="F61" i="6"/>
  <c r="G61" i="6"/>
  <c r="H61" i="6"/>
  <c r="D62" i="6"/>
  <c r="E62" i="6"/>
  <c r="F62" i="6"/>
  <c r="G62" i="6"/>
  <c r="H62" i="6"/>
  <c r="D63" i="6"/>
  <c r="E63" i="6"/>
  <c r="F63" i="6"/>
  <c r="G63" i="6"/>
  <c r="H63" i="6"/>
  <c r="D64" i="6"/>
  <c r="E64" i="6"/>
  <c r="F64" i="6"/>
  <c r="G64" i="6"/>
  <c r="H64" i="6"/>
  <c r="D65" i="6"/>
  <c r="E65" i="6"/>
  <c r="F65" i="6"/>
  <c r="G65" i="6"/>
  <c r="H65" i="6"/>
  <c r="D66" i="6"/>
  <c r="E66" i="6"/>
  <c r="F66" i="6"/>
  <c r="G66" i="6"/>
  <c r="H66" i="6"/>
  <c r="D67" i="6"/>
  <c r="E67" i="6"/>
  <c r="F67" i="6"/>
  <c r="G67" i="6"/>
  <c r="H67" i="6"/>
  <c r="D68" i="6"/>
  <c r="E68" i="6"/>
  <c r="F68" i="6"/>
  <c r="G68" i="6"/>
  <c r="H68" i="6"/>
  <c r="E12" i="6"/>
  <c r="F12" i="6"/>
  <c r="G12" i="6"/>
  <c r="H12" i="6"/>
  <c r="D12" i="6"/>
  <c r="C13" i="6"/>
  <c r="C14" i="6"/>
  <c r="C15" i="6"/>
  <c r="C16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9" i="6"/>
  <c r="C60" i="6"/>
  <c r="C61" i="6"/>
  <c r="C62" i="6"/>
  <c r="C63" i="6"/>
  <c r="C64" i="6"/>
  <c r="C65" i="6"/>
  <c r="C66" i="6"/>
  <c r="C67" i="6"/>
  <c r="C68" i="6"/>
  <c r="C12" i="6"/>
  <c r="B2" i="6" s="1"/>
  <c r="B285" i="7"/>
  <c r="B286" i="7" s="1"/>
  <c r="B287" i="7" s="1"/>
  <c r="B288" i="7" s="1"/>
  <c r="B289" i="7" s="1"/>
  <c r="B290" i="7" s="1"/>
  <c r="B291" i="7" s="1"/>
  <c r="B292" i="7" s="1"/>
  <c r="B293" i="7" s="1"/>
  <c r="B294" i="7" s="1"/>
  <c r="B295" i="7" s="1"/>
  <c r="B296" i="7" s="1"/>
  <c r="B297" i="7" s="1"/>
  <c r="B298" i="7" s="1"/>
  <c r="B299" i="7" s="1"/>
  <c r="B300" i="7" s="1"/>
  <c r="B301" i="7" s="1"/>
  <c r="B302" i="7" s="1"/>
  <c r="B303" i="7" s="1"/>
  <c r="B304" i="7" s="1"/>
  <c r="B305" i="7" s="1"/>
  <c r="B306" i="7" s="1"/>
  <c r="B307" i="7" s="1"/>
  <c r="B308" i="7" s="1"/>
  <c r="B309" i="7" s="1"/>
  <c r="B310" i="7" s="1"/>
  <c r="B311" i="7" s="1"/>
  <c r="B312" i="7" s="1"/>
  <c r="B313" i="7" s="1"/>
  <c r="B314" i="7" s="1"/>
  <c r="B315" i="7" s="1"/>
  <c r="B316" i="7" s="1"/>
  <c r="B317" i="7" s="1"/>
  <c r="B318" i="7" s="1"/>
  <c r="B319" i="7" s="1"/>
  <c r="B320" i="7" s="1"/>
  <c r="B321" i="7" s="1"/>
  <c r="B322" i="7" s="1"/>
  <c r="B323" i="7" s="1"/>
  <c r="B324" i="7" s="1"/>
  <c r="B325" i="7" s="1"/>
  <c r="B326" i="7" s="1"/>
  <c r="B327" i="7" s="1"/>
  <c r="B328" i="7" s="1"/>
  <c r="B329" i="7" s="1"/>
  <c r="B330" i="7" s="1"/>
  <c r="B331" i="7" s="1"/>
  <c r="B332" i="7" s="1"/>
  <c r="B333" i="7" s="1"/>
  <c r="B334" i="7" s="1"/>
  <c r="B335" i="7" s="1"/>
  <c r="B336" i="7" s="1"/>
  <c r="B337" i="7" s="1"/>
  <c r="B338" i="7" s="1"/>
  <c r="B339" i="7" s="1"/>
  <c r="B340" i="7" s="1"/>
  <c r="B341" i="7" s="1"/>
  <c r="B342" i="7" s="1"/>
  <c r="B343" i="7" s="1"/>
  <c r="B344" i="7" s="1"/>
  <c r="B345" i="7" s="1"/>
  <c r="B346" i="7" s="1"/>
  <c r="B347" i="7" s="1"/>
  <c r="B348" i="7" s="1"/>
  <c r="B349" i="7" s="1"/>
  <c r="B350" i="7" s="1"/>
  <c r="B351" i="7" s="1"/>
  <c r="B352" i="7" s="1"/>
  <c r="B353" i="7" s="1"/>
  <c r="B354" i="7" s="1"/>
  <c r="B355" i="7" s="1"/>
  <c r="B356" i="7" s="1"/>
  <c r="B357" i="7" s="1"/>
  <c r="B358" i="7" s="1"/>
  <c r="B359" i="7" s="1"/>
  <c r="B360" i="7" s="1"/>
  <c r="B361" i="7" s="1"/>
  <c r="B362" i="7" s="1"/>
  <c r="B363" i="7" s="1"/>
  <c r="B364" i="7" s="1"/>
  <c r="B365" i="7" s="1"/>
  <c r="B366" i="7" s="1"/>
  <c r="B367" i="7" s="1"/>
  <c r="B368" i="7" s="1"/>
  <c r="B369" i="7" s="1"/>
  <c r="B370" i="7" s="1"/>
  <c r="B371" i="7" s="1"/>
  <c r="B372" i="7" s="1"/>
  <c r="B373" i="7" s="1"/>
  <c r="B374" i="7" s="1"/>
  <c r="B375" i="7" s="1"/>
  <c r="B376" i="7" s="1"/>
  <c r="B377" i="7" s="1"/>
  <c r="B378" i="7" s="1"/>
  <c r="B379" i="7" s="1"/>
  <c r="B380" i="7" s="1"/>
  <c r="B381" i="7" s="1"/>
  <c r="B382" i="7" s="1"/>
  <c r="B383" i="7" s="1"/>
  <c r="A285" i="7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301" i="7" s="1"/>
  <c r="A302" i="7" s="1"/>
  <c r="A303" i="7" s="1"/>
  <c r="A304" i="7" s="1"/>
  <c r="A305" i="7" s="1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A323" i="7" s="1"/>
  <c r="A324" i="7" s="1"/>
  <c r="A325" i="7" s="1"/>
  <c r="A326" i="7" s="1"/>
  <c r="A327" i="7" s="1"/>
  <c r="A328" i="7" s="1"/>
  <c r="A329" i="7" s="1"/>
  <c r="A330" i="7" s="1"/>
  <c r="A331" i="7" s="1"/>
  <c r="A332" i="7" s="1"/>
  <c r="A333" i="7" s="1"/>
  <c r="A334" i="7" s="1"/>
  <c r="A335" i="7" s="1"/>
  <c r="A336" i="7" s="1"/>
  <c r="A337" i="7" s="1"/>
  <c r="A338" i="7" s="1"/>
  <c r="A339" i="7" s="1"/>
  <c r="A340" i="7" s="1"/>
  <c r="A341" i="7" s="1"/>
  <c r="A342" i="7" s="1"/>
  <c r="A343" i="7" s="1"/>
  <c r="A344" i="7" s="1"/>
  <c r="A345" i="7" s="1"/>
  <c r="A346" i="7" s="1"/>
  <c r="A347" i="7" s="1"/>
  <c r="A348" i="7" s="1"/>
  <c r="A349" i="7" s="1"/>
  <c r="A350" i="7" s="1"/>
  <c r="A351" i="7" s="1"/>
  <c r="A352" i="7" s="1"/>
  <c r="A353" i="7" s="1"/>
  <c r="A354" i="7" s="1"/>
  <c r="A355" i="7" s="1"/>
  <c r="A356" i="7" s="1"/>
  <c r="A357" i="7" s="1"/>
  <c r="A358" i="7" s="1"/>
  <c r="A359" i="7" s="1"/>
  <c r="A360" i="7" s="1"/>
  <c r="A361" i="7" s="1"/>
  <c r="A362" i="7" s="1"/>
  <c r="A363" i="7" s="1"/>
  <c r="A364" i="7" s="1"/>
  <c r="A365" i="7" s="1"/>
  <c r="A366" i="7" s="1"/>
  <c r="A367" i="7" s="1"/>
  <c r="A368" i="7" s="1"/>
  <c r="A369" i="7" s="1"/>
  <c r="A370" i="7" s="1"/>
  <c r="A371" i="7" s="1"/>
  <c r="A372" i="7" s="1"/>
  <c r="A373" i="7" s="1"/>
  <c r="A374" i="7" s="1"/>
  <c r="A375" i="7" s="1"/>
  <c r="A376" i="7" s="1"/>
  <c r="A377" i="7" s="1"/>
  <c r="A378" i="7" s="1"/>
  <c r="A379" i="7" s="1"/>
  <c r="A380" i="7" s="1"/>
  <c r="A381" i="7" s="1"/>
  <c r="A382" i="7" s="1"/>
  <c r="A383" i="7" s="1"/>
  <c r="O67" i="7"/>
  <c r="M67" i="7"/>
  <c r="K67" i="7"/>
  <c r="O66" i="7"/>
  <c r="M66" i="7"/>
  <c r="K66" i="7"/>
  <c r="O65" i="7"/>
  <c r="M65" i="7"/>
  <c r="K65" i="7"/>
  <c r="O64" i="7"/>
  <c r="M64" i="7"/>
  <c r="K64" i="7"/>
  <c r="O63" i="7"/>
  <c r="M63" i="7"/>
  <c r="K63" i="7"/>
  <c r="O62" i="7"/>
  <c r="M62" i="7"/>
  <c r="K62" i="7"/>
  <c r="O61" i="7"/>
  <c r="M61" i="7"/>
  <c r="K61" i="7"/>
  <c r="O60" i="7"/>
  <c r="M60" i="7"/>
  <c r="K60" i="7"/>
  <c r="O59" i="7"/>
  <c r="M59" i="7"/>
  <c r="K59" i="7"/>
  <c r="O58" i="7"/>
  <c r="M58" i="7"/>
  <c r="K58" i="7"/>
  <c r="O56" i="7"/>
  <c r="M56" i="7"/>
  <c r="K56" i="7"/>
  <c r="O55" i="7"/>
  <c r="M55" i="7"/>
  <c r="K55" i="7"/>
  <c r="O54" i="7"/>
  <c r="M54" i="7"/>
  <c r="K54" i="7"/>
  <c r="O53" i="7"/>
  <c r="M53" i="7"/>
  <c r="K53" i="7"/>
  <c r="O52" i="7"/>
  <c r="M52" i="7"/>
  <c r="K52" i="7"/>
  <c r="O51" i="7"/>
  <c r="M51" i="7"/>
  <c r="K51" i="7"/>
  <c r="O50" i="7"/>
  <c r="M50" i="7"/>
  <c r="K50" i="7"/>
  <c r="O49" i="7"/>
  <c r="M49" i="7"/>
  <c r="K49" i="7"/>
  <c r="O48" i="7"/>
  <c r="M48" i="7"/>
  <c r="K48" i="7"/>
  <c r="O47" i="7"/>
  <c r="M47" i="7"/>
  <c r="K47" i="7"/>
  <c r="O46" i="7"/>
  <c r="M46" i="7"/>
  <c r="K46" i="7"/>
  <c r="O45" i="7"/>
  <c r="M45" i="7"/>
  <c r="K45" i="7"/>
  <c r="O44" i="7"/>
  <c r="M44" i="7"/>
  <c r="K44" i="7"/>
  <c r="O43" i="7"/>
  <c r="M43" i="7"/>
  <c r="K43" i="7"/>
  <c r="O42" i="7"/>
  <c r="M42" i="7"/>
  <c r="K42" i="7"/>
  <c r="O40" i="7"/>
  <c r="M40" i="7"/>
  <c r="K40" i="7"/>
  <c r="O39" i="7"/>
  <c r="M39" i="7"/>
  <c r="K39" i="7"/>
  <c r="O38" i="7"/>
  <c r="M38" i="7"/>
  <c r="K38" i="7"/>
  <c r="O37" i="7"/>
  <c r="M37" i="7"/>
  <c r="K37" i="7"/>
  <c r="O36" i="7"/>
  <c r="M36" i="7"/>
  <c r="K36" i="7"/>
  <c r="O35" i="7"/>
  <c r="M35" i="7"/>
  <c r="K35" i="7"/>
  <c r="O34" i="7"/>
  <c r="M34" i="7"/>
  <c r="K34" i="7"/>
  <c r="O33" i="7"/>
  <c r="M33" i="7"/>
  <c r="K33" i="7"/>
  <c r="O32" i="7"/>
  <c r="M32" i="7"/>
  <c r="K32" i="7"/>
  <c r="O31" i="7"/>
  <c r="M31" i="7"/>
  <c r="K31" i="7"/>
  <c r="O30" i="7"/>
  <c r="M30" i="7"/>
  <c r="K30" i="7"/>
  <c r="O29" i="7"/>
  <c r="M29" i="7"/>
  <c r="K29" i="7"/>
  <c r="O28" i="7"/>
  <c r="M28" i="7"/>
  <c r="K28" i="7"/>
  <c r="O27" i="7"/>
  <c r="M27" i="7"/>
  <c r="K27" i="7"/>
  <c r="O26" i="7"/>
  <c r="M26" i="7"/>
  <c r="K26" i="7"/>
  <c r="O25" i="7"/>
  <c r="M25" i="7"/>
  <c r="K25" i="7"/>
  <c r="O24" i="7"/>
  <c r="M24" i="7"/>
  <c r="K24" i="7"/>
  <c r="O23" i="7"/>
  <c r="M23" i="7"/>
  <c r="K23" i="7"/>
  <c r="O22" i="7"/>
  <c r="M22" i="7"/>
  <c r="K22" i="7"/>
  <c r="O21" i="7"/>
  <c r="M21" i="7"/>
  <c r="K21" i="7"/>
  <c r="O20" i="7"/>
  <c r="M20" i="7"/>
  <c r="K20" i="7"/>
  <c r="O19" i="7"/>
  <c r="M19" i="7"/>
  <c r="K19" i="7"/>
  <c r="O18" i="7"/>
  <c r="M18" i="7"/>
  <c r="K18" i="7"/>
  <c r="O16" i="7"/>
  <c r="M16" i="7"/>
  <c r="K16" i="7"/>
  <c r="O15" i="7"/>
  <c r="M15" i="7"/>
  <c r="K15" i="7"/>
  <c r="O14" i="7"/>
  <c r="M14" i="7"/>
  <c r="K14" i="7"/>
  <c r="O13" i="7"/>
  <c r="M13" i="7"/>
  <c r="K13" i="7"/>
  <c r="O12" i="7"/>
  <c r="M12" i="7"/>
  <c r="K12" i="7"/>
  <c r="L8" i="7"/>
  <c r="M8" i="7"/>
  <c r="N8" i="7"/>
  <c r="L7" i="7"/>
  <c r="M7" i="7"/>
  <c r="N7" i="7"/>
  <c r="L5" i="7"/>
  <c r="M5" i="7"/>
  <c r="N5" i="7"/>
  <c r="L4" i="7"/>
  <c r="M4" i="7"/>
  <c r="N4" i="7"/>
  <c r="L3" i="7"/>
  <c r="M3" i="7"/>
  <c r="N3" i="7"/>
  <c r="L2" i="7"/>
  <c r="L9" i="7" s="1"/>
  <c r="B286" i="6"/>
  <c r="B287" i="6" s="1"/>
  <c r="B288" i="6" s="1"/>
  <c r="B289" i="6" s="1"/>
  <c r="B290" i="6" s="1"/>
  <c r="B291" i="6" s="1"/>
  <c r="B292" i="6" s="1"/>
  <c r="B293" i="6" s="1"/>
  <c r="B294" i="6" s="1"/>
  <c r="B295" i="6" s="1"/>
  <c r="B296" i="6" s="1"/>
  <c r="B297" i="6" s="1"/>
  <c r="B298" i="6" s="1"/>
  <c r="B299" i="6" s="1"/>
  <c r="B300" i="6" s="1"/>
  <c r="B301" i="6" s="1"/>
  <c r="B302" i="6" s="1"/>
  <c r="B303" i="6" s="1"/>
  <c r="B304" i="6" s="1"/>
  <c r="B305" i="6" s="1"/>
  <c r="B306" i="6" s="1"/>
  <c r="B307" i="6" s="1"/>
  <c r="B308" i="6" s="1"/>
  <c r="B309" i="6" s="1"/>
  <c r="B310" i="6" s="1"/>
  <c r="B311" i="6" s="1"/>
  <c r="B312" i="6" s="1"/>
  <c r="B313" i="6" s="1"/>
  <c r="B314" i="6" s="1"/>
  <c r="B315" i="6" s="1"/>
  <c r="B316" i="6" s="1"/>
  <c r="B317" i="6" s="1"/>
  <c r="B318" i="6" s="1"/>
  <c r="B319" i="6" s="1"/>
  <c r="B320" i="6" s="1"/>
  <c r="B321" i="6" s="1"/>
  <c r="B322" i="6" s="1"/>
  <c r="B323" i="6" s="1"/>
  <c r="B324" i="6" s="1"/>
  <c r="B325" i="6" s="1"/>
  <c r="B326" i="6" s="1"/>
  <c r="B327" i="6" s="1"/>
  <c r="B328" i="6" s="1"/>
  <c r="B329" i="6" s="1"/>
  <c r="B330" i="6" s="1"/>
  <c r="B331" i="6" s="1"/>
  <c r="B332" i="6" s="1"/>
  <c r="B333" i="6" s="1"/>
  <c r="B334" i="6" s="1"/>
  <c r="B335" i="6" s="1"/>
  <c r="B336" i="6" s="1"/>
  <c r="B337" i="6" s="1"/>
  <c r="B338" i="6" s="1"/>
  <c r="B339" i="6" s="1"/>
  <c r="B340" i="6" s="1"/>
  <c r="B341" i="6" s="1"/>
  <c r="B342" i="6" s="1"/>
  <c r="B343" i="6" s="1"/>
  <c r="B344" i="6" s="1"/>
  <c r="B345" i="6" s="1"/>
  <c r="B346" i="6" s="1"/>
  <c r="B347" i="6" s="1"/>
  <c r="B348" i="6" s="1"/>
  <c r="B349" i="6" s="1"/>
  <c r="B350" i="6" s="1"/>
  <c r="B351" i="6" s="1"/>
  <c r="B352" i="6" s="1"/>
  <c r="B353" i="6" s="1"/>
  <c r="B354" i="6" s="1"/>
  <c r="B355" i="6" s="1"/>
  <c r="B356" i="6" s="1"/>
  <c r="B357" i="6" s="1"/>
  <c r="B358" i="6" s="1"/>
  <c r="B359" i="6" s="1"/>
  <c r="B360" i="6" s="1"/>
  <c r="B361" i="6" s="1"/>
  <c r="B362" i="6" s="1"/>
  <c r="B363" i="6" s="1"/>
  <c r="B364" i="6" s="1"/>
  <c r="B365" i="6" s="1"/>
  <c r="B366" i="6" s="1"/>
  <c r="B367" i="6" s="1"/>
  <c r="B368" i="6" s="1"/>
  <c r="B369" i="6" s="1"/>
  <c r="B370" i="6" s="1"/>
  <c r="B371" i="6" s="1"/>
  <c r="B372" i="6" s="1"/>
  <c r="B373" i="6" s="1"/>
  <c r="B374" i="6" s="1"/>
  <c r="B375" i="6" s="1"/>
  <c r="B376" i="6" s="1"/>
  <c r="B377" i="6" s="1"/>
  <c r="B378" i="6" s="1"/>
  <c r="B379" i="6" s="1"/>
  <c r="B380" i="6" s="1"/>
  <c r="B381" i="6" s="1"/>
  <c r="B382" i="6" s="1"/>
  <c r="B383" i="6" s="1"/>
  <c r="B384" i="6" s="1"/>
  <c r="A286" i="6"/>
  <c r="A287" i="6" s="1"/>
  <c r="A288" i="6" s="1"/>
  <c r="A289" i="6" s="1"/>
  <c r="A290" i="6" s="1"/>
  <c r="A291" i="6" s="1"/>
  <c r="A292" i="6" s="1"/>
  <c r="A293" i="6" s="1"/>
  <c r="A294" i="6" s="1"/>
  <c r="A295" i="6" s="1"/>
  <c r="A296" i="6" s="1"/>
  <c r="A297" i="6" s="1"/>
  <c r="A298" i="6" s="1"/>
  <c r="A299" i="6" s="1"/>
  <c r="A300" i="6" s="1"/>
  <c r="A301" i="6" s="1"/>
  <c r="A302" i="6" s="1"/>
  <c r="A303" i="6" s="1"/>
  <c r="A304" i="6" s="1"/>
  <c r="A305" i="6" s="1"/>
  <c r="A306" i="6" s="1"/>
  <c r="A307" i="6" s="1"/>
  <c r="A308" i="6" s="1"/>
  <c r="A309" i="6" s="1"/>
  <c r="A310" i="6" s="1"/>
  <c r="A311" i="6" s="1"/>
  <c r="A312" i="6" s="1"/>
  <c r="A313" i="6" s="1"/>
  <c r="A314" i="6" s="1"/>
  <c r="A315" i="6" s="1"/>
  <c r="A316" i="6" s="1"/>
  <c r="A317" i="6" s="1"/>
  <c r="A318" i="6" s="1"/>
  <c r="A319" i="6" s="1"/>
  <c r="A320" i="6" s="1"/>
  <c r="A321" i="6" s="1"/>
  <c r="A322" i="6" s="1"/>
  <c r="A323" i="6" s="1"/>
  <c r="A324" i="6" s="1"/>
  <c r="A325" i="6" s="1"/>
  <c r="A326" i="6" s="1"/>
  <c r="A327" i="6" s="1"/>
  <c r="A328" i="6" s="1"/>
  <c r="A329" i="6" s="1"/>
  <c r="A330" i="6" s="1"/>
  <c r="A331" i="6" s="1"/>
  <c r="A332" i="6" s="1"/>
  <c r="A333" i="6" s="1"/>
  <c r="A334" i="6" s="1"/>
  <c r="A335" i="6" s="1"/>
  <c r="A336" i="6" s="1"/>
  <c r="A337" i="6" s="1"/>
  <c r="A338" i="6" s="1"/>
  <c r="A339" i="6" s="1"/>
  <c r="A340" i="6" s="1"/>
  <c r="A341" i="6" s="1"/>
  <c r="A342" i="6" s="1"/>
  <c r="A343" i="6" s="1"/>
  <c r="A344" i="6" s="1"/>
  <c r="A345" i="6" s="1"/>
  <c r="A346" i="6" s="1"/>
  <c r="A347" i="6" s="1"/>
  <c r="A348" i="6" s="1"/>
  <c r="A349" i="6" s="1"/>
  <c r="A350" i="6" s="1"/>
  <c r="A351" i="6" s="1"/>
  <c r="A352" i="6" s="1"/>
  <c r="A353" i="6" s="1"/>
  <c r="A354" i="6" s="1"/>
  <c r="A355" i="6" s="1"/>
  <c r="A356" i="6" s="1"/>
  <c r="A357" i="6" s="1"/>
  <c r="A358" i="6" s="1"/>
  <c r="A359" i="6" s="1"/>
  <c r="A360" i="6" s="1"/>
  <c r="A361" i="6" s="1"/>
  <c r="A362" i="6" s="1"/>
  <c r="A363" i="6" s="1"/>
  <c r="A364" i="6" s="1"/>
  <c r="A365" i="6" s="1"/>
  <c r="A366" i="6" s="1"/>
  <c r="A367" i="6" s="1"/>
  <c r="A368" i="6" s="1"/>
  <c r="A369" i="6" s="1"/>
  <c r="A370" i="6" s="1"/>
  <c r="A371" i="6" s="1"/>
  <c r="A372" i="6" s="1"/>
  <c r="A373" i="6" s="1"/>
  <c r="A374" i="6" s="1"/>
  <c r="A375" i="6" s="1"/>
  <c r="A376" i="6" s="1"/>
  <c r="A377" i="6" s="1"/>
  <c r="A378" i="6" s="1"/>
  <c r="A379" i="6" s="1"/>
  <c r="A380" i="6" s="1"/>
  <c r="A381" i="6" s="1"/>
  <c r="A382" i="6" s="1"/>
  <c r="A383" i="6" s="1"/>
  <c r="A384" i="6" s="1"/>
  <c r="O68" i="6"/>
  <c r="M68" i="6"/>
  <c r="K68" i="6"/>
  <c r="O67" i="6"/>
  <c r="M67" i="6"/>
  <c r="K67" i="6"/>
  <c r="O66" i="6"/>
  <c r="M66" i="6"/>
  <c r="K66" i="6"/>
  <c r="O65" i="6"/>
  <c r="M65" i="6"/>
  <c r="K65" i="6"/>
  <c r="O64" i="6"/>
  <c r="M64" i="6"/>
  <c r="K64" i="6"/>
  <c r="O63" i="6"/>
  <c r="M63" i="6"/>
  <c r="K63" i="6"/>
  <c r="O62" i="6"/>
  <c r="M62" i="6"/>
  <c r="K62" i="6"/>
  <c r="O61" i="6"/>
  <c r="M61" i="6"/>
  <c r="K61" i="6"/>
  <c r="O60" i="6"/>
  <c r="M60" i="6"/>
  <c r="K60" i="6"/>
  <c r="O59" i="6"/>
  <c r="M59" i="6"/>
  <c r="K59" i="6"/>
  <c r="O57" i="6"/>
  <c r="M57" i="6"/>
  <c r="K57" i="6"/>
  <c r="O56" i="6"/>
  <c r="M56" i="6"/>
  <c r="K56" i="6"/>
  <c r="O55" i="6"/>
  <c r="M55" i="6"/>
  <c r="K55" i="6"/>
  <c r="O54" i="6"/>
  <c r="M54" i="6"/>
  <c r="K54" i="6"/>
  <c r="O53" i="6"/>
  <c r="M53" i="6"/>
  <c r="K53" i="6"/>
  <c r="O52" i="6"/>
  <c r="M52" i="6"/>
  <c r="K52" i="6"/>
  <c r="O51" i="6"/>
  <c r="M51" i="6"/>
  <c r="K51" i="6"/>
  <c r="O50" i="6"/>
  <c r="M50" i="6"/>
  <c r="K50" i="6"/>
  <c r="O49" i="6"/>
  <c r="M49" i="6"/>
  <c r="K49" i="6"/>
  <c r="O48" i="6"/>
  <c r="M48" i="6"/>
  <c r="K48" i="6"/>
  <c r="O47" i="6"/>
  <c r="M47" i="6"/>
  <c r="K47" i="6"/>
  <c r="O46" i="6"/>
  <c r="M46" i="6"/>
  <c r="K46" i="6"/>
  <c r="O45" i="6"/>
  <c r="M45" i="6"/>
  <c r="K45" i="6"/>
  <c r="O44" i="6"/>
  <c r="M44" i="6"/>
  <c r="K44" i="6"/>
  <c r="O43" i="6"/>
  <c r="M43" i="6"/>
  <c r="K43" i="6"/>
  <c r="O42" i="6"/>
  <c r="M42" i="6"/>
  <c r="K42" i="6"/>
  <c r="O40" i="6"/>
  <c r="M40" i="6"/>
  <c r="K40" i="6"/>
  <c r="O39" i="6"/>
  <c r="M39" i="6"/>
  <c r="K39" i="6"/>
  <c r="O38" i="6"/>
  <c r="M38" i="6"/>
  <c r="K38" i="6"/>
  <c r="O37" i="6"/>
  <c r="M37" i="6"/>
  <c r="K37" i="6"/>
  <c r="O36" i="6"/>
  <c r="M36" i="6"/>
  <c r="K36" i="6"/>
  <c r="O35" i="6"/>
  <c r="M35" i="6"/>
  <c r="K35" i="6"/>
  <c r="O34" i="6"/>
  <c r="M34" i="6"/>
  <c r="K34" i="6"/>
  <c r="O33" i="6"/>
  <c r="M33" i="6"/>
  <c r="K33" i="6"/>
  <c r="O32" i="6"/>
  <c r="M32" i="6"/>
  <c r="K32" i="6"/>
  <c r="O31" i="6"/>
  <c r="M31" i="6"/>
  <c r="K31" i="6"/>
  <c r="O30" i="6"/>
  <c r="M30" i="6"/>
  <c r="K30" i="6"/>
  <c r="O29" i="6"/>
  <c r="M29" i="6"/>
  <c r="K29" i="6"/>
  <c r="O28" i="6"/>
  <c r="M28" i="6"/>
  <c r="K28" i="6"/>
  <c r="O27" i="6"/>
  <c r="M27" i="6"/>
  <c r="K27" i="6"/>
  <c r="O26" i="6"/>
  <c r="M26" i="6"/>
  <c r="K26" i="6"/>
  <c r="O25" i="6"/>
  <c r="M25" i="6"/>
  <c r="K25" i="6"/>
  <c r="O24" i="6"/>
  <c r="M24" i="6"/>
  <c r="K24" i="6"/>
  <c r="O23" i="6"/>
  <c r="M23" i="6"/>
  <c r="K23" i="6"/>
  <c r="O22" i="6"/>
  <c r="M22" i="6"/>
  <c r="K22" i="6"/>
  <c r="O21" i="6"/>
  <c r="M21" i="6"/>
  <c r="K21" i="6"/>
  <c r="O20" i="6"/>
  <c r="M20" i="6"/>
  <c r="K20" i="6"/>
  <c r="O19" i="6"/>
  <c r="M19" i="6"/>
  <c r="K19" i="6"/>
  <c r="O16" i="6"/>
  <c r="M16" i="6"/>
  <c r="K16" i="6"/>
  <c r="O15" i="6"/>
  <c r="M15" i="6"/>
  <c r="K15" i="6"/>
  <c r="O14" i="6"/>
  <c r="M14" i="6"/>
  <c r="K14" i="6"/>
  <c r="O13" i="6"/>
  <c r="M13" i="6"/>
  <c r="K13" i="6"/>
  <c r="O12" i="6"/>
  <c r="M12" i="6"/>
  <c r="K12" i="6"/>
  <c r="L8" i="6"/>
  <c r="I8" i="6"/>
  <c r="H8" i="6"/>
  <c r="G8" i="6"/>
  <c r="F8" i="6"/>
  <c r="M8" i="6" s="1"/>
  <c r="E8" i="6"/>
  <c r="D8" i="6"/>
  <c r="C8" i="6"/>
  <c r="N8" i="6" s="1"/>
  <c r="A8" i="6"/>
  <c r="L7" i="6"/>
  <c r="I7" i="6"/>
  <c r="H7" i="6"/>
  <c r="G7" i="6"/>
  <c r="F7" i="6"/>
  <c r="M7" i="6" s="1"/>
  <c r="E7" i="6"/>
  <c r="D7" i="6"/>
  <c r="C7" i="6"/>
  <c r="N7" i="6" s="1"/>
  <c r="B7" i="6"/>
  <c r="A7" i="6"/>
  <c r="I6" i="6"/>
  <c r="H6" i="6"/>
  <c r="G6" i="6"/>
  <c r="F6" i="6"/>
  <c r="E6" i="6"/>
  <c r="D6" i="6"/>
  <c r="C6" i="6"/>
  <c r="A6" i="6"/>
  <c r="L5" i="6"/>
  <c r="I5" i="6"/>
  <c r="H5" i="6"/>
  <c r="G5" i="6"/>
  <c r="F5" i="6"/>
  <c r="M5" i="6" s="1"/>
  <c r="E5" i="6"/>
  <c r="D5" i="6"/>
  <c r="C5" i="6"/>
  <c r="N5" i="6" s="1"/>
  <c r="B5" i="6"/>
  <c r="A5" i="6"/>
  <c r="L4" i="6"/>
  <c r="I4" i="6"/>
  <c r="H4" i="6"/>
  <c r="G4" i="6"/>
  <c r="F4" i="6"/>
  <c r="M4" i="6" s="1"/>
  <c r="E4" i="6"/>
  <c r="D4" i="6"/>
  <c r="C4" i="6"/>
  <c r="N4" i="6" s="1"/>
  <c r="B4" i="6"/>
  <c r="A4" i="6"/>
  <c r="L3" i="6"/>
  <c r="I3" i="6"/>
  <c r="H3" i="6"/>
  <c r="G3" i="6"/>
  <c r="F3" i="6"/>
  <c r="M3" i="6" s="1"/>
  <c r="E3" i="6"/>
  <c r="D3" i="6"/>
  <c r="C3" i="6"/>
  <c r="N3" i="6" s="1"/>
  <c r="B3" i="6"/>
  <c r="A3" i="6"/>
  <c r="L2" i="6"/>
  <c r="L9" i="6" s="1"/>
  <c r="I2" i="6"/>
  <c r="H2" i="6"/>
  <c r="H9" i="6" s="1"/>
  <c r="G2" i="6"/>
  <c r="G9" i="6" s="1"/>
  <c r="F2" i="6"/>
  <c r="E2" i="6"/>
  <c r="E9" i="6" s="1"/>
  <c r="D2" i="6"/>
  <c r="D9" i="6" s="1"/>
  <c r="C2" i="6"/>
  <c r="A2" i="6"/>
  <c r="B286" i="5"/>
  <c r="B287" i="5" s="1"/>
  <c r="B288" i="5" s="1"/>
  <c r="B289" i="5" s="1"/>
  <c r="B290" i="5" s="1"/>
  <c r="B291" i="5" s="1"/>
  <c r="B292" i="5" s="1"/>
  <c r="B293" i="5" s="1"/>
  <c r="B294" i="5" s="1"/>
  <c r="B295" i="5" s="1"/>
  <c r="B296" i="5" s="1"/>
  <c r="B297" i="5" s="1"/>
  <c r="B298" i="5" s="1"/>
  <c r="B299" i="5" s="1"/>
  <c r="B300" i="5" s="1"/>
  <c r="B301" i="5" s="1"/>
  <c r="B302" i="5" s="1"/>
  <c r="B303" i="5" s="1"/>
  <c r="B304" i="5" s="1"/>
  <c r="B305" i="5" s="1"/>
  <c r="B306" i="5" s="1"/>
  <c r="B307" i="5" s="1"/>
  <c r="B308" i="5" s="1"/>
  <c r="B309" i="5" s="1"/>
  <c r="B310" i="5" s="1"/>
  <c r="B311" i="5" s="1"/>
  <c r="B312" i="5" s="1"/>
  <c r="B313" i="5" s="1"/>
  <c r="B314" i="5" s="1"/>
  <c r="B315" i="5" s="1"/>
  <c r="B316" i="5" s="1"/>
  <c r="B317" i="5" s="1"/>
  <c r="B318" i="5" s="1"/>
  <c r="B319" i="5" s="1"/>
  <c r="B320" i="5" s="1"/>
  <c r="B321" i="5" s="1"/>
  <c r="B322" i="5" s="1"/>
  <c r="B323" i="5" s="1"/>
  <c r="B324" i="5" s="1"/>
  <c r="B325" i="5" s="1"/>
  <c r="B326" i="5" s="1"/>
  <c r="B327" i="5" s="1"/>
  <c r="B328" i="5" s="1"/>
  <c r="B329" i="5" s="1"/>
  <c r="B330" i="5" s="1"/>
  <c r="B331" i="5" s="1"/>
  <c r="B332" i="5" s="1"/>
  <c r="B333" i="5" s="1"/>
  <c r="B334" i="5" s="1"/>
  <c r="B335" i="5" s="1"/>
  <c r="B336" i="5" s="1"/>
  <c r="B337" i="5" s="1"/>
  <c r="B338" i="5" s="1"/>
  <c r="B339" i="5" s="1"/>
  <c r="B340" i="5" s="1"/>
  <c r="B341" i="5" s="1"/>
  <c r="B342" i="5" s="1"/>
  <c r="B343" i="5" s="1"/>
  <c r="B344" i="5" s="1"/>
  <c r="B345" i="5" s="1"/>
  <c r="B346" i="5" s="1"/>
  <c r="B347" i="5" s="1"/>
  <c r="B348" i="5" s="1"/>
  <c r="B349" i="5" s="1"/>
  <c r="B350" i="5" s="1"/>
  <c r="B351" i="5" s="1"/>
  <c r="B352" i="5" s="1"/>
  <c r="B353" i="5" s="1"/>
  <c r="B354" i="5" s="1"/>
  <c r="B355" i="5" s="1"/>
  <c r="B356" i="5" s="1"/>
  <c r="B357" i="5" s="1"/>
  <c r="B358" i="5" s="1"/>
  <c r="B359" i="5" s="1"/>
  <c r="B360" i="5" s="1"/>
  <c r="B361" i="5" s="1"/>
  <c r="B362" i="5" s="1"/>
  <c r="B363" i="5" s="1"/>
  <c r="B364" i="5" s="1"/>
  <c r="B365" i="5" s="1"/>
  <c r="B366" i="5" s="1"/>
  <c r="B367" i="5" s="1"/>
  <c r="B368" i="5" s="1"/>
  <c r="B369" i="5" s="1"/>
  <c r="B370" i="5" s="1"/>
  <c r="B371" i="5" s="1"/>
  <c r="B372" i="5" s="1"/>
  <c r="B373" i="5" s="1"/>
  <c r="B374" i="5" s="1"/>
  <c r="B375" i="5" s="1"/>
  <c r="B376" i="5" s="1"/>
  <c r="B377" i="5" s="1"/>
  <c r="B378" i="5" s="1"/>
  <c r="B379" i="5" s="1"/>
  <c r="B380" i="5" s="1"/>
  <c r="B381" i="5" s="1"/>
  <c r="B382" i="5" s="1"/>
  <c r="B383" i="5" s="1"/>
  <c r="B384" i="5" s="1"/>
  <c r="A286" i="5"/>
  <c r="A287" i="5" s="1"/>
  <c r="A288" i="5" s="1"/>
  <c r="A289" i="5" s="1"/>
  <c r="A290" i="5" s="1"/>
  <c r="A291" i="5" s="1"/>
  <c r="A292" i="5" s="1"/>
  <c r="A293" i="5" s="1"/>
  <c r="A294" i="5" s="1"/>
  <c r="A295" i="5" s="1"/>
  <c r="A296" i="5" s="1"/>
  <c r="A297" i="5" s="1"/>
  <c r="A298" i="5" s="1"/>
  <c r="A299" i="5" s="1"/>
  <c r="A300" i="5" s="1"/>
  <c r="A301" i="5" s="1"/>
  <c r="A302" i="5" s="1"/>
  <c r="A303" i="5" s="1"/>
  <c r="A304" i="5" s="1"/>
  <c r="A305" i="5" s="1"/>
  <c r="A306" i="5" s="1"/>
  <c r="A307" i="5" s="1"/>
  <c r="A308" i="5" s="1"/>
  <c r="A309" i="5" s="1"/>
  <c r="A310" i="5" s="1"/>
  <c r="A311" i="5" s="1"/>
  <c r="A312" i="5" s="1"/>
  <c r="A313" i="5" s="1"/>
  <c r="A314" i="5" s="1"/>
  <c r="A315" i="5" s="1"/>
  <c r="A316" i="5" s="1"/>
  <c r="A317" i="5" s="1"/>
  <c r="A318" i="5" s="1"/>
  <c r="A319" i="5" s="1"/>
  <c r="A320" i="5" s="1"/>
  <c r="A321" i="5" s="1"/>
  <c r="A322" i="5" s="1"/>
  <c r="A323" i="5" s="1"/>
  <c r="A324" i="5" s="1"/>
  <c r="A325" i="5" s="1"/>
  <c r="A326" i="5" s="1"/>
  <c r="A327" i="5" s="1"/>
  <c r="A328" i="5" s="1"/>
  <c r="A329" i="5" s="1"/>
  <c r="A330" i="5" s="1"/>
  <c r="A331" i="5" s="1"/>
  <c r="A332" i="5" s="1"/>
  <c r="A333" i="5" s="1"/>
  <c r="A334" i="5" s="1"/>
  <c r="A335" i="5" s="1"/>
  <c r="A336" i="5" s="1"/>
  <c r="A337" i="5" s="1"/>
  <c r="A338" i="5" s="1"/>
  <c r="A339" i="5" s="1"/>
  <c r="A340" i="5" s="1"/>
  <c r="A341" i="5" s="1"/>
  <c r="A342" i="5" s="1"/>
  <c r="A343" i="5" s="1"/>
  <c r="A344" i="5" s="1"/>
  <c r="A345" i="5" s="1"/>
  <c r="A346" i="5" s="1"/>
  <c r="A347" i="5" s="1"/>
  <c r="A348" i="5" s="1"/>
  <c r="A349" i="5" s="1"/>
  <c r="A350" i="5" s="1"/>
  <c r="A351" i="5" s="1"/>
  <c r="A352" i="5" s="1"/>
  <c r="A353" i="5" s="1"/>
  <c r="A354" i="5" s="1"/>
  <c r="A355" i="5" s="1"/>
  <c r="A356" i="5" s="1"/>
  <c r="A357" i="5" s="1"/>
  <c r="A358" i="5" s="1"/>
  <c r="A359" i="5" s="1"/>
  <c r="A360" i="5" s="1"/>
  <c r="A361" i="5" s="1"/>
  <c r="A362" i="5" s="1"/>
  <c r="A363" i="5" s="1"/>
  <c r="A364" i="5" s="1"/>
  <c r="A365" i="5" s="1"/>
  <c r="A366" i="5" s="1"/>
  <c r="A367" i="5" s="1"/>
  <c r="A368" i="5" s="1"/>
  <c r="A369" i="5" s="1"/>
  <c r="A370" i="5" s="1"/>
  <c r="A371" i="5" s="1"/>
  <c r="A372" i="5" s="1"/>
  <c r="A373" i="5" s="1"/>
  <c r="A374" i="5" s="1"/>
  <c r="A375" i="5" s="1"/>
  <c r="A376" i="5" s="1"/>
  <c r="A377" i="5" s="1"/>
  <c r="A378" i="5" s="1"/>
  <c r="A379" i="5" s="1"/>
  <c r="A380" i="5" s="1"/>
  <c r="A381" i="5" s="1"/>
  <c r="A382" i="5" s="1"/>
  <c r="A383" i="5" s="1"/>
  <c r="A384" i="5" s="1"/>
  <c r="O68" i="5"/>
  <c r="M68" i="5"/>
  <c r="K68" i="5"/>
  <c r="O67" i="5"/>
  <c r="M67" i="5"/>
  <c r="K67" i="5"/>
  <c r="O66" i="5"/>
  <c r="M66" i="5"/>
  <c r="K66" i="5"/>
  <c r="O65" i="5"/>
  <c r="M65" i="5"/>
  <c r="K65" i="5"/>
  <c r="O64" i="5"/>
  <c r="M64" i="5"/>
  <c r="K64" i="5"/>
  <c r="O63" i="5"/>
  <c r="M63" i="5"/>
  <c r="K63" i="5"/>
  <c r="O62" i="5"/>
  <c r="M62" i="5"/>
  <c r="K62" i="5"/>
  <c r="O61" i="5"/>
  <c r="M61" i="5"/>
  <c r="K61" i="5"/>
  <c r="O60" i="5"/>
  <c r="M60" i="5"/>
  <c r="K60" i="5"/>
  <c r="O59" i="5"/>
  <c r="M59" i="5"/>
  <c r="K59" i="5"/>
  <c r="O57" i="5"/>
  <c r="M57" i="5"/>
  <c r="K57" i="5"/>
  <c r="O56" i="5"/>
  <c r="M56" i="5"/>
  <c r="K56" i="5"/>
  <c r="O55" i="5"/>
  <c r="M55" i="5"/>
  <c r="K55" i="5"/>
  <c r="O54" i="5"/>
  <c r="M54" i="5"/>
  <c r="K54" i="5"/>
  <c r="O53" i="5"/>
  <c r="M53" i="5"/>
  <c r="K53" i="5"/>
  <c r="O52" i="5"/>
  <c r="M52" i="5"/>
  <c r="K52" i="5"/>
  <c r="O51" i="5"/>
  <c r="M51" i="5"/>
  <c r="K51" i="5"/>
  <c r="O50" i="5"/>
  <c r="M50" i="5"/>
  <c r="K50" i="5"/>
  <c r="O49" i="5"/>
  <c r="M49" i="5"/>
  <c r="K49" i="5"/>
  <c r="O48" i="5"/>
  <c r="M48" i="5"/>
  <c r="K48" i="5"/>
  <c r="O47" i="5"/>
  <c r="M47" i="5"/>
  <c r="K47" i="5"/>
  <c r="O46" i="5"/>
  <c r="M46" i="5"/>
  <c r="K46" i="5"/>
  <c r="O45" i="5"/>
  <c r="M45" i="5"/>
  <c r="K45" i="5"/>
  <c r="O44" i="5"/>
  <c r="M44" i="5"/>
  <c r="K44" i="5"/>
  <c r="O43" i="5"/>
  <c r="M43" i="5"/>
  <c r="K43" i="5"/>
  <c r="O42" i="5"/>
  <c r="M42" i="5"/>
  <c r="K42" i="5"/>
  <c r="O40" i="5"/>
  <c r="M40" i="5"/>
  <c r="K40" i="5"/>
  <c r="O39" i="5"/>
  <c r="M39" i="5"/>
  <c r="K39" i="5"/>
  <c r="O38" i="5"/>
  <c r="M38" i="5"/>
  <c r="K38" i="5"/>
  <c r="O37" i="5"/>
  <c r="M37" i="5"/>
  <c r="K37" i="5"/>
  <c r="O36" i="5"/>
  <c r="M36" i="5"/>
  <c r="K36" i="5"/>
  <c r="O35" i="5"/>
  <c r="M35" i="5"/>
  <c r="K35" i="5"/>
  <c r="O34" i="5"/>
  <c r="M34" i="5"/>
  <c r="K34" i="5"/>
  <c r="O33" i="5"/>
  <c r="M33" i="5"/>
  <c r="K33" i="5"/>
  <c r="O32" i="5"/>
  <c r="M32" i="5"/>
  <c r="K32" i="5"/>
  <c r="O31" i="5"/>
  <c r="M31" i="5"/>
  <c r="K31" i="5"/>
  <c r="O30" i="5"/>
  <c r="M30" i="5"/>
  <c r="K30" i="5"/>
  <c r="O29" i="5"/>
  <c r="M29" i="5"/>
  <c r="K29" i="5"/>
  <c r="O28" i="5"/>
  <c r="M28" i="5"/>
  <c r="K28" i="5"/>
  <c r="O27" i="5"/>
  <c r="M27" i="5"/>
  <c r="K27" i="5"/>
  <c r="O26" i="5"/>
  <c r="M26" i="5"/>
  <c r="K26" i="5"/>
  <c r="O25" i="5"/>
  <c r="M25" i="5"/>
  <c r="K25" i="5"/>
  <c r="O24" i="5"/>
  <c r="M24" i="5"/>
  <c r="K24" i="5"/>
  <c r="O23" i="5"/>
  <c r="M23" i="5"/>
  <c r="K23" i="5"/>
  <c r="O22" i="5"/>
  <c r="M22" i="5"/>
  <c r="K22" i="5"/>
  <c r="O21" i="5"/>
  <c r="M21" i="5"/>
  <c r="K21" i="5"/>
  <c r="O20" i="5"/>
  <c r="M20" i="5"/>
  <c r="K20" i="5"/>
  <c r="O19" i="5"/>
  <c r="M19" i="5"/>
  <c r="K19" i="5"/>
  <c r="O16" i="5"/>
  <c r="M16" i="5"/>
  <c r="K16" i="5"/>
  <c r="O15" i="5"/>
  <c r="M15" i="5"/>
  <c r="K15" i="5"/>
  <c r="O14" i="5"/>
  <c r="M14" i="5"/>
  <c r="K14" i="5"/>
  <c r="O13" i="5"/>
  <c r="M13" i="5"/>
  <c r="K13" i="5"/>
  <c r="O12" i="5"/>
  <c r="M12" i="5"/>
  <c r="K12" i="5"/>
  <c r="L8" i="5"/>
  <c r="M8" i="5"/>
  <c r="N8" i="5"/>
  <c r="L7" i="5"/>
  <c r="M7" i="5"/>
  <c r="N7" i="5"/>
  <c r="L5" i="5"/>
  <c r="M5" i="5"/>
  <c r="N5" i="5"/>
  <c r="L4" i="5"/>
  <c r="M4" i="5"/>
  <c r="N4" i="5"/>
  <c r="L3" i="5"/>
  <c r="M3" i="5"/>
  <c r="N3" i="5"/>
  <c r="L2" i="5"/>
  <c r="L9" i="5" s="1"/>
  <c r="B285" i="4"/>
  <c r="B286" i="4" s="1"/>
  <c r="B287" i="4" s="1"/>
  <c r="B288" i="4" s="1"/>
  <c r="B289" i="4" s="1"/>
  <c r="B290" i="4" s="1"/>
  <c r="B291" i="4" s="1"/>
  <c r="B292" i="4" s="1"/>
  <c r="B293" i="4" s="1"/>
  <c r="B294" i="4" s="1"/>
  <c r="B295" i="4" s="1"/>
  <c r="B296" i="4" s="1"/>
  <c r="B297" i="4" s="1"/>
  <c r="B298" i="4" s="1"/>
  <c r="B299" i="4" s="1"/>
  <c r="B300" i="4" s="1"/>
  <c r="B301" i="4" s="1"/>
  <c r="B302" i="4" s="1"/>
  <c r="B303" i="4" s="1"/>
  <c r="B304" i="4" s="1"/>
  <c r="B305" i="4" s="1"/>
  <c r="B306" i="4" s="1"/>
  <c r="B307" i="4" s="1"/>
  <c r="B308" i="4" s="1"/>
  <c r="B309" i="4" s="1"/>
  <c r="B310" i="4" s="1"/>
  <c r="B311" i="4" s="1"/>
  <c r="B312" i="4" s="1"/>
  <c r="B313" i="4" s="1"/>
  <c r="B314" i="4" s="1"/>
  <c r="B315" i="4" s="1"/>
  <c r="B316" i="4" s="1"/>
  <c r="B317" i="4" s="1"/>
  <c r="B318" i="4" s="1"/>
  <c r="B319" i="4" s="1"/>
  <c r="B320" i="4" s="1"/>
  <c r="B321" i="4" s="1"/>
  <c r="B322" i="4" s="1"/>
  <c r="B323" i="4" s="1"/>
  <c r="B324" i="4" s="1"/>
  <c r="B325" i="4" s="1"/>
  <c r="B326" i="4" s="1"/>
  <c r="B327" i="4" s="1"/>
  <c r="B328" i="4" s="1"/>
  <c r="B329" i="4" s="1"/>
  <c r="B330" i="4" s="1"/>
  <c r="B331" i="4" s="1"/>
  <c r="B332" i="4" s="1"/>
  <c r="B333" i="4" s="1"/>
  <c r="B334" i="4" s="1"/>
  <c r="B335" i="4" s="1"/>
  <c r="B336" i="4" s="1"/>
  <c r="B337" i="4" s="1"/>
  <c r="B338" i="4" s="1"/>
  <c r="B339" i="4" s="1"/>
  <c r="B340" i="4" s="1"/>
  <c r="B341" i="4" s="1"/>
  <c r="B342" i="4" s="1"/>
  <c r="B343" i="4" s="1"/>
  <c r="B344" i="4" s="1"/>
  <c r="B345" i="4" s="1"/>
  <c r="B346" i="4" s="1"/>
  <c r="B347" i="4" s="1"/>
  <c r="B348" i="4" s="1"/>
  <c r="B349" i="4" s="1"/>
  <c r="B350" i="4" s="1"/>
  <c r="B351" i="4" s="1"/>
  <c r="B352" i="4" s="1"/>
  <c r="B353" i="4" s="1"/>
  <c r="B354" i="4" s="1"/>
  <c r="B355" i="4" s="1"/>
  <c r="B356" i="4" s="1"/>
  <c r="B357" i="4" s="1"/>
  <c r="B358" i="4" s="1"/>
  <c r="B359" i="4" s="1"/>
  <c r="B360" i="4" s="1"/>
  <c r="B361" i="4" s="1"/>
  <c r="B362" i="4" s="1"/>
  <c r="B363" i="4" s="1"/>
  <c r="B364" i="4" s="1"/>
  <c r="B365" i="4" s="1"/>
  <c r="B366" i="4" s="1"/>
  <c r="B367" i="4" s="1"/>
  <c r="B368" i="4" s="1"/>
  <c r="B369" i="4" s="1"/>
  <c r="B370" i="4" s="1"/>
  <c r="B371" i="4" s="1"/>
  <c r="B372" i="4" s="1"/>
  <c r="B373" i="4" s="1"/>
  <c r="B374" i="4" s="1"/>
  <c r="B375" i="4" s="1"/>
  <c r="B376" i="4" s="1"/>
  <c r="B377" i="4" s="1"/>
  <c r="B378" i="4" s="1"/>
  <c r="B379" i="4" s="1"/>
  <c r="B380" i="4" s="1"/>
  <c r="B381" i="4" s="1"/>
  <c r="B382" i="4" s="1"/>
  <c r="B383" i="4" s="1"/>
  <c r="A285" i="4"/>
  <c r="A286" i="4" s="1"/>
  <c r="A287" i="4" s="1"/>
  <c r="A288" i="4" s="1"/>
  <c r="A289" i="4" s="1"/>
  <c r="A290" i="4" s="1"/>
  <c r="A291" i="4" s="1"/>
  <c r="A292" i="4" s="1"/>
  <c r="A293" i="4" s="1"/>
  <c r="A294" i="4" s="1"/>
  <c r="A295" i="4" s="1"/>
  <c r="A296" i="4" s="1"/>
  <c r="A297" i="4" s="1"/>
  <c r="A298" i="4" s="1"/>
  <c r="A299" i="4" s="1"/>
  <c r="A300" i="4" s="1"/>
  <c r="A301" i="4" s="1"/>
  <c r="A302" i="4" s="1"/>
  <c r="A303" i="4" s="1"/>
  <c r="A304" i="4" s="1"/>
  <c r="A305" i="4" s="1"/>
  <c r="A306" i="4" s="1"/>
  <c r="A307" i="4" s="1"/>
  <c r="A308" i="4" s="1"/>
  <c r="A309" i="4" s="1"/>
  <c r="A310" i="4" s="1"/>
  <c r="A311" i="4" s="1"/>
  <c r="A312" i="4" s="1"/>
  <c r="A313" i="4" s="1"/>
  <c r="A314" i="4" s="1"/>
  <c r="A315" i="4" s="1"/>
  <c r="A316" i="4" s="1"/>
  <c r="A317" i="4" s="1"/>
  <c r="A318" i="4" s="1"/>
  <c r="A319" i="4" s="1"/>
  <c r="A320" i="4" s="1"/>
  <c r="A321" i="4" s="1"/>
  <c r="A322" i="4" s="1"/>
  <c r="A323" i="4" s="1"/>
  <c r="A324" i="4" s="1"/>
  <c r="A325" i="4" s="1"/>
  <c r="A326" i="4" s="1"/>
  <c r="A327" i="4" s="1"/>
  <c r="A328" i="4" s="1"/>
  <c r="A329" i="4" s="1"/>
  <c r="A330" i="4" s="1"/>
  <c r="A331" i="4" s="1"/>
  <c r="A332" i="4" s="1"/>
  <c r="A333" i="4" s="1"/>
  <c r="A334" i="4" s="1"/>
  <c r="A335" i="4" s="1"/>
  <c r="A336" i="4" s="1"/>
  <c r="A337" i="4" s="1"/>
  <c r="A338" i="4" s="1"/>
  <c r="A339" i="4" s="1"/>
  <c r="A340" i="4" s="1"/>
  <c r="A341" i="4" s="1"/>
  <c r="A342" i="4" s="1"/>
  <c r="A343" i="4" s="1"/>
  <c r="A344" i="4" s="1"/>
  <c r="A345" i="4" s="1"/>
  <c r="A346" i="4" s="1"/>
  <c r="A347" i="4" s="1"/>
  <c r="A348" i="4" s="1"/>
  <c r="A349" i="4" s="1"/>
  <c r="A350" i="4" s="1"/>
  <c r="A351" i="4" s="1"/>
  <c r="A352" i="4" s="1"/>
  <c r="A353" i="4" s="1"/>
  <c r="A354" i="4" s="1"/>
  <c r="A355" i="4" s="1"/>
  <c r="A356" i="4" s="1"/>
  <c r="A357" i="4" s="1"/>
  <c r="A358" i="4" s="1"/>
  <c r="A359" i="4" s="1"/>
  <c r="A360" i="4" s="1"/>
  <c r="A361" i="4" s="1"/>
  <c r="A362" i="4" s="1"/>
  <c r="A363" i="4" s="1"/>
  <c r="A364" i="4" s="1"/>
  <c r="A365" i="4" s="1"/>
  <c r="A366" i="4" s="1"/>
  <c r="A367" i="4" s="1"/>
  <c r="A368" i="4" s="1"/>
  <c r="A369" i="4" s="1"/>
  <c r="A370" i="4" s="1"/>
  <c r="A371" i="4" s="1"/>
  <c r="A372" i="4" s="1"/>
  <c r="A373" i="4" s="1"/>
  <c r="A374" i="4" s="1"/>
  <c r="A375" i="4" s="1"/>
  <c r="A376" i="4" s="1"/>
  <c r="A377" i="4" s="1"/>
  <c r="A378" i="4" s="1"/>
  <c r="A379" i="4" s="1"/>
  <c r="A380" i="4" s="1"/>
  <c r="A381" i="4" s="1"/>
  <c r="A382" i="4" s="1"/>
  <c r="A383" i="4" s="1"/>
  <c r="O67" i="4"/>
  <c r="M67" i="4"/>
  <c r="K67" i="4"/>
  <c r="O66" i="4"/>
  <c r="M66" i="4"/>
  <c r="K66" i="4"/>
  <c r="O65" i="4"/>
  <c r="M65" i="4"/>
  <c r="K65" i="4"/>
  <c r="O64" i="4"/>
  <c r="M64" i="4"/>
  <c r="K64" i="4"/>
  <c r="O63" i="4"/>
  <c r="M63" i="4"/>
  <c r="K63" i="4"/>
  <c r="O62" i="4"/>
  <c r="M62" i="4"/>
  <c r="K62" i="4"/>
  <c r="O61" i="4"/>
  <c r="M61" i="4"/>
  <c r="K61" i="4"/>
  <c r="O60" i="4"/>
  <c r="M60" i="4"/>
  <c r="K60" i="4"/>
  <c r="O59" i="4"/>
  <c r="M59" i="4"/>
  <c r="K59" i="4"/>
  <c r="O58" i="4"/>
  <c r="M58" i="4"/>
  <c r="K58" i="4"/>
  <c r="O56" i="4"/>
  <c r="M56" i="4"/>
  <c r="K56" i="4"/>
  <c r="O55" i="4"/>
  <c r="M55" i="4"/>
  <c r="K55" i="4"/>
  <c r="O54" i="4"/>
  <c r="M54" i="4"/>
  <c r="K54" i="4"/>
  <c r="O53" i="4"/>
  <c r="M53" i="4"/>
  <c r="K53" i="4"/>
  <c r="O52" i="4"/>
  <c r="M52" i="4"/>
  <c r="K52" i="4"/>
  <c r="O51" i="4"/>
  <c r="M51" i="4"/>
  <c r="K51" i="4"/>
  <c r="O50" i="4"/>
  <c r="M50" i="4"/>
  <c r="K50" i="4"/>
  <c r="O49" i="4"/>
  <c r="M49" i="4"/>
  <c r="K49" i="4"/>
  <c r="O48" i="4"/>
  <c r="M48" i="4"/>
  <c r="K48" i="4"/>
  <c r="O47" i="4"/>
  <c r="M47" i="4"/>
  <c r="K47" i="4"/>
  <c r="O46" i="4"/>
  <c r="M46" i="4"/>
  <c r="K46" i="4"/>
  <c r="O45" i="4"/>
  <c r="M45" i="4"/>
  <c r="K45" i="4"/>
  <c r="O44" i="4"/>
  <c r="M44" i="4"/>
  <c r="K44" i="4"/>
  <c r="O43" i="4"/>
  <c r="M43" i="4"/>
  <c r="K43" i="4"/>
  <c r="O42" i="4"/>
  <c r="M42" i="4"/>
  <c r="K42" i="4"/>
  <c r="O40" i="4"/>
  <c r="M40" i="4"/>
  <c r="K40" i="4"/>
  <c r="O39" i="4"/>
  <c r="M39" i="4"/>
  <c r="K39" i="4"/>
  <c r="O38" i="4"/>
  <c r="M38" i="4"/>
  <c r="K38" i="4"/>
  <c r="O37" i="4"/>
  <c r="M37" i="4"/>
  <c r="K37" i="4"/>
  <c r="O36" i="4"/>
  <c r="M36" i="4"/>
  <c r="K36" i="4"/>
  <c r="O35" i="4"/>
  <c r="M35" i="4"/>
  <c r="K35" i="4"/>
  <c r="O34" i="4"/>
  <c r="M34" i="4"/>
  <c r="K34" i="4"/>
  <c r="O33" i="4"/>
  <c r="M33" i="4"/>
  <c r="K33" i="4"/>
  <c r="O32" i="4"/>
  <c r="M32" i="4"/>
  <c r="K32" i="4"/>
  <c r="O31" i="4"/>
  <c r="M31" i="4"/>
  <c r="K31" i="4"/>
  <c r="O30" i="4"/>
  <c r="M30" i="4"/>
  <c r="K30" i="4"/>
  <c r="O29" i="4"/>
  <c r="M29" i="4"/>
  <c r="K29" i="4"/>
  <c r="O28" i="4"/>
  <c r="M28" i="4"/>
  <c r="K28" i="4"/>
  <c r="O27" i="4"/>
  <c r="M27" i="4"/>
  <c r="K27" i="4"/>
  <c r="O26" i="4"/>
  <c r="M26" i="4"/>
  <c r="K26" i="4"/>
  <c r="O25" i="4"/>
  <c r="M25" i="4"/>
  <c r="K25" i="4"/>
  <c r="O24" i="4"/>
  <c r="M24" i="4"/>
  <c r="K24" i="4"/>
  <c r="O23" i="4"/>
  <c r="M23" i="4"/>
  <c r="K23" i="4"/>
  <c r="O22" i="4"/>
  <c r="M22" i="4"/>
  <c r="K22" i="4"/>
  <c r="O21" i="4"/>
  <c r="M21" i="4"/>
  <c r="K21" i="4"/>
  <c r="O20" i="4"/>
  <c r="M20" i="4"/>
  <c r="K20" i="4"/>
  <c r="O19" i="4"/>
  <c r="M19" i="4"/>
  <c r="K19" i="4"/>
  <c r="O18" i="4"/>
  <c r="M18" i="4"/>
  <c r="K18" i="4"/>
  <c r="O16" i="4"/>
  <c r="M16" i="4"/>
  <c r="K16" i="4"/>
  <c r="O15" i="4"/>
  <c r="M15" i="4"/>
  <c r="K15" i="4"/>
  <c r="O14" i="4"/>
  <c r="M14" i="4"/>
  <c r="K14" i="4"/>
  <c r="O13" i="4"/>
  <c r="M13" i="4"/>
  <c r="K13" i="4"/>
  <c r="O12" i="4"/>
  <c r="M12" i="4"/>
  <c r="K12" i="4"/>
  <c r="L8" i="4"/>
  <c r="M8" i="4"/>
  <c r="N8" i="4"/>
  <c r="L7" i="4"/>
  <c r="M7" i="4"/>
  <c r="N7" i="4"/>
  <c r="L5" i="4"/>
  <c r="M5" i="4"/>
  <c r="N5" i="4"/>
  <c r="L4" i="4"/>
  <c r="M4" i="4"/>
  <c r="N4" i="4"/>
  <c r="L3" i="4"/>
  <c r="M3" i="4"/>
  <c r="N3" i="4"/>
  <c r="L2" i="4"/>
  <c r="L9" i="4" s="1"/>
  <c r="B285" i="3"/>
  <c r="B286" i="3" s="1"/>
  <c r="B287" i="3" s="1"/>
  <c r="B288" i="3" s="1"/>
  <c r="B289" i="3" s="1"/>
  <c r="B290" i="3" s="1"/>
  <c r="B291" i="3" s="1"/>
  <c r="B292" i="3" s="1"/>
  <c r="B293" i="3" s="1"/>
  <c r="B294" i="3" s="1"/>
  <c r="B295" i="3" s="1"/>
  <c r="B296" i="3" s="1"/>
  <c r="B297" i="3" s="1"/>
  <c r="B298" i="3" s="1"/>
  <c r="B299" i="3" s="1"/>
  <c r="B300" i="3" s="1"/>
  <c r="B301" i="3" s="1"/>
  <c r="B302" i="3" s="1"/>
  <c r="B303" i="3" s="1"/>
  <c r="B304" i="3" s="1"/>
  <c r="B305" i="3" s="1"/>
  <c r="B306" i="3" s="1"/>
  <c r="B307" i="3" s="1"/>
  <c r="B308" i="3" s="1"/>
  <c r="B309" i="3" s="1"/>
  <c r="B310" i="3" s="1"/>
  <c r="B311" i="3" s="1"/>
  <c r="B312" i="3" s="1"/>
  <c r="B313" i="3" s="1"/>
  <c r="B314" i="3" s="1"/>
  <c r="B315" i="3" s="1"/>
  <c r="B316" i="3" s="1"/>
  <c r="B317" i="3" s="1"/>
  <c r="B318" i="3" s="1"/>
  <c r="B319" i="3" s="1"/>
  <c r="B320" i="3" s="1"/>
  <c r="B321" i="3" s="1"/>
  <c r="B322" i="3" s="1"/>
  <c r="B323" i="3" s="1"/>
  <c r="B324" i="3" s="1"/>
  <c r="B325" i="3" s="1"/>
  <c r="B326" i="3" s="1"/>
  <c r="B327" i="3" s="1"/>
  <c r="B328" i="3" s="1"/>
  <c r="B329" i="3" s="1"/>
  <c r="B330" i="3" s="1"/>
  <c r="B331" i="3" s="1"/>
  <c r="B332" i="3" s="1"/>
  <c r="B333" i="3" s="1"/>
  <c r="B334" i="3" s="1"/>
  <c r="B335" i="3" s="1"/>
  <c r="B336" i="3" s="1"/>
  <c r="B337" i="3" s="1"/>
  <c r="B338" i="3" s="1"/>
  <c r="B339" i="3" s="1"/>
  <c r="B340" i="3" s="1"/>
  <c r="B341" i="3" s="1"/>
  <c r="B342" i="3" s="1"/>
  <c r="B343" i="3" s="1"/>
  <c r="B344" i="3" s="1"/>
  <c r="B345" i="3" s="1"/>
  <c r="B346" i="3" s="1"/>
  <c r="B347" i="3" s="1"/>
  <c r="B348" i="3" s="1"/>
  <c r="B349" i="3" s="1"/>
  <c r="B350" i="3" s="1"/>
  <c r="B351" i="3" s="1"/>
  <c r="B352" i="3" s="1"/>
  <c r="B353" i="3" s="1"/>
  <c r="B354" i="3" s="1"/>
  <c r="B355" i="3" s="1"/>
  <c r="B356" i="3" s="1"/>
  <c r="B357" i="3" s="1"/>
  <c r="B358" i="3" s="1"/>
  <c r="B359" i="3" s="1"/>
  <c r="B360" i="3" s="1"/>
  <c r="B361" i="3" s="1"/>
  <c r="B362" i="3" s="1"/>
  <c r="B363" i="3" s="1"/>
  <c r="B364" i="3" s="1"/>
  <c r="B365" i="3" s="1"/>
  <c r="B366" i="3" s="1"/>
  <c r="B367" i="3" s="1"/>
  <c r="B368" i="3" s="1"/>
  <c r="B369" i="3" s="1"/>
  <c r="B370" i="3" s="1"/>
  <c r="B371" i="3" s="1"/>
  <c r="B372" i="3" s="1"/>
  <c r="B373" i="3" s="1"/>
  <c r="B374" i="3" s="1"/>
  <c r="B375" i="3" s="1"/>
  <c r="B376" i="3" s="1"/>
  <c r="B377" i="3" s="1"/>
  <c r="B378" i="3" s="1"/>
  <c r="B379" i="3" s="1"/>
  <c r="B380" i="3" s="1"/>
  <c r="B381" i="3" s="1"/>
  <c r="B382" i="3" s="1"/>
  <c r="B383" i="3" s="1"/>
  <c r="A285" i="3"/>
  <c r="A286" i="3" s="1"/>
  <c r="A287" i="3" s="1"/>
  <c r="A288" i="3" s="1"/>
  <c r="A289" i="3" s="1"/>
  <c r="A290" i="3" s="1"/>
  <c r="A291" i="3" s="1"/>
  <c r="A292" i="3" s="1"/>
  <c r="A293" i="3" s="1"/>
  <c r="A294" i="3" s="1"/>
  <c r="A295" i="3" s="1"/>
  <c r="A296" i="3" s="1"/>
  <c r="A297" i="3" s="1"/>
  <c r="A298" i="3" s="1"/>
  <c r="A299" i="3" s="1"/>
  <c r="A300" i="3" s="1"/>
  <c r="A301" i="3" s="1"/>
  <c r="A302" i="3" s="1"/>
  <c r="A303" i="3" s="1"/>
  <c r="A304" i="3" s="1"/>
  <c r="A305" i="3" s="1"/>
  <c r="A306" i="3" s="1"/>
  <c r="A307" i="3" s="1"/>
  <c r="A308" i="3" s="1"/>
  <c r="A309" i="3" s="1"/>
  <c r="A310" i="3" s="1"/>
  <c r="A311" i="3" s="1"/>
  <c r="A312" i="3" s="1"/>
  <c r="A313" i="3" s="1"/>
  <c r="A314" i="3" s="1"/>
  <c r="A315" i="3" s="1"/>
  <c r="A316" i="3" s="1"/>
  <c r="A317" i="3" s="1"/>
  <c r="A318" i="3" s="1"/>
  <c r="A319" i="3" s="1"/>
  <c r="A320" i="3" s="1"/>
  <c r="A321" i="3" s="1"/>
  <c r="A322" i="3" s="1"/>
  <c r="A323" i="3" s="1"/>
  <c r="A324" i="3" s="1"/>
  <c r="A325" i="3" s="1"/>
  <c r="A326" i="3" s="1"/>
  <c r="A327" i="3" s="1"/>
  <c r="A328" i="3" s="1"/>
  <c r="A329" i="3" s="1"/>
  <c r="A330" i="3" s="1"/>
  <c r="A331" i="3" s="1"/>
  <c r="A332" i="3" s="1"/>
  <c r="A333" i="3" s="1"/>
  <c r="A334" i="3" s="1"/>
  <c r="A335" i="3" s="1"/>
  <c r="A336" i="3" s="1"/>
  <c r="A337" i="3" s="1"/>
  <c r="A338" i="3" s="1"/>
  <c r="A339" i="3" s="1"/>
  <c r="A340" i="3" s="1"/>
  <c r="A341" i="3" s="1"/>
  <c r="A342" i="3" s="1"/>
  <c r="A343" i="3" s="1"/>
  <c r="A344" i="3" s="1"/>
  <c r="A345" i="3" s="1"/>
  <c r="A346" i="3" s="1"/>
  <c r="A347" i="3" s="1"/>
  <c r="A348" i="3" s="1"/>
  <c r="A349" i="3" s="1"/>
  <c r="A350" i="3" s="1"/>
  <c r="A351" i="3" s="1"/>
  <c r="A352" i="3" s="1"/>
  <c r="A353" i="3" s="1"/>
  <c r="A354" i="3" s="1"/>
  <c r="A355" i="3" s="1"/>
  <c r="A356" i="3" s="1"/>
  <c r="A357" i="3" s="1"/>
  <c r="A358" i="3" s="1"/>
  <c r="A359" i="3" s="1"/>
  <c r="A360" i="3" s="1"/>
  <c r="A361" i="3" s="1"/>
  <c r="A362" i="3" s="1"/>
  <c r="A363" i="3" s="1"/>
  <c r="A364" i="3" s="1"/>
  <c r="A365" i="3" s="1"/>
  <c r="A366" i="3" s="1"/>
  <c r="A367" i="3" s="1"/>
  <c r="A368" i="3" s="1"/>
  <c r="A369" i="3" s="1"/>
  <c r="A370" i="3" s="1"/>
  <c r="A371" i="3" s="1"/>
  <c r="A372" i="3" s="1"/>
  <c r="A373" i="3" s="1"/>
  <c r="A374" i="3" s="1"/>
  <c r="A375" i="3" s="1"/>
  <c r="A376" i="3" s="1"/>
  <c r="A377" i="3" s="1"/>
  <c r="A378" i="3" s="1"/>
  <c r="A379" i="3" s="1"/>
  <c r="A380" i="3" s="1"/>
  <c r="A381" i="3" s="1"/>
  <c r="A382" i="3" s="1"/>
  <c r="A383" i="3" s="1"/>
  <c r="O67" i="3"/>
  <c r="M67" i="3"/>
  <c r="K67" i="3"/>
  <c r="O66" i="3"/>
  <c r="M66" i="3"/>
  <c r="K66" i="3"/>
  <c r="O65" i="3"/>
  <c r="M65" i="3"/>
  <c r="K65" i="3"/>
  <c r="O64" i="3"/>
  <c r="M64" i="3"/>
  <c r="K64" i="3"/>
  <c r="O63" i="3"/>
  <c r="M63" i="3"/>
  <c r="K63" i="3"/>
  <c r="O62" i="3"/>
  <c r="M62" i="3"/>
  <c r="K62" i="3"/>
  <c r="O61" i="3"/>
  <c r="M61" i="3"/>
  <c r="K61" i="3"/>
  <c r="O60" i="3"/>
  <c r="M60" i="3"/>
  <c r="K60" i="3"/>
  <c r="O59" i="3"/>
  <c r="M59" i="3"/>
  <c r="K59" i="3"/>
  <c r="O58" i="3"/>
  <c r="M58" i="3"/>
  <c r="K58" i="3"/>
  <c r="O56" i="3"/>
  <c r="M56" i="3"/>
  <c r="K56" i="3"/>
  <c r="O55" i="3"/>
  <c r="M55" i="3"/>
  <c r="K55" i="3"/>
  <c r="O54" i="3"/>
  <c r="M54" i="3"/>
  <c r="K54" i="3"/>
  <c r="O53" i="3"/>
  <c r="M53" i="3"/>
  <c r="K53" i="3"/>
  <c r="O52" i="3"/>
  <c r="M52" i="3"/>
  <c r="K52" i="3"/>
  <c r="O51" i="3"/>
  <c r="M51" i="3"/>
  <c r="K51" i="3"/>
  <c r="O50" i="3"/>
  <c r="M50" i="3"/>
  <c r="K50" i="3"/>
  <c r="O49" i="3"/>
  <c r="M49" i="3"/>
  <c r="K49" i="3"/>
  <c r="O48" i="3"/>
  <c r="M48" i="3"/>
  <c r="K48" i="3"/>
  <c r="O47" i="3"/>
  <c r="M47" i="3"/>
  <c r="K47" i="3"/>
  <c r="O46" i="3"/>
  <c r="M46" i="3"/>
  <c r="K46" i="3"/>
  <c r="O45" i="3"/>
  <c r="M45" i="3"/>
  <c r="K45" i="3"/>
  <c r="O44" i="3"/>
  <c r="M44" i="3"/>
  <c r="K44" i="3"/>
  <c r="O43" i="3"/>
  <c r="M43" i="3"/>
  <c r="K43" i="3"/>
  <c r="O42" i="3"/>
  <c r="M42" i="3"/>
  <c r="K42" i="3"/>
  <c r="O40" i="3"/>
  <c r="M40" i="3"/>
  <c r="K40" i="3"/>
  <c r="O39" i="3"/>
  <c r="M39" i="3"/>
  <c r="K39" i="3"/>
  <c r="O38" i="3"/>
  <c r="M38" i="3"/>
  <c r="K38" i="3"/>
  <c r="O37" i="3"/>
  <c r="M37" i="3"/>
  <c r="K37" i="3"/>
  <c r="O36" i="3"/>
  <c r="M36" i="3"/>
  <c r="K36" i="3"/>
  <c r="O35" i="3"/>
  <c r="M35" i="3"/>
  <c r="K35" i="3"/>
  <c r="O34" i="3"/>
  <c r="M34" i="3"/>
  <c r="K34" i="3"/>
  <c r="O33" i="3"/>
  <c r="M33" i="3"/>
  <c r="K33" i="3"/>
  <c r="O32" i="3"/>
  <c r="M32" i="3"/>
  <c r="K32" i="3"/>
  <c r="O31" i="3"/>
  <c r="M31" i="3"/>
  <c r="K31" i="3"/>
  <c r="O30" i="3"/>
  <c r="M30" i="3"/>
  <c r="K30" i="3"/>
  <c r="O29" i="3"/>
  <c r="M29" i="3"/>
  <c r="K29" i="3"/>
  <c r="O28" i="3"/>
  <c r="M28" i="3"/>
  <c r="K28" i="3"/>
  <c r="O27" i="3"/>
  <c r="M27" i="3"/>
  <c r="K27" i="3"/>
  <c r="O26" i="3"/>
  <c r="M26" i="3"/>
  <c r="K26" i="3"/>
  <c r="O25" i="3"/>
  <c r="M25" i="3"/>
  <c r="K25" i="3"/>
  <c r="O24" i="3"/>
  <c r="M24" i="3"/>
  <c r="K24" i="3"/>
  <c r="O23" i="3"/>
  <c r="M23" i="3"/>
  <c r="K23" i="3"/>
  <c r="O22" i="3"/>
  <c r="M22" i="3"/>
  <c r="K22" i="3"/>
  <c r="O21" i="3"/>
  <c r="M21" i="3"/>
  <c r="K21" i="3"/>
  <c r="O20" i="3"/>
  <c r="M20" i="3"/>
  <c r="K20" i="3"/>
  <c r="O19" i="3"/>
  <c r="M19" i="3"/>
  <c r="K19" i="3"/>
  <c r="O18" i="3"/>
  <c r="M18" i="3"/>
  <c r="K18" i="3"/>
  <c r="O16" i="3"/>
  <c r="M16" i="3"/>
  <c r="K16" i="3"/>
  <c r="O15" i="3"/>
  <c r="M15" i="3"/>
  <c r="K15" i="3"/>
  <c r="O14" i="3"/>
  <c r="M14" i="3"/>
  <c r="K14" i="3"/>
  <c r="O13" i="3"/>
  <c r="M13" i="3"/>
  <c r="K13" i="3"/>
  <c r="O12" i="3"/>
  <c r="M12" i="3"/>
  <c r="K12" i="3"/>
  <c r="L8" i="3"/>
  <c r="M8" i="3"/>
  <c r="N8" i="3"/>
  <c r="L7" i="3"/>
  <c r="M7" i="3"/>
  <c r="N7" i="3"/>
  <c r="L5" i="3"/>
  <c r="M5" i="3"/>
  <c r="N5" i="3"/>
  <c r="L4" i="3"/>
  <c r="M4" i="3"/>
  <c r="N4" i="3"/>
  <c r="L3" i="3"/>
  <c r="M3" i="3"/>
  <c r="N3" i="3"/>
  <c r="L2" i="3"/>
  <c r="L9" i="3" s="1"/>
  <c r="K67" i="2"/>
  <c r="M67" i="2"/>
  <c r="O67" i="2"/>
  <c r="K49" i="2"/>
  <c r="M49" i="2"/>
  <c r="O49" i="2"/>
  <c r="P41" i="6" l="1"/>
  <c r="J8" i="2"/>
  <c r="J7" i="2"/>
  <c r="J6" i="2"/>
  <c r="J5" i="2"/>
  <c r="J4" i="2"/>
  <c r="J3" i="2"/>
  <c r="S12" i="6"/>
  <c r="P12" i="6" s="1"/>
  <c r="H9" i="2"/>
  <c r="B8" i="6"/>
  <c r="B6" i="6"/>
  <c r="B9" i="6" s="1"/>
  <c r="I9" i="5"/>
  <c r="J9" i="5" s="1"/>
  <c r="I9" i="4"/>
  <c r="J9" i="4" s="1"/>
  <c r="I9" i="3"/>
  <c r="J9" i="3" s="1"/>
  <c r="I9" i="7"/>
  <c r="J9" i="7" s="1"/>
  <c r="N2" i="7"/>
  <c r="M9" i="7"/>
  <c r="M2" i="7"/>
  <c r="C9" i="6"/>
  <c r="N2" i="6"/>
  <c r="F9" i="6"/>
  <c r="M9" i="6" s="1"/>
  <c r="M2" i="6"/>
  <c r="I9" i="6"/>
  <c r="O3" i="6"/>
  <c r="N2" i="5"/>
  <c r="M9" i="5"/>
  <c r="M2" i="5"/>
  <c r="N2" i="4"/>
  <c r="M9" i="4"/>
  <c r="M2" i="4"/>
  <c r="N2" i="3"/>
  <c r="M9" i="3"/>
  <c r="M2" i="3"/>
  <c r="O2" i="6" l="1"/>
  <c r="N9" i="7" a="1"/>
  <c r="N9" i="7" s="1"/>
  <c r="N9" i="6" a="1"/>
  <c r="N9" i="6" s="1"/>
  <c r="N9" i="5" a="1"/>
  <c r="N9" i="5" s="1"/>
  <c r="N9" i="4" a="1"/>
  <c r="N9" i="4" s="1"/>
  <c r="N9" i="3" a="1"/>
  <c r="N9" i="3" s="1"/>
  <c r="B285" i="2"/>
  <c r="B286" i="2" s="1"/>
  <c r="B287" i="2" s="1"/>
  <c r="B288" i="2" s="1"/>
  <c r="B289" i="2" s="1"/>
  <c r="B290" i="2" s="1"/>
  <c r="B291" i="2" s="1"/>
  <c r="B292" i="2" s="1"/>
  <c r="B293" i="2" s="1"/>
  <c r="B294" i="2" s="1"/>
  <c r="B295" i="2" s="1"/>
  <c r="B296" i="2" s="1"/>
  <c r="B297" i="2" s="1"/>
  <c r="B298" i="2" s="1"/>
  <c r="B299" i="2" s="1"/>
  <c r="B300" i="2" s="1"/>
  <c r="B301" i="2" s="1"/>
  <c r="B302" i="2" s="1"/>
  <c r="B303" i="2" s="1"/>
  <c r="B304" i="2" s="1"/>
  <c r="B305" i="2" s="1"/>
  <c r="B306" i="2" s="1"/>
  <c r="B307" i="2" s="1"/>
  <c r="B308" i="2" s="1"/>
  <c r="B309" i="2" s="1"/>
  <c r="B310" i="2" s="1"/>
  <c r="B311" i="2" s="1"/>
  <c r="B312" i="2" s="1"/>
  <c r="B313" i="2" s="1"/>
  <c r="B314" i="2" s="1"/>
  <c r="B315" i="2" s="1"/>
  <c r="B316" i="2" s="1"/>
  <c r="B317" i="2" s="1"/>
  <c r="B318" i="2" s="1"/>
  <c r="B319" i="2" s="1"/>
  <c r="B320" i="2" s="1"/>
  <c r="B321" i="2" s="1"/>
  <c r="B322" i="2" s="1"/>
  <c r="B323" i="2" s="1"/>
  <c r="B324" i="2" s="1"/>
  <c r="B325" i="2" s="1"/>
  <c r="B326" i="2" s="1"/>
  <c r="B327" i="2" s="1"/>
  <c r="B328" i="2" s="1"/>
  <c r="B329" i="2" s="1"/>
  <c r="B330" i="2" s="1"/>
  <c r="B331" i="2" s="1"/>
  <c r="B332" i="2" s="1"/>
  <c r="B333" i="2" s="1"/>
  <c r="B334" i="2" s="1"/>
  <c r="B335" i="2" s="1"/>
  <c r="B336" i="2" s="1"/>
  <c r="B337" i="2" s="1"/>
  <c r="B338" i="2" s="1"/>
  <c r="B339" i="2" s="1"/>
  <c r="B340" i="2" s="1"/>
  <c r="B341" i="2" s="1"/>
  <c r="B342" i="2" s="1"/>
  <c r="B343" i="2" s="1"/>
  <c r="B344" i="2" s="1"/>
  <c r="B345" i="2" s="1"/>
  <c r="B346" i="2" s="1"/>
  <c r="B347" i="2" s="1"/>
  <c r="B348" i="2" s="1"/>
  <c r="B349" i="2" s="1"/>
  <c r="B350" i="2" s="1"/>
  <c r="B351" i="2" s="1"/>
  <c r="B352" i="2" s="1"/>
  <c r="B353" i="2" s="1"/>
  <c r="B354" i="2" s="1"/>
  <c r="B355" i="2" s="1"/>
  <c r="B356" i="2" s="1"/>
  <c r="B357" i="2" s="1"/>
  <c r="B358" i="2" s="1"/>
  <c r="B359" i="2" s="1"/>
  <c r="B360" i="2" s="1"/>
  <c r="B361" i="2" s="1"/>
  <c r="B362" i="2" s="1"/>
  <c r="B363" i="2" s="1"/>
  <c r="B364" i="2" s="1"/>
  <c r="B365" i="2" s="1"/>
  <c r="B366" i="2" s="1"/>
  <c r="B367" i="2" s="1"/>
  <c r="B368" i="2" s="1"/>
  <c r="B369" i="2" s="1"/>
  <c r="B370" i="2" s="1"/>
  <c r="B371" i="2" s="1"/>
  <c r="B372" i="2" s="1"/>
  <c r="B373" i="2" s="1"/>
  <c r="B374" i="2" s="1"/>
  <c r="B375" i="2" s="1"/>
  <c r="B376" i="2" s="1"/>
  <c r="B377" i="2" s="1"/>
  <c r="B378" i="2" s="1"/>
  <c r="B379" i="2" s="1"/>
  <c r="B380" i="2" s="1"/>
  <c r="B381" i="2" s="1"/>
  <c r="B382" i="2" s="1"/>
  <c r="B383" i="2" s="1"/>
  <c r="A285" i="2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O66" i="2"/>
  <c r="M66" i="2"/>
  <c r="K66" i="2"/>
  <c r="O65" i="2"/>
  <c r="M65" i="2"/>
  <c r="K65" i="2"/>
  <c r="O64" i="2"/>
  <c r="M64" i="2"/>
  <c r="K64" i="2"/>
  <c r="O63" i="2"/>
  <c r="M63" i="2"/>
  <c r="K63" i="2"/>
  <c r="O62" i="2"/>
  <c r="M62" i="2"/>
  <c r="K62" i="2"/>
  <c r="O61" i="2"/>
  <c r="M61" i="2"/>
  <c r="K61" i="2"/>
  <c r="O60" i="2"/>
  <c r="M60" i="2"/>
  <c r="K60" i="2"/>
  <c r="O59" i="2"/>
  <c r="M59" i="2"/>
  <c r="K59" i="2"/>
  <c r="O58" i="2"/>
  <c r="M58" i="2"/>
  <c r="K58" i="2"/>
  <c r="O56" i="2"/>
  <c r="M56" i="2"/>
  <c r="K56" i="2"/>
  <c r="O55" i="2"/>
  <c r="M55" i="2"/>
  <c r="K55" i="2"/>
  <c r="O54" i="2"/>
  <c r="M54" i="2"/>
  <c r="K54" i="2"/>
  <c r="O53" i="2"/>
  <c r="M53" i="2"/>
  <c r="K53" i="2"/>
  <c r="O52" i="2"/>
  <c r="M52" i="2"/>
  <c r="K52" i="2"/>
  <c r="O51" i="2"/>
  <c r="M51" i="2"/>
  <c r="K51" i="2"/>
  <c r="O50" i="2"/>
  <c r="M50" i="2"/>
  <c r="K50" i="2"/>
  <c r="O48" i="2"/>
  <c r="M48" i="2"/>
  <c r="K48" i="2"/>
  <c r="O47" i="2"/>
  <c r="M47" i="2"/>
  <c r="K47" i="2"/>
  <c r="O46" i="2"/>
  <c r="K46" i="2"/>
  <c r="O45" i="2"/>
  <c r="M45" i="2"/>
  <c r="K45" i="2"/>
  <c r="O44" i="2"/>
  <c r="M44" i="2"/>
  <c r="K44" i="2"/>
  <c r="O43" i="2"/>
  <c r="M43" i="2"/>
  <c r="K43" i="2"/>
  <c r="O42" i="2"/>
  <c r="M42" i="2"/>
  <c r="K42" i="2"/>
  <c r="O40" i="2"/>
  <c r="M40" i="2"/>
  <c r="K40" i="2"/>
  <c r="O39" i="2"/>
  <c r="M39" i="2"/>
  <c r="K39" i="2"/>
  <c r="O38" i="2"/>
  <c r="M38" i="2"/>
  <c r="K38" i="2"/>
  <c r="O37" i="2"/>
  <c r="M37" i="2"/>
  <c r="K37" i="2"/>
  <c r="O36" i="2"/>
  <c r="M36" i="2"/>
  <c r="K36" i="2"/>
  <c r="O35" i="2"/>
  <c r="M35" i="2"/>
  <c r="K35" i="2"/>
  <c r="O34" i="2"/>
  <c r="M34" i="2"/>
  <c r="K34" i="2"/>
  <c r="O33" i="2"/>
  <c r="M33" i="2"/>
  <c r="K33" i="2"/>
  <c r="O32" i="2"/>
  <c r="M32" i="2"/>
  <c r="K32" i="2"/>
  <c r="O31" i="2"/>
  <c r="M31" i="2"/>
  <c r="K31" i="2"/>
  <c r="O30" i="2"/>
  <c r="M30" i="2"/>
  <c r="K30" i="2"/>
  <c r="O29" i="2"/>
  <c r="M29" i="2"/>
  <c r="K29" i="2"/>
  <c r="O28" i="2"/>
  <c r="M28" i="2"/>
  <c r="K28" i="2"/>
  <c r="O27" i="2"/>
  <c r="M27" i="2"/>
  <c r="K27" i="2"/>
  <c r="O26" i="2"/>
  <c r="M26" i="2"/>
  <c r="K26" i="2"/>
  <c r="O25" i="2"/>
  <c r="M25" i="2"/>
  <c r="K25" i="2"/>
  <c r="O24" i="2"/>
  <c r="M24" i="2"/>
  <c r="K24" i="2"/>
  <c r="O23" i="2"/>
  <c r="M23" i="2"/>
  <c r="K23" i="2"/>
  <c r="O22" i="2"/>
  <c r="M22" i="2"/>
  <c r="K22" i="2"/>
  <c r="O21" i="2"/>
  <c r="M21" i="2"/>
  <c r="K21" i="2"/>
  <c r="O20" i="2"/>
  <c r="M20" i="2"/>
  <c r="K20" i="2"/>
  <c r="O19" i="2"/>
  <c r="M19" i="2"/>
  <c r="K19" i="2"/>
  <c r="O18" i="2"/>
  <c r="M18" i="2"/>
  <c r="K18" i="2"/>
  <c r="O16" i="2"/>
  <c r="M16" i="2"/>
  <c r="K16" i="2"/>
  <c r="O15" i="2"/>
  <c r="M15" i="2"/>
  <c r="K15" i="2"/>
  <c r="O14" i="2"/>
  <c r="M14" i="2"/>
  <c r="K14" i="2"/>
  <c r="O13" i="2"/>
  <c r="M13" i="2"/>
  <c r="K13" i="2"/>
  <c r="O12" i="2"/>
  <c r="K12" i="2"/>
  <c r="N8" i="2"/>
  <c r="N7" i="2"/>
  <c r="N5" i="2"/>
  <c r="N4" i="2"/>
  <c r="N2" i="2"/>
  <c r="L3" i="2" l="1"/>
  <c r="M3" i="2" s="1"/>
  <c r="E9" i="2"/>
  <c r="G9" i="2"/>
  <c r="N3" i="2"/>
  <c r="C9" i="2"/>
  <c r="D9" i="2"/>
  <c r="L5" i="2"/>
  <c r="M5" i="2" s="1"/>
  <c r="F9" i="2"/>
  <c r="L2" i="2"/>
  <c r="M12" i="2"/>
  <c r="L8" i="2"/>
  <c r="M8" i="2" s="1"/>
  <c r="M46" i="2"/>
  <c r="L7" i="2"/>
  <c r="M7" i="2" s="1"/>
  <c r="I9" i="2"/>
  <c r="J9" i="2" s="1"/>
  <c r="L4" i="2"/>
  <c r="M4" i="2" s="1"/>
  <c r="L9" i="2" l="1"/>
  <c r="M9" i="2" s="1"/>
  <c r="N9" i="2" a="1"/>
  <c r="N9" i="2" s="1"/>
  <c r="M2" i="2"/>
  <c r="J2" i="6" l="1"/>
  <c r="O4" i="6" l="1"/>
  <c r="J3" i="6" l="1"/>
  <c r="O4" i="3" l="1"/>
  <c r="J4" i="6" l="1"/>
  <c r="O5" i="3" l="1"/>
  <c r="O5" i="6" l="1"/>
  <c r="J5" i="6" l="1"/>
  <c r="O7" i="6" l="1"/>
  <c r="J6" i="6" l="1"/>
  <c r="O2" i="7"/>
  <c r="O2" i="5" l="1"/>
  <c r="O2" i="4"/>
  <c r="O2" i="3"/>
  <c r="O3" i="7"/>
  <c r="O2" i="2" l="1"/>
  <c r="O3" i="5"/>
  <c r="O3" i="4"/>
  <c r="O3" i="3"/>
  <c r="O3" i="2"/>
  <c r="O8" i="3" l="1"/>
  <c r="O8" i="6"/>
  <c r="O5" i="7"/>
  <c r="O8" i="7" l="1"/>
  <c r="O5" i="5"/>
  <c r="O5" i="4"/>
  <c r="O8" i="2"/>
  <c r="J7" i="6" l="1"/>
  <c r="O4" i="7" l="1"/>
  <c r="O4" i="5" l="1"/>
  <c r="O4" i="4"/>
  <c r="O4" i="2"/>
  <c r="O7" i="3" l="1"/>
  <c r="O5" i="2"/>
  <c r="O7" i="7" l="1"/>
  <c r="O7" i="2"/>
  <c r="O7" i="5" l="1"/>
  <c r="O8" i="5"/>
  <c r="O7" i="4"/>
  <c r="O8" i="4"/>
  <c r="O9" i="5"/>
  <c r="O9" i="4"/>
  <c r="O9" i="3"/>
  <c r="O9" i="2"/>
  <c r="O9" i="6" l="1"/>
  <c r="J8" i="6"/>
  <c r="J9" i="6"/>
  <c r="O9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<sst xmlns="http://schemas.openxmlformats.org/spreadsheetml/2006/main" count="534" uniqueCount="28">
  <si>
    <t>District</t>
  </si>
  <si>
    <t>Lubricants/Oil +/-</t>
  </si>
  <si>
    <t>Oil +/-</t>
  </si>
  <si>
    <t>Oil Filters +/-</t>
  </si>
  <si>
    <t>Air Filters +/-</t>
  </si>
  <si>
    <t>Wipers +/-</t>
  </si>
  <si>
    <t>Cabins +/-</t>
  </si>
  <si>
    <t>Adjustment Variance</t>
  </si>
  <si>
    <t>On Time Counts</t>
  </si>
  <si>
    <t>Count Compliance</t>
  </si>
  <si>
    <t>Comp Sales</t>
  </si>
  <si>
    <t>Comp Attainment</t>
  </si>
  <si>
    <t>Big 4</t>
  </si>
  <si>
    <t>Coolant</t>
  </si>
  <si>
    <t>Total Count Target</t>
  </si>
  <si>
    <t>Gulf Coast</t>
  </si>
  <si>
    <t>Store</t>
  </si>
  <si>
    <t xml:space="preserve">Oil +/- </t>
  </si>
  <si>
    <t>Comp Sales Attainment</t>
  </si>
  <si>
    <t>Big 4 Items</t>
  </si>
  <si>
    <t>Count Compliance2</t>
  </si>
  <si>
    <t>Baton Rouge North</t>
  </si>
  <si>
    <t>Baton Rouge South</t>
  </si>
  <si>
    <t>Gulf Coast North</t>
  </si>
  <si>
    <t>Gulf Coast West</t>
  </si>
  <si>
    <t>Lafayette</t>
  </si>
  <si>
    <t>NOLA North</t>
  </si>
  <si>
    <t>NOLA South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</si>
</sst>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#,##0.00"/>
    <numFmt numFmtId="165" formatCode="0.0%"/>
    <numFmt numFmtId="166" formatCode="###0"/>
    <numFmt numFmtId="167" formatCode="&quot;$&quot;#,##0"/>
    <numFmt numFmtId="168" formatCode="#,##0.0"/>
  </numFmts>
  <fonts count="5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0"/>
      <color theme="1"/>
      <name val="Arial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0" borderId="0"/>
  </cellStyleXfs>
  <cellXfs count="52">
    <xf numFmtId="0" fontId="0" fillId="0" borderId="0" xfId="0"/>
    <xf numFmtId="0" fontId="3" fillId="0" borderId="1" xfId="2" applyFont="1" applyBorder="1" applyAlignment="1">
      <alignment horizontal="center"/>
    </xf>
    <xf numFmtId="0" fontId="3" fillId="0" borderId="2" xfId="2" applyFont="1" applyBorder="1" applyAlignment="1">
      <alignment horizontal="center"/>
    </xf>
    <xf numFmtId="0" fontId="3" fillId="0" borderId="3" xfId="2" applyFont="1" applyBorder="1" applyAlignment="1">
      <alignment horizontal="center"/>
    </xf>
    <xf numFmtId="0" fontId="3" fillId="0" borderId="0" xfId="2" applyFont="1" applyAlignment="1">
      <alignment horizontal="center"/>
    </xf>
    <xf numFmtId="0" fontId="3" fillId="0" borderId="4" xfId="2" applyFont="1" applyBorder="1" applyAlignment="1">
      <alignment horizontal="center"/>
    </xf>
    <xf numFmtId="0" fontId="2" fillId="0" borderId="0" xfId="2"/>
    <xf numFmtId="14" fontId="3" fillId="0" borderId="5" xfId="2" applyNumberFormat="1" applyFont="1" applyBorder="1" applyAlignment="1">
      <alignment horizontal="center"/>
    </xf>
    <xf numFmtId="3" fontId="3" fillId="0" borderId="6" xfId="2" applyNumberFormat="1" applyFont="1" applyBorder="1" applyAlignment="1">
      <alignment horizontal="center"/>
    </xf>
    <xf numFmtId="164" fontId="3" fillId="0" borderId="6" xfId="2" applyNumberFormat="1" applyFont="1" applyBorder="1" applyAlignment="1">
      <alignment horizontal="center"/>
    </xf>
    <xf numFmtId="9" fontId="3" fillId="0" borderId="7" xfId="2" applyNumberFormat="1" applyFont="1" applyBorder="1" applyAlignment="1">
      <alignment horizontal="center"/>
    </xf>
    <xf numFmtId="3" fontId="3" fillId="0" borderId="0" xfId="2" applyNumberFormat="1" applyFont="1" applyAlignment="1">
      <alignment horizontal="center"/>
    </xf>
    <xf numFmtId="164" fontId="3" fillId="0" borderId="8" xfId="2" applyNumberFormat="1" applyFont="1" applyBorder="1" applyAlignment="1">
      <alignment horizontal="center"/>
    </xf>
    <xf numFmtId="165" fontId="3" fillId="0" borderId="6" xfId="2" applyNumberFormat="1" applyFont="1" applyBorder="1" applyAlignment="1">
      <alignment horizontal="center"/>
    </xf>
    <xf numFmtId="165" fontId="3" fillId="0" borderId="7" xfId="2" applyNumberFormat="1" applyFont="1" applyBorder="1" applyAlignment="1">
      <alignment horizontal="center"/>
    </xf>
    <xf numFmtId="166" fontId="3" fillId="0" borderId="6" xfId="2" applyNumberFormat="1" applyFont="1" applyBorder="1" applyAlignment="1">
      <alignment horizontal="center"/>
    </xf>
    <xf numFmtId="14" fontId="3" fillId="0" borderId="9" xfId="2" applyNumberFormat="1" applyFont="1" applyBorder="1" applyAlignment="1">
      <alignment horizontal="center"/>
    </xf>
    <xf numFmtId="3" fontId="3" fillId="0" borderId="10" xfId="2" applyNumberFormat="1" applyFont="1" applyBorder="1" applyAlignment="1">
      <alignment horizontal="center"/>
    </xf>
    <xf numFmtId="164" fontId="3" fillId="0" borderId="10" xfId="2" applyNumberFormat="1" applyFont="1" applyBorder="1" applyAlignment="1">
      <alignment horizontal="center"/>
    </xf>
    <xf numFmtId="9" fontId="3" fillId="0" borderId="11" xfId="2" applyNumberFormat="1" applyFont="1" applyBorder="1" applyAlignment="1">
      <alignment horizontal="center"/>
    </xf>
    <xf numFmtId="0" fontId="4" fillId="0" borderId="12" xfId="2" applyFont="1" applyBorder="1" applyAlignment="1">
      <alignment horizontal="center"/>
    </xf>
    <xf numFmtId="3" fontId="4" fillId="0" borderId="13" xfId="2" applyNumberFormat="1" applyFont="1" applyBorder="1" applyAlignment="1">
      <alignment horizontal="center"/>
    </xf>
    <xf numFmtId="166" fontId="4" fillId="0" borderId="13" xfId="2" applyNumberFormat="1" applyFont="1" applyBorder="1" applyAlignment="1">
      <alignment horizontal="center"/>
    </xf>
    <xf numFmtId="164" fontId="4" fillId="0" borderId="13" xfId="2" applyNumberFormat="1" applyFont="1" applyBorder="1" applyAlignment="1">
      <alignment horizontal="center"/>
    </xf>
    <xf numFmtId="9" fontId="4" fillId="0" borderId="14" xfId="2" applyNumberFormat="1" applyFont="1" applyBorder="1" applyAlignment="1">
      <alignment horizontal="center"/>
    </xf>
    <xf numFmtId="3" fontId="4" fillId="0" borderId="0" xfId="2" applyNumberFormat="1" applyFont="1" applyAlignment="1">
      <alignment horizontal="center"/>
    </xf>
    <xf numFmtId="164" fontId="4" fillId="0" borderId="15" xfId="2" applyNumberFormat="1" applyFont="1" applyBorder="1" applyAlignment="1">
      <alignment horizontal="center"/>
    </xf>
    <xf numFmtId="165" fontId="3" fillId="0" borderId="16" xfId="2" applyNumberFormat="1" applyFont="1" applyBorder="1" applyAlignment="1">
      <alignment horizontal="center"/>
    </xf>
    <xf numFmtId="165" fontId="3" fillId="0" borderId="17" xfId="2" applyNumberFormat="1" applyFont="1" applyBorder="1" applyAlignment="1">
      <alignment horizontal="center"/>
    </xf>
    <xf numFmtId="14" fontId="2" fillId="0" borderId="6" xfId="2" applyNumberFormat="1" applyBorder="1" applyAlignment="1">
      <alignment horizontal="center"/>
    </xf>
    <xf numFmtId="0" fontId="2" fillId="0" borderId="6" xfId="2" applyBorder="1" applyAlignment="1">
      <alignment horizontal="center"/>
    </xf>
    <xf numFmtId="1" fontId="2" fillId="0" borderId="6" xfId="2" applyNumberFormat="1" applyBorder="1" applyAlignment="1" applyProtection="1">
      <alignment horizontal="center"/>
      <protection locked="0"/>
    </xf>
    <xf numFmtId="1" fontId="1" fillId="2" borderId="6" xfId="1" applyNumberFormat="1" applyBorder="1" applyAlignment="1" applyProtection="1">
      <alignment horizontal="center"/>
      <protection locked="0"/>
    </xf>
    <xf numFmtId="167" fontId="1" fillId="2" borderId="6" xfId="1" applyNumberFormat="1" applyBorder="1" applyAlignment="1" applyProtection="1">
      <alignment horizontal="center"/>
      <protection locked="0"/>
    </xf>
    <xf numFmtId="9" fontId="2" fillId="0" borderId="6" xfId="2" applyNumberFormat="1" applyBorder="1" applyAlignment="1" applyProtection="1">
      <alignment horizontal="center"/>
      <protection locked="0"/>
    </xf>
    <xf numFmtId="164" fontId="2" fillId="0" borderId="6" xfId="2" applyNumberFormat="1" applyBorder="1" applyAlignment="1">
      <alignment horizontal="center"/>
    </xf>
    <xf numFmtId="165" fontId="2" fillId="0" borderId="6" xfId="2" applyNumberFormat="1" applyBorder="1" applyAlignment="1">
      <alignment horizontal="center"/>
    </xf>
    <xf numFmtId="168" fontId="2" fillId="3" borderId="18" xfId="2" applyNumberFormat="1" applyFill="1" applyBorder="1" applyAlignment="1" applyProtection="1">
      <alignment horizontal="center"/>
      <protection locked="0"/>
    </xf>
    <xf numFmtId="9" fontId="2" fillId="3" borderId="6" xfId="2" applyNumberFormat="1" applyFill="1" applyBorder="1" applyAlignment="1" applyProtection="1">
      <alignment horizontal="center"/>
      <protection locked="0"/>
    </xf>
    <xf numFmtId="168" fontId="2" fillId="3" borderId="6" xfId="2" applyNumberFormat="1" applyFill="1" applyBorder="1" applyAlignment="1" applyProtection="1">
      <alignment horizontal="center"/>
      <protection locked="0"/>
    </xf>
    <xf numFmtId="166" fontId="2" fillId="0" borderId="6" xfId="2" applyNumberFormat="1" applyBorder="1" applyAlignment="1">
      <alignment horizontal="center"/>
    </xf>
    <xf numFmtId="165" fontId="2" fillId="0" borderId="10" xfId="2" applyNumberFormat="1" applyBorder="1" applyAlignment="1">
      <alignment horizontal="center"/>
    </xf>
    <xf numFmtId="9" fontId="2" fillId="0" borderId="0" xfId="2" applyNumberFormat="1"/>
    <xf numFmtId="10" fontId="2" fillId="0" borderId="0" xfId="2" applyNumberFormat="1"/>
    <xf numFmtId="0" fontId="2" fillId="0" borderId="10" xfId="2" applyBorder="1" applyAlignment="1">
      <alignment horizontal="center"/>
    </xf>
    <xf numFmtId="166" fontId="2" fillId="0" borderId="10" xfId="2" applyNumberFormat="1" applyBorder="1" applyAlignment="1">
      <alignment horizontal="center"/>
    </xf>
    <xf numFmtId="9" fontId="2" fillId="0" borderId="10" xfId="2" applyNumberFormat="1" applyBorder="1" applyAlignment="1" applyProtection="1">
      <alignment horizontal="center"/>
      <protection locked="0"/>
    </xf>
    <xf numFmtId="164" fontId="2" fillId="0" borderId="10" xfId="2" applyNumberFormat="1" applyBorder="1" applyAlignment="1">
      <alignment horizontal="center"/>
    </xf>
    <xf numFmtId="168" fontId="2" fillId="3" borderId="10" xfId="2" applyNumberFormat="1" applyFill="1" applyBorder="1" applyAlignment="1" applyProtection="1">
      <alignment horizontal="center"/>
      <protection locked="0"/>
    </xf>
    <xf numFmtId="0" fontId="2" fillId="4" borderId="0" xfId="2" applyFill="1"/>
    <xf numFmtId="1" fontId="1" fillId="2" borderId="6" xfId="1" applyNumberFormat="1" applyBorder="1" applyAlignment="1">
      <alignment horizontal="center"/>
    </xf>
    <xf numFmtId="167" fontId="1" fillId="2" borderId="6" xfId="1" applyNumberFormat="1" applyBorder="1" applyAlignment="1">
      <alignment horizontal="center"/>
    </xf>
  </cellXfs>
  <cellStyles count="3">
    <cellStyle name="Good" xfId="1" builtinId="26"/>
    <cellStyle name="Normal" xfId="0" builtinId="0"/>
    <cellStyle name="Normal 2" xfId="2" xr:uid="{22A98CF1-95A4-4A74-8DF7-A25EB1F4877B}"/>
  </cellStyles>
  <dxfs count="181">
    <dxf>
      <numFmt numFmtId="13" formatCode="0%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65" formatCode="0.0%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8" formatCode="#,##0.0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5" formatCode="0.0%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&quot;$&quot;#,##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3" formatCode="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$&quot;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66" formatCode="###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numFmt numFmtId="13" formatCode="0%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65" formatCode="0.0%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8" formatCode="#,##0.0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5" formatCode="0.0%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&quot;$&quot;#,##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3" formatCode="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67" formatCode="&quot;$&quot;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66" formatCode="###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numFmt numFmtId="13" formatCode="0%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65" formatCode="0.0%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8" formatCode="#,##0.0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5" formatCode="0.0%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&quot;$&quot;#,##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3" formatCode="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$&quot;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66" formatCode="###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numFmt numFmtId="13" formatCode="0%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65" formatCode="0.0%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8" formatCode="#,##0.0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5" formatCode="0.0%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&quot;$&quot;#,##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3" formatCode="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$&quot;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66" formatCode="###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numFmt numFmtId="13" formatCode="0%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65" formatCode="0.0%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8" formatCode="#,##0.0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5" formatCode="0.0%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&quot;$&quot;#,##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3" formatCode="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$&quot;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66" formatCode="###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numFmt numFmtId="13" formatCode="0%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65" formatCode="0.0%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8" formatCode="#,##0.0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5" formatCode="0.0%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&quot;$&quot;#,##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3" formatCode="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$&quot;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66" formatCode="###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microsoft.com/office/2007/relationships/slicerCache" Target="slicerCaches/slicerCache6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5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microsoft.com/office/2007/relationships/slicerCache" Target="slicerCaches/slicerCache4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microsoft.com/office/2007/relationships/slicerCache" Target="slicerCaches/slicerCache3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20</xdr:col>
      <xdr:colOff>38100</xdr:colOff>
      <xdr:row>2</xdr:row>
      <xdr:rowOff>95250</xdr:rowOff>
    </xdr:from>
    <xdr:to>
      <xdr:col>23</xdr:col>
      <xdr:colOff>38100</xdr:colOff>
      <xdr:row>15</xdr:row>
      <xdr:rowOff>28575</xdr:rowOff>
    </xdr:to>
    <mc:AlternateContent xmlns:mc="http://schemas.openxmlformats.org/markup-compatibility/2006" xmlns:a15="http://schemas.microsoft.com/office/drawing/2012/main">
      <mc:Choice Requires="a15">
        <xdr:graphicFrame macro="">
          <xdr:nvGraphicFramePr>
            <xdr:cNvPr id="2" name="District">
              <a:extLst>
                <a:ext uri="{FF2B5EF4-FFF2-40B4-BE49-F238E27FC236}">
                  <a16:creationId xmlns:a16="http://schemas.microsoft.com/office/drawing/2014/main" id="{E75F5C09-DACD-C36A-F8C3-7EE16DFCF82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istric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287750" y="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20</xdr:col>
      <xdr:colOff>180975</xdr:colOff>
      <xdr:row>1</xdr:row>
      <xdr:rowOff>76200</xdr:rowOff>
    </xdr:from>
    <xdr:to>
      <xdr:col>23</xdr:col>
      <xdr:colOff>180975</xdr:colOff>
      <xdr:row>13</xdr:row>
      <xdr:rowOff>180975</xdr:rowOff>
    </xdr:to>
    <mc:AlternateContent xmlns:mc="http://schemas.openxmlformats.org/markup-compatibility/2006" xmlns:a15="http://schemas.microsoft.com/office/drawing/2012/main">
      <mc:Choice Requires="a15">
        <xdr:graphicFrame macro="">
          <xdr:nvGraphicFramePr>
            <xdr:cNvPr id="3" name="District 1">
              <a:extLst>
                <a:ext uri="{FF2B5EF4-FFF2-40B4-BE49-F238E27FC236}">
                  <a16:creationId xmlns:a16="http://schemas.microsoft.com/office/drawing/2014/main" id="{E3C744C1-8427-53A0-9832-8BD0AEABB77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istrict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135350" y="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20</xdr:col>
      <xdr:colOff>114300</xdr:colOff>
      <xdr:row>0</xdr:row>
      <xdr:rowOff>76200</xdr:rowOff>
    </xdr:from>
    <xdr:to>
      <xdr:col>23</xdr:col>
      <xdr:colOff>114300</xdr:colOff>
      <xdr:row>60</xdr:row>
      <xdr:rowOff>142875</xdr:rowOff>
    </xdr:to>
    <mc:AlternateContent xmlns:mc="http://schemas.openxmlformats.org/markup-compatibility/2006" xmlns:a15="http://schemas.microsoft.com/office/drawing/2012/main">
      <mc:Choice Requires="a15">
        <xdr:graphicFrame macro="">
          <xdr:nvGraphicFramePr>
            <xdr:cNvPr id="2" name="District 5">
              <a:extLst>
                <a:ext uri="{FF2B5EF4-FFF2-40B4-BE49-F238E27FC236}">
                  <a16:creationId xmlns:a16="http://schemas.microsoft.com/office/drawing/2014/main" id="{63945011-E1DB-A904-A5CB-F9E3D61018E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istrict 5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878425" y="7620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20</xdr:col>
      <xdr:colOff>57150</xdr:colOff>
      <xdr:row>1</xdr:row>
      <xdr:rowOff>0</xdr:rowOff>
    </xdr:from>
    <xdr:to>
      <xdr:col>23</xdr:col>
      <xdr:colOff>57150</xdr:colOff>
      <xdr:row>61</xdr:row>
      <xdr:rowOff>104775</xdr:rowOff>
    </xdr:to>
    <mc:AlternateContent xmlns:mc="http://schemas.openxmlformats.org/markup-compatibility/2006" xmlns:a15="http://schemas.microsoft.com/office/drawing/2012/main">
      <mc:Choice Requires="a15">
        <xdr:graphicFrame macro="">
          <xdr:nvGraphicFramePr>
            <xdr:cNvPr id="2" name="District 3">
              <a:extLst>
                <a:ext uri="{FF2B5EF4-FFF2-40B4-BE49-F238E27FC236}">
                  <a16:creationId xmlns:a16="http://schemas.microsoft.com/office/drawing/2014/main" id="{AAD15781-F61D-199E-6150-EB62097A30C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istrict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040100" y="6667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20</xdr:col>
      <xdr:colOff>66675</xdr:colOff>
      <xdr:row>0</xdr:row>
      <xdr:rowOff>66675</xdr:rowOff>
    </xdr:from>
    <xdr:to>
      <xdr:col>23</xdr:col>
      <xdr:colOff>66675</xdr:colOff>
      <xdr:row>60</xdr:row>
      <xdr:rowOff>133350</xdr:rowOff>
    </xdr:to>
    <mc:AlternateContent xmlns:mc="http://schemas.openxmlformats.org/markup-compatibility/2006" xmlns:a15="http://schemas.microsoft.com/office/drawing/2012/main">
      <mc:Choice Requires="a15">
        <xdr:graphicFrame macro="">
          <xdr:nvGraphicFramePr>
            <xdr:cNvPr id="2" name="District 4">
              <a:extLst>
                <a:ext uri="{FF2B5EF4-FFF2-40B4-BE49-F238E27FC236}">
                  <a16:creationId xmlns:a16="http://schemas.microsoft.com/office/drawing/2014/main" id="{0EACF528-29B2-0F96-3BA5-879F6B1A9C2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istrict 4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868650" y="7620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20</xdr:col>
      <xdr:colOff>66675</xdr:colOff>
      <xdr:row>0</xdr:row>
      <xdr:rowOff>209550</xdr:rowOff>
    </xdr:from>
    <xdr:to>
      <xdr:col>23</xdr:col>
      <xdr:colOff>66675</xdr:colOff>
      <xdr:row>61</xdr:row>
      <xdr:rowOff>85725</xdr:rowOff>
    </xdr:to>
    <mc:AlternateContent xmlns:mc="http://schemas.openxmlformats.org/markup-compatibility/2006" xmlns:a15="http://schemas.microsoft.com/office/drawing/2012/main">
      <mc:Choice Requires="a15">
        <xdr:graphicFrame macro="">
          <xdr:nvGraphicFramePr>
            <xdr:cNvPr id="2" name="District 2">
              <a:extLst>
                <a:ext uri="{FF2B5EF4-FFF2-40B4-BE49-F238E27FC236}">
                  <a16:creationId xmlns:a16="http://schemas.microsoft.com/office/drawing/2014/main" id="{896403C3-CD2C-A538-D37F-59A5C6001E7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istrict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040100" y="857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District" xr10:uid="{C8B5C250-6E3F-49A4-B85E-98A34ECBEE08}" sourceName="District">
  <extLst>
    <x:ext xmlns:x15="http://schemas.microsoft.com/office/spreadsheetml/2010/11/main" uri="{2F2917AC-EB37-4324-AD4E-5DD8C200BD13}">
      <x15:tableSlicerCache tableId="1" column="2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District1" xr10:uid="{E8A04E30-ED4A-4217-B05B-51DE36E6250F}" sourceName="District">
  <extLst>
    <x:ext xmlns:x15="http://schemas.microsoft.com/office/spreadsheetml/2010/11/main" uri="{2F2917AC-EB37-4324-AD4E-5DD8C200BD13}">
      <x15:tableSlicerCache tableId="6" column="2"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District2" xr10:uid="{DF0036B9-BE8D-475C-8705-5A9BCF3692C8}" sourceName="District">
  <extLst>
    <x:ext xmlns:x15="http://schemas.microsoft.com/office/spreadsheetml/2010/11/main" uri="{2F2917AC-EB37-4324-AD4E-5DD8C200BD13}">
      <x15:tableSlicerCache tableId="5" column="2"/>
    </x:ext>
  </extLst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District3" xr10:uid="{B6CB2E54-71C8-4C3D-8F7B-729EE9F41FCD}" sourceName="District">
  <extLst>
    <x:ext xmlns:x15="http://schemas.microsoft.com/office/spreadsheetml/2010/11/main" uri="{2F2917AC-EB37-4324-AD4E-5DD8C200BD13}">
      <x15:tableSlicerCache tableId="3" column="2"/>
    </x:ext>
  </extLst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District4" xr10:uid="{5135F2A8-57E3-418A-A053-AE26393BD048}" sourceName="District">
  <extLst>
    <x:ext xmlns:x15="http://schemas.microsoft.com/office/spreadsheetml/2010/11/main" uri="{2F2917AC-EB37-4324-AD4E-5DD8C200BD13}">
      <x15:tableSlicerCache tableId="4" column="2"/>
    </x:ext>
  </extLst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District5" xr10:uid="{87076DCC-3E83-49B5-9F24-F206F74C5D27}" sourceName="District">
  <extLst>
    <x:ext xmlns:x15="http://schemas.microsoft.com/office/spreadsheetml/2010/11/main" uri="{2F2917AC-EB37-4324-AD4E-5DD8C200BD13}">
      <x15:tableSlicerCache tableId="2" column="2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istrict" xr10:uid="{FA6C298E-73ED-4946-98BB-52A03A174628}" cache="Slicer_District" caption="District" rowHeight="2286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istrict 1" xr10:uid="{9E9DC412-B3F6-4EF9-980F-0596BFF99EB9}" cache="Slicer_District1" caption="District" rowHeight="22860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istrict 5" xr10:uid="{4E2DF708-71A0-4A72-9C5C-B863D08528F3}" cache="Slicer_District5" caption="District" rowHeight="228600"/>
</slicers>
</file>

<file path=xl/slicers/slicer4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istrict 3" xr10:uid="{406A5699-FEB3-4708-B3C3-9E05EB0168E7}" cache="Slicer_District3" caption="District" rowHeight="228600"/>
</slicers>
</file>

<file path=xl/slicers/slicer5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istrict 4" xr10:uid="{7C1F2F39-18A7-4BC2-8C1B-3218F3F4A247}" cache="Slicer_District4" caption="District" rowHeight="228600"/>
</slicers>
</file>

<file path=xl/slicers/slicer6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istrict 2" xr10:uid="{C08BDA8D-31E3-4626-859D-FF29F48FF819}" cache="Slicer_District2" caption="District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7BCDF0-7B6E-4742-90E7-855CEBCA63A7}" name="Table17891011121323578" displayName="Table17891011121323578" ref="A11:P68" totalsRowShown="0" dataDxfId="167">
  <autoFilter ref="A11:P68" xr:uid="{051244B7-D806-4536-8ABD-26EF266D5CAE}"/>
  <sortState xmlns:xlrd2="http://schemas.microsoft.com/office/spreadsheetml/2017/richdata2" ref="A12:P68">
    <sortCondition ref="A11:A68"/>
  </sortState>
  <tableColumns count="16">
    <tableColumn id="2" xr3:uid="{12B65DAF-4B93-438F-A295-72BB545EA9F6}" name="District" dataDxfId="166"/>
    <tableColumn id="4" xr3:uid="{506111FB-5D5C-404F-80D2-6D67BE7BF04F}" name="Store" dataDxfId="165"/>
    <tableColumn id="3" xr3:uid="{15A560EB-E22D-49CE-B4F5-F4DBFC6779A3}" name="Lubricants/Oil +/-" dataDxfId="164"/>
    <tableColumn id="9" xr3:uid="{55DFBD6A-0CA5-4E82-B222-96A0D0A964C0}" name="Oil +/- " dataDxfId="163" dataCellStyle="Good"/>
    <tableColumn id="5" xr3:uid="{02A1F1D7-2F97-4B81-9E20-C32C42E958CF}" name="Oil Filters +/-" dataDxfId="162" dataCellStyle="Good"/>
    <tableColumn id="6" xr3:uid="{282522C4-AC7E-4EA9-B5B4-CE54B97F5818}" name="Air Filters +/-" dataDxfId="161" dataCellStyle="Good"/>
    <tableColumn id="7" xr3:uid="{78BCE7DB-3C91-4AE3-9ADC-F3545C7FF8F8}" name="Wipers +/-" dataDxfId="160" dataCellStyle="Good"/>
    <tableColumn id="12" xr3:uid="{D44D3141-47DD-4F81-B880-6D5999032247}" name="Cabins +/-" dataDxfId="159" dataCellStyle="Good"/>
    <tableColumn id="11" xr3:uid="{AFCE641E-12AC-4BD7-A121-E4451A7FD153}" name="Adjustment Variance" dataDxfId="158" dataCellStyle="Good"/>
    <tableColumn id="10" xr3:uid="{49158F97-B7FA-49F5-ABEA-4A9A39DE07C3}" name="On Time Counts" dataDxfId="157" dataCellStyle="Good"/>
    <tableColumn id="1" xr3:uid="{B50444F3-8804-49AD-800C-6D0D77E2C010}" name="Count Compliance" dataDxfId="156">
      <calculatedColumnFormula>Table17891011121323578[[#This Row],[On Time Counts]]/45</calculatedColumnFormula>
    </tableColumn>
    <tableColumn id="8" xr3:uid="{821741CE-606E-4606-AEE2-8194F024F263}" name="Comp Sales" dataDxfId="155"/>
    <tableColumn id="14" xr3:uid="{4399BCC2-7D62-43B7-B85C-48448A0623DF}" name="Comp Sales Attainment" dataDxfId="154">
      <calculatedColumnFormula>Table17891011121323578[[#This Row],[Wipers +/-]]/Table17891011121323578[[#This Row],[Comp Sales]]</calculatedColumnFormula>
    </tableColumn>
    <tableColumn id="15" xr3:uid="{8C7B7BB4-CBAA-47BF-A353-D2051815C6EE}" name="Big 4 Items" dataDxfId="153"/>
    <tableColumn id="16" xr3:uid="{A98DA3DD-0865-445F-B496-6CCF73FAB0F0}" name="Big 4" dataDxfId="152">
      <calculatedColumnFormula>Table17891011121323578[[#This Row],[Big 4 Items]]/Table17891011121323578[[#This Row],[Oil +/- ]]</calculatedColumnFormula>
    </tableColumn>
    <tableColumn id="17" xr3:uid="{2A5E9308-8554-419E-BB01-B4B63EFD23F1}" name="Count Compliance2" dataDxfId="151" dataCellStyle="Normal 2">
      <calculatedColumnFormula>J12/S12</calculatedColumnFormula>
    </tableColumn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EA41EBA-73F6-4BB2-9257-11A242446294}" name="Table178910111213235787" displayName="Table178910111213235787" ref="A11:P68" totalsRowShown="0" dataDxfId="137">
  <autoFilter ref="A11:P68" xr:uid="{051244B7-D806-4536-8ABD-26EF266D5CAE}"/>
  <sortState xmlns:xlrd2="http://schemas.microsoft.com/office/spreadsheetml/2017/richdata2" ref="A12:P68">
    <sortCondition ref="A11:A68"/>
  </sortState>
  <tableColumns count="16">
    <tableColumn id="2" xr3:uid="{8604E6AD-3F28-4DF1-AF41-251F49B0EF6A}" name="District" dataDxfId="136"/>
    <tableColumn id="4" xr3:uid="{F63D39DA-7C53-4A04-8BE6-CE2C40EFFAE1}" name="Store" dataDxfId="135"/>
    <tableColumn id="3" xr3:uid="{30B0969B-1AD5-42EB-89A6-578B8CD97DB7}" name="Lubricants/Oil +/-" dataDxfId="134"/>
    <tableColumn id="9" xr3:uid="{4AD0250E-5D6B-4D70-B235-1918A7B1FB03}" name="Oil +/- " dataDxfId="133" dataCellStyle="Good"/>
    <tableColumn id="5" xr3:uid="{184A7863-7C1C-41FD-BE46-F46E3DC5D68C}" name="Oil Filters +/-" dataDxfId="132" dataCellStyle="Good"/>
    <tableColumn id="6" xr3:uid="{17D49057-6491-4E6E-8AF2-378A389FDF4B}" name="Air Filters +/-" dataDxfId="131" dataCellStyle="Good"/>
    <tableColumn id="7" xr3:uid="{C0543A5B-3E55-4A6F-93B5-2E22DC5F5B36}" name="Wipers +/-" dataDxfId="130" dataCellStyle="Good"/>
    <tableColumn id="12" xr3:uid="{25E3B19C-1B78-4B09-968E-5E28F7AD5266}" name="Cabins +/-" dataDxfId="129" dataCellStyle="Good"/>
    <tableColumn id="11" xr3:uid="{7302C044-F0C3-44D0-BF41-170CD3CA7744}" name="Adjustment Variance" dataDxfId="128" dataCellStyle="Good"/>
    <tableColumn id="10" xr3:uid="{536A3B18-B8B9-4297-81F1-867E64E5CB49}" name="On Time Counts" dataDxfId="127" dataCellStyle="Good"/>
    <tableColumn id="1" xr3:uid="{D55E27D0-7126-42BF-9DA2-18D62289EC97}" name="Count Compliance" dataDxfId="126">
      <calculatedColumnFormula>Table178910111213235787[[#This Row],[On Time Counts]]/45</calculatedColumnFormula>
    </tableColumn>
    <tableColumn id="8" xr3:uid="{DE4AE602-2D16-4F82-A9EA-6B5DF755500F}" name="Comp Sales" dataDxfId="125"/>
    <tableColumn id="14" xr3:uid="{D565FB7A-0846-46FD-8F6D-14C29D8725D0}" name="Comp Sales Attainment" dataDxfId="124">
      <calculatedColumnFormula>Table178910111213235787[[#This Row],[Wipers +/-]]/Table178910111213235787[[#This Row],[Comp Sales]]</calculatedColumnFormula>
    </tableColumn>
    <tableColumn id="15" xr3:uid="{AD402ACA-703E-4869-8E3B-2C35D60FDFE6}" name="Big 4 Items" dataDxfId="123"/>
    <tableColumn id="16" xr3:uid="{AD9284A4-C508-464C-B59B-2F5FC2BAF502}" name="Big 4" dataDxfId="122">
      <calculatedColumnFormula>Table178910111213235787[[#This Row],[Big 4 Items]]/Table178910111213235787[[#This Row],[Oil +/- ]]</calculatedColumnFormula>
    </tableColumn>
    <tableColumn id="17" xr3:uid="{4E8DA5BA-F11A-45C0-B0B7-675DBFF696FC}" name="Count Compliance2" dataDxfId="121" dataCellStyle="Normal 2">
      <calculatedColumnFormula>J12/S12</calculatedColumnFormula>
    </tableColumn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162AC54-3DD8-45E2-8B9C-3AEC90BFBAC7}" name="Table178910111213235783" displayName="Table178910111213235783" ref="A11:P68" totalsRowShown="0" dataDxfId="107">
  <autoFilter ref="A11:P68" xr:uid="{051244B7-D806-4536-8ABD-26EF266D5CAE}">
    <filterColumn colId="0">
      <filters>
        <filter val="NOLA South"/>
      </filters>
    </filterColumn>
  </autoFilter>
  <sortState xmlns:xlrd2="http://schemas.microsoft.com/office/spreadsheetml/2017/richdata2" ref="A12:P68">
    <sortCondition ref="A11:A68"/>
  </sortState>
  <tableColumns count="16">
    <tableColumn id="2" xr3:uid="{9FE16DBF-B7F1-4783-89EE-FFCF647F42C5}" name="District" dataDxfId="106"/>
    <tableColumn id="4" xr3:uid="{E41719E7-50A4-42BA-98E6-A939AC5CB234}" name="Store" dataDxfId="105"/>
    <tableColumn id="3" xr3:uid="{B7973783-DC1A-4152-A350-D863F3E52D81}" name="Lubricants/Oil +/-" dataDxfId="104"/>
    <tableColumn id="9" xr3:uid="{ED900BE3-C6CE-4FD0-9F35-9B579AC666B9}" name="Oil +/- " dataDxfId="103" dataCellStyle="Good"/>
    <tableColumn id="5" xr3:uid="{85A93A53-FF1E-4B1A-B97E-426B0DA1A541}" name="Oil Filters +/-" dataDxfId="102" dataCellStyle="Good"/>
    <tableColumn id="6" xr3:uid="{944BDA00-C089-4625-91B1-170D2A85A2BF}" name="Air Filters +/-" dataDxfId="101" dataCellStyle="Good"/>
    <tableColumn id="7" xr3:uid="{E8C1FF38-C65D-434C-9B58-616F649A322D}" name="Wipers +/-" dataDxfId="100" dataCellStyle="Good"/>
    <tableColumn id="12" xr3:uid="{3E796DC2-F38A-40B7-AD80-8DAA1DAF3F93}" name="Cabins +/-" dataDxfId="99" dataCellStyle="Good"/>
    <tableColumn id="11" xr3:uid="{ABCD0363-7B84-4013-B951-A9F4E8E624C8}" name="Adjustment Variance" dataDxfId="98" dataCellStyle="Good"/>
    <tableColumn id="10" xr3:uid="{B6F9EAF4-260D-46A1-ACAB-F1AF3171A166}" name="On Time Counts" dataDxfId="97" dataCellStyle="Good"/>
    <tableColumn id="1" xr3:uid="{E86828CF-59B6-41A4-B6D0-04423919BCA7}" name="Count Compliance" dataDxfId="96">
      <calculatedColumnFormula>Table178910111213235783[[#This Row],[On Time Counts]]/45</calculatedColumnFormula>
    </tableColumn>
    <tableColumn id="8" xr3:uid="{E6EAC888-163C-4088-B5FA-F11EC45283E0}" name="Comp Sales" dataDxfId="95"/>
    <tableColumn id="14" xr3:uid="{AE95BF20-E31C-47F8-A3F8-3779D372A864}" name="Comp Sales Attainment" dataDxfId="94">
      <calculatedColumnFormula>Table178910111213235783[[#This Row],[Wipers +/-]]/Table178910111213235783[[#This Row],[Comp Sales]]</calculatedColumnFormula>
    </tableColumn>
    <tableColumn id="15" xr3:uid="{95ACF90C-C99F-4FDC-BBDD-A82512DA73FA}" name="Big 4 Items" dataDxfId="93"/>
    <tableColumn id="16" xr3:uid="{256CBFBE-BBEC-4A21-905A-EBAB3AB956E1}" name="Big 4" dataDxfId="92">
      <calculatedColumnFormula>Table178910111213235783[[#This Row],[Big 4 Items]]/Table178910111213235783[[#This Row],[Oil +/- ]]</calculatedColumnFormula>
    </tableColumn>
    <tableColumn id="17" xr3:uid="{C82C535D-4D48-42AA-A696-59A3F5F0A8CF}" name="Count Compliance2" dataDxfId="91" dataCellStyle="Normal 2">
      <calculatedColumnFormula>J12/S12</calculatedColumnFormula>
    </tableColumn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360E0A9-D193-4EB7-9CF1-FC813D02ABE7}" name="Table1789101112132357834" displayName="Table1789101112132357834" ref="A11:P68" totalsRowShown="0" dataDxfId="77">
  <autoFilter ref="A11:P68" xr:uid="{051244B7-D806-4536-8ABD-26EF266D5CAE}">
    <filterColumn colId="0">
      <filters>
        <filter val="NOLA South"/>
      </filters>
    </filterColumn>
  </autoFilter>
  <sortState xmlns:xlrd2="http://schemas.microsoft.com/office/spreadsheetml/2017/richdata2" ref="A12:P68">
    <sortCondition ref="A11:A68"/>
  </sortState>
  <tableColumns count="16">
    <tableColumn id="2" xr3:uid="{969257FE-1076-46D6-A4AF-727D04635C69}" name="District" dataDxfId="76"/>
    <tableColumn id="4" xr3:uid="{A203298A-120C-4315-8B10-E486798B54BC}" name="Store" dataDxfId="75"/>
    <tableColumn id="3" xr3:uid="{9300FF48-81D7-43BC-8915-B13FE84BF380}" name="Lubricants/Oil +/-" dataDxfId="74"/>
    <tableColumn id="9" xr3:uid="{05B5FCDD-2FF0-4391-821F-04BDD006F268}" name="Oil +/- " dataDxfId="73" dataCellStyle="Good"/>
    <tableColumn id="5" xr3:uid="{C1A43708-63E3-4EBB-A217-37BF292E7C24}" name="Oil Filters +/-" dataDxfId="72" dataCellStyle="Good"/>
    <tableColumn id="6" xr3:uid="{CF9A3CE7-8866-4556-9FF8-EE7FA6CD12B5}" name="Air Filters +/-" dataDxfId="71" dataCellStyle="Good"/>
    <tableColumn id="7" xr3:uid="{FD73D005-C17E-4A71-BB9B-71F0ECDB4887}" name="Wipers +/-" dataDxfId="70" dataCellStyle="Good"/>
    <tableColumn id="12" xr3:uid="{04C565B6-68EC-4CD6-8AB3-E49AA2C00734}" name="Cabins +/-" dataDxfId="69" dataCellStyle="Good"/>
    <tableColumn id="11" xr3:uid="{D25C2856-B6C9-455C-9D05-61785110921A}" name="Adjustment Variance" dataDxfId="68" dataCellStyle="Good"/>
    <tableColumn id="10" xr3:uid="{54F7AEDD-BC34-4710-B0F8-9E19B8D96542}" name="On Time Counts" dataDxfId="67" dataCellStyle="Good"/>
    <tableColumn id="1" xr3:uid="{2BEB065C-81B6-4E70-891F-D1568F3DB506}" name="Count Compliance" dataDxfId="66">
      <calculatedColumnFormula>Table1789101112132357834[[#This Row],[On Time Counts]]/45</calculatedColumnFormula>
    </tableColumn>
    <tableColumn id="8" xr3:uid="{5D357B61-6521-4992-9B76-CF8343A5DA4A}" name="Comp Sales" dataDxfId="65"/>
    <tableColumn id="14" xr3:uid="{1D3820B9-9933-4D28-8C58-E2A5E9016DF9}" name="Comp Sales Attainment" dataDxfId="64">
      <calculatedColumnFormula>Table1789101112132357834[[#This Row],[Wipers +/-]]/Table1789101112132357834[[#This Row],[Comp Sales]]</calculatedColumnFormula>
    </tableColumn>
    <tableColumn id="15" xr3:uid="{C983A8B0-75D0-40B9-9E92-AB40A8874366}" name="Big 4 Items" dataDxfId="63"/>
    <tableColumn id="16" xr3:uid="{1562E9A0-6DB9-44B6-932F-7452B650C93E}" name="Big 4" dataDxfId="62">
      <calculatedColumnFormula>Table1789101112132357834[[#This Row],[Big 4 Items]]/Table1789101112132357834[[#This Row],[Oil +/- ]]</calculatedColumnFormula>
    </tableColumn>
    <tableColumn id="17" xr3:uid="{400BC01D-26AF-4756-8048-0918AFBCD269}" name="Count Compliance2" dataDxfId="61" dataCellStyle="Normal 2">
      <calculatedColumnFormula>J12/S12</calculatedColumnFormula>
    </tableColumn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C12A543-E2DF-42E5-BDF5-A36881FDB6CF}" name="Table17891011121323578345" displayName="Table17891011121323578345" ref="A11:P68" totalsRowShown="0" dataDxfId="46">
  <autoFilter ref="A11:P68" xr:uid="{051244B7-D806-4536-8ABD-26EF266D5CAE}">
    <filterColumn colId="0">
      <filters>
        <filter val="NOLA South"/>
      </filters>
    </filterColumn>
  </autoFilter>
  <sortState xmlns:xlrd2="http://schemas.microsoft.com/office/spreadsheetml/2017/richdata2" ref="A12:P68">
    <sortCondition ref="A11:A68"/>
  </sortState>
  <tableColumns count="16">
    <tableColumn id="2" xr3:uid="{FC5CFB44-CB62-47C3-8116-77D374DB1807}" name="District" dataDxfId="45"/>
    <tableColumn id="4" xr3:uid="{5653A139-B734-4DBF-B830-BB1D3227B6BC}" name="Store" dataDxfId="44"/>
    <tableColumn id="3" xr3:uid="{84C80432-ACCA-4DA4-93BF-7EEC5019807F}" name="Lubricants/Oil +/-" dataDxfId="43"/>
    <tableColumn id="9" xr3:uid="{F4BC6C44-4EEE-4D61-B9CE-E59B27B4F6E0}" name="Oil +/- " dataDxfId="42" dataCellStyle="Good"/>
    <tableColumn id="5" xr3:uid="{5C5CBC38-AB1D-4F44-988C-E0941E01B41F}" name="Oil Filters +/-" dataDxfId="41" dataCellStyle="Good"/>
    <tableColumn id="6" xr3:uid="{2216303F-A4EA-4867-9F7E-1AEC12BCCE6C}" name="Air Filters +/-" dataDxfId="40" dataCellStyle="Good"/>
    <tableColumn id="7" xr3:uid="{92874294-DFC1-47B4-8700-B8F1F6E689A8}" name="Wipers +/-" dataDxfId="39" dataCellStyle="Good"/>
    <tableColumn id="12" xr3:uid="{87D91F79-1B46-4376-A342-1CA1947B90B2}" name="Cabins +/-" dataDxfId="38" dataCellStyle="Good"/>
    <tableColumn id="11" xr3:uid="{067C6300-F4B3-4A48-8D9D-ED11A1D6A99C}" name="Adjustment Variance" dataDxfId="37" dataCellStyle="Good"/>
    <tableColumn id="10" xr3:uid="{D431AD5E-69DA-4D6F-8B16-41388B3B35EF}" name="On Time Counts" dataDxfId="36" dataCellStyle="Good"/>
    <tableColumn id="1" xr3:uid="{7A4B866B-7F52-4D5E-9015-15AB3E004155}" name="Count Compliance" dataDxfId="35">
      <calculatedColumnFormula>Table17891011121323578345[[#This Row],[On Time Counts]]/45</calculatedColumnFormula>
    </tableColumn>
    <tableColumn id="8" xr3:uid="{2371FFB4-24E3-495A-87CA-0A1E46C1A204}" name="Comp Sales" dataDxfId="34"/>
    <tableColumn id="14" xr3:uid="{89996590-F1DB-456A-82D0-897061C691E7}" name="Comp Sales Attainment" dataDxfId="33">
      <calculatedColumnFormula>Table17891011121323578345[[#This Row],[Wipers +/-]]/Table17891011121323578345[[#This Row],[Comp Sales]]</calculatedColumnFormula>
    </tableColumn>
    <tableColumn id="15" xr3:uid="{764832BF-B61C-4445-84D1-680525F25B88}" name="Big 4 Items" dataDxfId="32"/>
    <tableColumn id="16" xr3:uid="{5DBBC302-7AC8-4DEA-BF34-F90BDF8F4E2B}" name="Big 4" dataDxfId="31">
      <calculatedColumnFormula>Table17891011121323578345[[#This Row],[Big 4 Items]]/Table17891011121323578345[[#This Row],[Oil +/- ]]</calculatedColumnFormula>
    </tableColumn>
    <tableColumn id="17" xr3:uid="{6F10510A-6014-4533-8C32-2C3989918AEE}" name="Count Compliance2" dataDxfId="30" dataCellStyle="Normal 2">
      <calculatedColumnFormula>J12/S12</calculatedColumnFormula>
    </tableColumn>
  </tableColumns>
  <tableStyleInfo name="TableStyleMedium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F3ED5DC-2C68-4D79-A6EB-B2B0B0B2A67C}" name="Table178910111213235783456" displayName="Table178910111213235783456" ref="A11:P68" totalsRowShown="0" dataDxfId="16">
  <autoFilter ref="A11:P68" xr:uid="{051244B7-D806-4536-8ABD-26EF266D5CAE}">
    <filterColumn colId="0">
      <filters>
        <filter val="NOLA South"/>
      </filters>
    </filterColumn>
  </autoFilter>
  <sortState xmlns:xlrd2="http://schemas.microsoft.com/office/spreadsheetml/2017/richdata2" ref="A12:P67">
    <sortCondition ref="A11:A67"/>
  </sortState>
  <tableColumns count="16">
    <tableColumn id="2" xr3:uid="{3ABD1FC9-59A2-449F-A6A8-701BFCDCC0FC}" name="District" dataDxfId="15"/>
    <tableColumn id="4" xr3:uid="{DC31DF74-532B-405F-A94A-EEF3E153C327}" name="Store" dataDxfId="14"/>
    <tableColumn id="3" xr3:uid="{79769E6A-967D-4530-8568-413AC3BD09BE}" name="Lubricants/Oil +/-" dataDxfId="13">
      <calculatedColumnFormula>Table17891011121323578[[#This Row],[Lubricants/Oil +/-]]+Table178910111213235787[[#This Row],[Lubricants/Oil +/-]]+Table178910111213235783[[#This Row],[Lubricants/Oil +/-]]+Table1789101112132357834[[#This Row],[Lubricants/Oil +/-]]+Table17891011121323578345[[#This Row],[Lubricants/Oil +/-]]</calculatedColumnFormula>
    </tableColumn>
    <tableColumn id="9" xr3:uid="{E38E042C-FC3B-4F20-B8D5-E8EC52E0A5B6}" name="Oil +/- " dataDxfId="12" dataCellStyle="Good">
      <calculatedColumnFormula>Table17891011121323578[[#This Row],[Oil +/- ]]+Table178910111213235787[[#This Row],[Oil +/- ]]+Table178910111213235783[[#This Row],[Oil +/- ]]+Table1789101112132357834[[#This Row],[Oil +/- ]]+Table17891011121323578345[[#This Row],[Oil +/- ]]</calculatedColumnFormula>
    </tableColumn>
    <tableColumn id="5" xr3:uid="{29F5566B-E4E5-4726-A73E-6B5251976AE2}" name="Oil Filters +/-" dataDxfId="11" dataCellStyle="Good">
      <calculatedColumnFormula>Table17891011121323578[[#This Row],[Oil Filters +/-]]+Table178910111213235787[[#This Row],[Oil Filters +/-]]+Table178910111213235783[[#This Row],[Oil Filters +/-]]+Table1789101112132357834[[#This Row],[Oil Filters +/-]]+Table17891011121323578345[[#This Row],[Oil Filters +/-]]</calculatedColumnFormula>
    </tableColumn>
    <tableColumn id="6" xr3:uid="{98B7AD58-4E39-4D22-B351-FE3D721D8C85}" name="Air Filters +/-" dataDxfId="10" dataCellStyle="Good">
      <calculatedColumnFormula>Table17891011121323578[[#This Row],[Air Filters +/-]]+Table178910111213235787[[#This Row],[Air Filters +/-]]+Table178910111213235783[[#This Row],[Air Filters +/-]]+Table1789101112132357834[[#This Row],[Air Filters +/-]]+Table17891011121323578345[[#This Row],[Air Filters +/-]]</calculatedColumnFormula>
    </tableColumn>
    <tableColumn id="7" xr3:uid="{130BE475-D68E-41D1-8444-3EF81119E405}" name="Wipers +/-" dataDxfId="9" dataCellStyle="Good">
      <calculatedColumnFormula>Table17891011121323578[[#This Row],[Wipers +/-]]+Table178910111213235787[[#This Row],[Wipers +/-]]+Table178910111213235783[[#This Row],[Wipers +/-]]+Table1789101112132357834[[#This Row],[Wipers +/-]]+Table17891011121323578345[[#This Row],[Wipers +/-]]</calculatedColumnFormula>
    </tableColumn>
    <tableColumn id="12" xr3:uid="{71D482E1-3CFD-4053-9BBA-0D5CF3FDB357}" name="Cabins +/-" dataDxfId="8" dataCellStyle="Good">
      <calculatedColumnFormula>Table17891011121323578[[#This Row],[Cabins +/-]]+Table178910111213235787[[#This Row],[Cabins +/-]]+Table178910111213235783[[#This Row],[Cabins +/-]]+Table1789101112132357834[[#This Row],[Cabins +/-]]+Table17891011121323578345[[#This Row],[Cabins +/-]]</calculatedColumnFormula>
    </tableColumn>
    <tableColumn id="11" xr3:uid="{C2C76125-0110-422F-8B0F-B54194CCDEF3}" name="Adjustment Variance" dataDxfId="7" dataCellStyle="Good">
      <calculatedColumnFormula>Table17891011121323578[[#This Row],[Adjustment Variance]]+Table178910111213235787[[#This Row],[Adjustment Variance]]+Table178910111213235783[[#This Row],[Adjustment Variance]]+Table1789101112132357834[[#This Row],[Adjustment Variance]]+Table17891011121323578345[[#This Row],[Adjustment Variance]]</calculatedColumnFormula>
    </tableColumn>
    <tableColumn id="10" xr3:uid="{37F9825F-4F00-4C4A-83FA-2283FF5C31F8}" name="On Time Counts" dataDxfId="6" dataCellStyle="Good">
      <calculatedColumnFormula>Table17891011121323578[[#This Row],[On Time Counts]]+Table178910111213235787[[#This Row],[On Time Counts]]+Table178910111213235783[[#This Row],[On Time Counts]]+Table1789101112132357834[[#This Row],[On Time Counts]]+Table17891011121323578345[[#This Row],[On Time Counts]]</calculatedColumnFormula>
    </tableColumn>
    <tableColumn id="1" xr3:uid="{0A4D5571-A181-4AD7-8A3F-6882D3EF2138}" name="Count Compliance" dataDxfId="5">
      <calculatedColumnFormula>Table178910111213235783456[[#This Row],[On Time Counts]]/45</calculatedColumnFormula>
    </tableColumn>
    <tableColumn id="8" xr3:uid="{8A32077A-BBB2-4044-96BB-E434D5374241}" name="Comp Sales" dataDxfId="4"/>
    <tableColumn id="14" xr3:uid="{90418BB7-71CC-4B12-981F-974D72CCB4E8}" name="Comp Sales Attainment" dataDxfId="3">
      <calculatedColumnFormula>Table178910111213235783456[[#This Row],[Wipers +/-]]/Table178910111213235783456[[#This Row],[Comp Sales]]</calculatedColumnFormula>
    </tableColumn>
    <tableColumn id="15" xr3:uid="{C25D6EA9-97D4-41BC-866D-B175EBAD9C30}" name="Big 4 Items" dataDxfId="2"/>
    <tableColumn id="16" xr3:uid="{C5D8B8CF-BFC7-419E-ABA0-00EE5FBD1C0C}" name="Big 4" dataDxfId="1">
      <calculatedColumnFormula>Table178910111213235783456[[#This Row],[Big 4 Items]]/Table178910111213235783456[[#This Row],[Oil +/- ]]</calculatedColumnFormula>
    </tableColumn>
    <tableColumn id="17" xr3:uid="{9E46314E-5240-4F5F-BAF3-664B8F7391FC}" name="Count Compliance2" dataDxfId="0" dataCellStyle="Normal 2">
      <calculatedColumnFormula>J12/S12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3.xml"/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4.xml"/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5.xml"/><Relationship Id="rId2" Type="http://schemas.openxmlformats.org/officeDocument/2006/relationships/table" Target="../tables/table5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07/relationships/slicer" Target="../slicers/slicer6.xml"/><Relationship Id="rId2" Type="http://schemas.openxmlformats.org/officeDocument/2006/relationships/table" Target="../tables/table6.xml"/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BCA0D-DE01-4B46-8B32-6650195578FE}">
  <dimension ref="A1:T383"/>
  <sheetViews>
    <sheetView topLeftCell="A49" zoomScale="84" zoomScaleNormal="100" workbookViewId="0">
      <selection activeCell="P12" sqref="P12"/>
    </sheetView>
  </sheetViews>
  <sheetFormatPr defaultColWidth="9.140625" defaultRowHeight="12.75"/>
  <cols>
    <col min="1" max="1" width="25.28515625" style="6" bestFit="1" customWidth="1"/>
    <col min="2" max="2" width="22" style="6" bestFit="1" customWidth="1"/>
    <col min="3" max="3" width="18.85546875" style="6" bestFit="1" customWidth="1"/>
    <col min="4" max="4" width="22.5703125" style="6" bestFit="1" customWidth="1"/>
    <col min="5" max="5" width="18" style="6" bestFit="1" customWidth="1"/>
    <col min="6" max="6" width="17.85546875" style="6" bestFit="1" customWidth="1"/>
    <col min="7" max="7" width="27" style="6" bestFit="1" customWidth="1"/>
    <col min="8" max="8" width="26.7109375" style="6" bestFit="1" customWidth="1"/>
    <col min="9" max="10" width="24" style="6" bestFit="1" customWidth="1"/>
    <col min="11" max="11" width="22.5703125" style="6" hidden="1" customWidth="1"/>
    <col min="12" max="12" width="25" style="6" hidden="1" customWidth="1"/>
    <col min="13" max="13" width="13.28515625" style="6" hidden="1" customWidth="1"/>
    <col min="14" max="14" width="7.85546875" style="6" hidden="1" customWidth="1"/>
    <col min="15" max="15" width="11.140625" style="6" hidden="1" customWidth="1"/>
    <col min="16" max="16" width="11.140625" style="6" bestFit="1" customWidth="1"/>
    <col min="17" max="17" width="9.140625" style="6"/>
    <col min="18" max="18" width="16.28515625" style="6" hidden="1" customWidth="1"/>
    <col min="19" max="19" width="16.7109375" style="6" bestFit="1" customWidth="1"/>
    <col min="20" max="20" width="3.140625" style="6" customWidth="1"/>
    <col min="21" max="16384" width="9.140625" style="6"/>
  </cols>
  <sheetData>
    <row r="1" spans="1:20" ht="18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4"/>
      <c r="L1" s="5" t="s">
        <v>10</v>
      </c>
      <c r="M1" s="2" t="s">
        <v>11</v>
      </c>
      <c r="N1" s="2" t="s">
        <v>12</v>
      </c>
      <c r="O1" s="3" t="s">
        <v>13</v>
      </c>
      <c r="S1" s="6" t="s">
        <v>14</v>
      </c>
      <c r="T1" s="49">
        <v>10</v>
      </c>
    </row>
    <row r="2" spans="1:20" ht="18">
      <c r="A2" s="7" t="str">
        <f>A12</f>
        <v>Baton Rouge North</v>
      </c>
      <c r="B2" s="8">
        <f>SUM(C12:C19)</f>
        <v>1873.86</v>
      </c>
      <c r="C2" s="8">
        <f t="shared" ref="C2:I2" si="0">SUM(D12:D19)</f>
        <v>1258.76</v>
      </c>
      <c r="D2" s="8">
        <f t="shared" si="0"/>
        <v>3120</v>
      </c>
      <c r="E2" s="8">
        <f t="shared" si="0"/>
        <v>1848</v>
      </c>
      <c r="F2" s="8">
        <f t="shared" si="0"/>
        <v>98</v>
      </c>
      <c r="G2" s="8">
        <f t="shared" si="0"/>
        <v>375</v>
      </c>
      <c r="H2" s="9">
        <f>SUM(I12:I19)</f>
        <v>10715.432799999999</v>
      </c>
      <c r="I2" s="8">
        <f>SUM(J12:J19)</f>
        <v>26</v>
      </c>
      <c r="J2" s="10">
        <f>I2/SUM(S12:S19)</f>
        <v>0.43333333333333335</v>
      </c>
      <c r="K2" s="11"/>
      <c r="L2" s="12">
        <f>SUM(L12:L12)</f>
        <v>4238.9799999999996</v>
      </c>
      <c r="M2" s="13">
        <f>((F2-G12)/L2)-100%</f>
        <v>-1.0087285148785792</v>
      </c>
      <c r="N2" s="13">
        <f>SUM(N12:N12)/C2</f>
        <v>0</v>
      </c>
      <c r="O2" s="14">
        <f>SUM(P12:P12)/C2</f>
        <v>1.5888652324509836E-4</v>
      </c>
    </row>
    <row r="3" spans="1:20" ht="18">
      <c r="A3" s="7" t="str">
        <f>A20</f>
        <v>Baton Rouge South</v>
      </c>
      <c r="B3" s="8">
        <f>SUM(C20:C26)</f>
        <v>8854.0999999999985</v>
      </c>
      <c r="C3" s="8">
        <f t="shared" ref="C3:I3" si="1">SUM(D20:D26)</f>
        <v>8877.0999999999985</v>
      </c>
      <c r="D3" s="8">
        <f t="shared" si="1"/>
        <v>-98</v>
      </c>
      <c r="E3" s="8">
        <f t="shared" si="1"/>
        <v>-221</v>
      </c>
      <c r="F3" s="8">
        <f t="shared" si="1"/>
        <v>-6</v>
      </c>
      <c r="G3" s="8">
        <f t="shared" si="1"/>
        <v>59</v>
      </c>
      <c r="H3" s="9">
        <f t="shared" si="1"/>
        <v>24224.690399999999</v>
      </c>
      <c r="I3" s="8">
        <f>SUM(J20:J26)</f>
        <v>50</v>
      </c>
      <c r="J3" s="10">
        <f>I3/SUM(S20:S26)</f>
        <v>0.7142857142857143</v>
      </c>
      <c r="K3" s="11"/>
      <c r="L3" s="12">
        <f>SUM(L13:L13)</f>
        <v>5844.34</v>
      </c>
      <c r="M3" s="13">
        <f>((F3-G13)/L3)-100%</f>
        <v>-0.99914447140310114</v>
      </c>
      <c r="N3" s="13">
        <f>SUM(N13:N13)/C3</f>
        <v>0</v>
      </c>
      <c r="O3" s="14">
        <f>SUM(P13:P13)/C3</f>
        <v>9.0119521014745828E-5</v>
      </c>
    </row>
    <row r="4" spans="1:20" ht="18">
      <c r="A4" s="7" t="str">
        <f>A27</f>
        <v>Gulf Coast North</v>
      </c>
      <c r="B4" s="8">
        <f>SUM(C27:C35)</f>
        <v>2359</v>
      </c>
      <c r="C4" s="8">
        <f t="shared" ref="C4:I4" si="2">SUM(D27:D35)</f>
        <v>1764</v>
      </c>
      <c r="D4" s="8">
        <f t="shared" si="2"/>
        <v>251</v>
      </c>
      <c r="E4" s="8">
        <f t="shared" si="2"/>
        <v>27</v>
      </c>
      <c r="F4" s="8">
        <f t="shared" si="2"/>
        <v>35</v>
      </c>
      <c r="G4" s="8">
        <f t="shared" si="2"/>
        <v>1</v>
      </c>
      <c r="H4" s="9">
        <f t="shared" si="2"/>
        <v>7304.6200000000008</v>
      </c>
      <c r="I4" s="8">
        <f t="shared" si="2"/>
        <v>64</v>
      </c>
      <c r="J4" s="10">
        <f>I4/SUM(S27:S35)</f>
        <v>0.71111111111111114</v>
      </c>
      <c r="K4" s="11"/>
      <c r="L4" s="12">
        <f>SUM(L14:L23)</f>
        <v>52541.38</v>
      </c>
      <c r="M4" s="13">
        <f>(F4/L4)-100%</f>
        <v>-0.99933385837981414</v>
      </c>
      <c r="N4" s="13">
        <f>SUM(N14:N23)/C4</f>
        <v>0</v>
      </c>
      <c r="O4" s="14" t="e">
        <f>SUM(P14:P23)/C4</f>
        <v>#DIV/0!</v>
      </c>
    </row>
    <row r="5" spans="1:20" ht="18">
      <c r="A5" s="7" t="str">
        <f>A36</f>
        <v>Gulf Coast West</v>
      </c>
      <c r="B5" s="8">
        <f>SUM(C36:C42)</f>
        <v>250</v>
      </c>
      <c r="C5" s="8">
        <f t="shared" ref="C5:I5" si="3">SUM(D36:D42)</f>
        <v>335</v>
      </c>
      <c r="D5" s="8">
        <f t="shared" si="3"/>
        <v>-67</v>
      </c>
      <c r="E5" s="8">
        <f t="shared" si="3"/>
        <v>20</v>
      </c>
      <c r="F5" s="8">
        <f t="shared" si="3"/>
        <v>-27</v>
      </c>
      <c r="G5" s="8">
        <f t="shared" si="3"/>
        <v>9</v>
      </c>
      <c r="H5" s="9">
        <f t="shared" si="3"/>
        <v>2935.66</v>
      </c>
      <c r="I5" s="8">
        <f t="shared" si="3"/>
        <v>43</v>
      </c>
      <c r="J5" s="10">
        <f>I5/SUM(S36:S42)</f>
        <v>0.61428571428571432</v>
      </c>
      <c r="K5" s="11"/>
      <c r="L5" s="12">
        <f>SUM(L24:L36)</f>
        <v>80972.98000000001</v>
      </c>
      <c r="M5" s="13">
        <f>((F5-G34-G35-G36)/L5)-100%</f>
        <v>-1.0006792389263677</v>
      </c>
      <c r="N5" s="13">
        <f>SUM(N24:N36)/C5</f>
        <v>0</v>
      </c>
      <c r="O5" s="14">
        <f>SUM(P24:P36)/C5</f>
        <v>2.8358208955223882E-2</v>
      </c>
    </row>
    <row r="6" spans="1:20" ht="18">
      <c r="A6" s="7" t="str">
        <f>A43</f>
        <v>Lafayette</v>
      </c>
      <c r="B6" s="8">
        <f>SUM(C43:C50)</f>
        <v>360</v>
      </c>
      <c r="C6" s="8">
        <f t="shared" ref="C6:I6" si="4">SUM(D43:D50)</f>
        <v>222</v>
      </c>
      <c r="D6" s="8">
        <f t="shared" si="4"/>
        <v>-55</v>
      </c>
      <c r="E6" s="8">
        <f t="shared" si="4"/>
        <v>18</v>
      </c>
      <c r="F6" s="8">
        <f t="shared" si="4"/>
        <v>-20</v>
      </c>
      <c r="G6" s="8">
        <f t="shared" si="4"/>
        <v>15</v>
      </c>
      <c r="H6" s="9">
        <f t="shared" si="4"/>
        <v>1339.84</v>
      </c>
      <c r="I6" s="8">
        <f t="shared" si="4"/>
        <v>55</v>
      </c>
      <c r="J6" s="10">
        <f>I6/SUM(S43:S50)</f>
        <v>0.6875</v>
      </c>
      <c r="K6" s="11"/>
      <c r="L6" s="12"/>
      <c r="M6" s="13"/>
      <c r="N6" s="13"/>
      <c r="O6" s="14"/>
    </row>
    <row r="7" spans="1:20" ht="18">
      <c r="A7" s="7" t="str">
        <f>A51</f>
        <v>NOLA North</v>
      </c>
      <c r="B7" s="8">
        <f>SUM(C51:C59)</f>
        <v>10467</v>
      </c>
      <c r="C7" s="8">
        <f t="shared" ref="C7:I7" si="5">SUM(D51:D59)</f>
        <v>4176</v>
      </c>
      <c r="D7" s="8">
        <f t="shared" si="5"/>
        <v>19</v>
      </c>
      <c r="E7" s="8">
        <f t="shared" si="5"/>
        <v>-18</v>
      </c>
      <c r="F7" s="8">
        <f t="shared" si="5"/>
        <v>-17</v>
      </c>
      <c r="G7" s="8">
        <f t="shared" si="5"/>
        <v>-2</v>
      </c>
      <c r="H7" s="9">
        <f t="shared" si="5"/>
        <v>12242.56</v>
      </c>
      <c r="I7" s="8">
        <f t="shared" si="5"/>
        <v>71</v>
      </c>
      <c r="J7" s="10">
        <f>I7/SUM(S51:S59)</f>
        <v>0.88749999999999996</v>
      </c>
      <c r="K7" s="11"/>
      <c r="L7" s="12">
        <f>SUM(L37:L45)</f>
        <v>38554.76</v>
      </c>
      <c r="M7" s="13">
        <f>(F7/L7)-100%</f>
        <v>-1.0004409312883804</v>
      </c>
      <c r="N7" s="13">
        <f>SUM(N37:N45)/C7</f>
        <v>0</v>
      </c>
      <c r="O7" s="14">
        <f>SUM(P37:P45)/C7</f>
        <v>1.4128352490421457E-3</v>
      </c>
    </row>
    <row r="8" spans="1:20" ht="18.75" thickBot="1">
      <c r="A8" s="16" t="str">
        <f>A60</f>
        <v>NOLA South</v>
      </c>
      <c r="B8" s="17">
        <f>SUM(C60:C68)</f>
        <v>3069</v>
      </c>
      <c r="C8" s="17">
        <f t="shared" ref="C8:I8" si="6">SUM(D60:D68)</f>
        <v>2143</v>
      </c>
      <c r="D8" s="17">
        <f t="shared" si="6"/>
        <v>44</v>
      </c>
      <c r="E8" s="17">
        <f t="shared" si="6"/>
        <v>1</v>
      </c>
      <c r="F8" s="17">
        <f t="shared" si="6"/>
        <v>37</v>
      </c>
      <c r="G8" s="17">
        <f t="shared" si="6"/>
        <v>16</v>
      </c>
      <c r="H8" s="18">
        <f t="shared" si="6"/>
        <v>7552.5599999999995</v>
      </c>
      <c r="I8" s="17">
        <f t="shared" si="6"/>
        <v>67</v>
      </c>
      <c r="J8" s="10">
        <f>I8/SUM(S60:S68)</f>
        <v>0.74444444444444446</v>
      </c>
      <c r="K8" s="11"/>
      <c r="L8" s="12">
        <f>SUM(L46:L54)</f>
        <v>19465.43</v>
      </c>
      <c r="M8" s="13">
        <f>((F8-G54)/L8)-100%</f>
        <v>-0.99804782118864055</v>
      </c>
      <c r="N8" s="13">
        <f>SUM(N46:N54)/C8</f>
        <v>4.6663555762949138E-4</v>
      </c>
      <c r="O8" s="14">
        <f>SUM(P46:P54)/C8</f>
        <v>3.126458236117592E-3</v>
      </c>
    </row>
    <row r="9" spans="1:20" ht="18.75" thickBot="1">
      <c r="A9" s="20" t="s">
        <v>15</v>
      </c>
      <c r="B9" s="21">
        <f>SUM(B2:B8)</f>
        <v>27232.959999999999</v>
      </c>
      <c r="C9" s="21">
        <f t="shared" ref="C9:G9" si="7">SUM(C2:C8)</f>
        <v>18775.86</v>
      </c>
      <c r="D9" s="22">
        <f t="shared" si="7"/>
        <v>3214</v>
      </c>
      <c r="E9" s="22">
        <f t="shared" si="7"/>
        <v>1675</v>
      </c>
      <c r="F9" s="22">
        <f t="shared" si="7"/>
        <v>100</v>
      </c>
      <c r="G9" s="22">
        <f t="shared" si="7"/>
        <v>473</v>
      </c>
      <c r="H9" s="23">
        <f>SUM(H2:H8)</f>
        <v>66315.363199999993</v>
      </c>
      <c r="I9" s="21">
        <f>SUM(I2:I8)</f>
        <v>376</v>
      </c>
      <c r="J9" s="24">
        <f>I9/SUM(S12:S68)</f>
        <v>0.6962962962962963</v>
      </c>
      <c r="K9" s="25"/>
      <c r="L9" s="26">
        <f>SUM(L2:L8)</f>
        <v>201617.87</v>
      </c>
      <c r="M9" s="27">
        <f>((F9-G12-G13-G34-G35-G36-G54)/L9)-100%</f>
        <v>-1.0002529537684333</v>
      </c>
      <c r="N9" s="27" cm="1">
        <f t="array" ref="N9">SUM(Table17891011121323578[Big 4 Items]/C9)</f>
        <v>5.3259877310546624E-5</v>
      </c>
      <c r="O9" s="28" t="e">
        <f>SUM(Table17891011121323578[Count Compliance2])/C9</f>
        <v>#DIV/0!</v>
      </c>
    </row>
    <row r="11" spans="1:20">
      <c r="A11" s="6" t="s">
        <v>0</v>
      </c>
      <c r="B11" s="6" t="s">
        <v>16</v>
      </c>
      <c r="C11" s="6" t="s">
        <v>1</v>
      </c>
      <c r="D11" s="6" t="s">
        <v>17</v>
      </c>
      <c r="E11" s="6" t="s">
        <v>3</v>
      </c>
      <c r="F11" s="6" t="s">
        <v>4</v>
      </c>
      <c r="G11" s="6" t="s">
        <v>5</v>
      </c>
      <c r="H11" s="6" t="s">
        <v>6</v>
      </c>
      <c r="I11" s="6" t="s">
        <v>7</v>
      </c>
      <c r="J11" s="6" t="s">
        <v>8</v>
      </c>
      <c r="K11" s="6" t="s">
        <v>9</v>
      </c>
      <c r="L11" s="6" t="s">
        <v>10</v>
      </c>
      <c r="M11" s="6" t="s">
        <v>18</v>
      </c>
      <c r="N11" s="6" t="s">
        <v>19</v>
      </c>
      <c r="O11" s="6" t="s">
        <v>12</v>
      </c>
      <c r="P11" s="6" t="s">
        <v>20</v>
      </c>
    </row>
    <row r="12" spans="1:20" ht="15">
      <c r="A12" s="29" t="s">
        <v>21</v>
      </c>
      <c r="B12" s="30">
        <v>17</v>
      </c>
      <c r="C12" s="31">
        <v>48</v>
      </c>
      <c r="D12" s="32"/>
      <c r="E12" s="32">
        <v>3112</v>
      </c>
      <c r="F12" s="32">
        <v>1835</v>
      </c>
      <c r="G12" s="32">
        <v>135</v>
      </c>
      <c r="H12" s="32">
        <v>348</v>
      </c>
      <c r="I12" s="33">
        <v>8483.27</v>
      </c>
      <c r="J12" s="32">
        <v>2</v>
      </c>
      <c r="K12" s="34">
        <f>Table17891011121323578[[#This Row],[On Time Counts]]/45</f>
        <v>4.4444444444444446E-2</v>
      </c>
      <c r="L12" s="35">
        <v>4238.9799999999996</v>
      </c>
      <c r="M12" s="36">
        <f>Table17891011121323578[[#This Row],[Wipers +/-]]/Table17891011121323578[[#This Row],[Comp Sales]]</f>
        <v>3.1847284016437917E-2</v>
      </c>
      <c r="N12" s="37">
        <v>0</v>
      </c>
      <c r="O12" s="36" t="e">
        <f>Table17891011121323578[[#This Row],[Big 4 Items]]/Table17891011121323578[[#This Row],[Oil +/- ]]</f>
        <v>#DIV/0!</v>
      </c>
      <c r="P12" s="38">
        <f>J12/S12</f>
        <v>0.2</v>
      </c>
      <c r="S12" s="6">
        <f>$T$1</f>
        <v>10</v>
      </c>
    </row>
    <row r="13" spans="1:20" ht="15">
      <c r="A13" s="29" t="s">
        <v>21</v>
      </c>
      <c r="B13" s="30">
        <v>22</v>
      </c>
      <c r="C13" s="31">
        <v>256.77</v>
      </c>
      <c r="D13" s="32">
        <v>-182.33</v>
      </c>
      <c r="E13" s="32">
        <v>239</v>
      </c>
      <c r="F13" s="32">
        <v>8</v>
      </c>
      <c r="G13" s="32">
        <v>-11</v>
      </c>
      <c r="H13" s="32">
        <v>18</v>
      </c>
      <c r="I13" s="33">
        <v>283.36160000000001</v>
      </c>
      <c r="J13" s="32">
        <v>8</v>
      </c>
      <c r="K13" s="34">
        <f>Table17891011121323578[[#This Row],[On Time Counts]]/45</f>
        <v>0.17777777777777778</v>
      </c>
      <c r="L13" s="35">
        <v>5844.34</v>
      </c>
      <c r="M13" s="36">
        <f>Table17891011121323578[[#This Row],[Wipers +/-]]/Table17891011121323578[[#This Row],[Comp Sales]]</f>
        <v>-1.8821629131775359E-3</v>
      </c>
      <c r="N13" s="37">
        <v>0</v>
      </c>
      <c r="O13" s="36">
        <f>Table17891011121323578[[#This Row],[Big 4 Items]]/Table17891011121323578[[#This Row],[Oil +/- ]]</f>
        <v>0</v>
      </c>
      <c r="P13" s="38">
        <f t="shared" ref="P13:P68" si="8">J13/S13</f>
        <v>0.8</v>
      </c>
      <c r="S13" s="6">
        <f t="shared" ref="S13:S68" si="9">$T$1</f>
        <v>10</v>
      </c>
    </row>
    <row r="14" spans="1:20" ht="15">
      <c r="A14" s="29" t="s">
        <v>21</v>
      </c>
      <c r="B14" s="30">
        <v>641</v>
      </c>
      <c r="C14" s="31">
        <v>-137.53</v>
      </c>
      <c r="D14" s="32">
        <v>-153.22999999999999</v>
      </c>
      <c r="E14" s="32">
        <v>-87</v>
      </c>
      <c r="F14" s="32">
        <v>-2</v>
      </c>
      <c r="G14" s="32">
        <v>5</v>
      </c>
      <c r="H14" s="32">
        <v>21</v>
      </c>
      <c r="I14" s="33">
        <v>-628.63499999999999</v>
      </c>
      <c r="J14" s="32">
        <v>8</v>
      </c>
      <c r="K14" s="34">
        <f>Table17891011121323578[[#This Row],[On Time Counts]]/45</f>
        <v>0.17777777777777778</v>
      </c>
      <c r="L14" s="35">
        <v>3219.34</v>
      </c>
      <c r="M14" s="36">
        <f>Table17891011121323578[[#This Row],[Wipers +/-]]/Table17891011121323578[[#This Row],[Comp Sales]]</f>
        <v>1.5531133710636341E-3</v>
      </c>
      <c r="N14" s="37">
        <v>0</v>
      </c>
      <c r="O14" s="36">
        <f>Table17891011121323578[[#This Row],[Big 4 Items]]/Table17891011121323578[[#This Row],[Oil +/- ]]</f>
        <v>0</v>
      </c>
      <c r="P14" s="38">
        <f t="shared" si="8"/>
        <v>0.8</v>
      </c>
      <c r="S14" s="6">
        <f t="shared" si="9"/>
        <v>10</v>
      </c>
    </row>
    <row r="15" spans="1:20" ht="15">
      <c r="A15" s="29" t="s">
        <v>21</v>
      </c>
      <c r="B15" s="30">
        <v>717</v>
      </c>
      <c r="C15" s="31">
        <v>1012.4</v>
      </c>
      <c r="D15" s="32">
        <v>900.1</v>
      </c>
      <c r="E15" s="32">
        <v>-144</v>
      </c>
      <c r="F15" s="32">
        <v>14</v>
      </c>
      <c r="G15" s="32">
        <v>-29</v>
      </c>
      <c r="H15" s="32">
        <v>-12</v>
      </c>
      <c r="I15" s="33">
        <v>890.63900000000001</v>
      </c>
      <c r="J15" s="32">
        <v>0</v>
      </c>
      <c r="K15" s="34">
        <f>Table17891011121323578[[#This Row],[On Time Counts]]/45</f>
        <v>0</v>
      </c>
      <c r="L15" s="35">
        <v>8034.77</v>
      </c>
      <c r="M15" s="36">
        <f>Table17891011121323578[[#This Row],[Wipers +/-]]/Table17891011121323578[[#This Row],[Comp Sales]]</f>
        <v>-3.6093130232726011E-3</v>
      </c>
      <c r="N15" s="37">
        <v>0</v>
      </c>
      <c r="O15" s="36">
        <f>Table17891011121323578[[#This Row],[Big 4 Items]]/Table17891011121323578[[#This Row],[Oil +/- ]]</f>
        <v>0</v>
      </c>
      <c r="P15" s="38">
        <f t="shared" si="8"/>
        <v>0</v>
      </c>
      <c r="S15" s="6">
        <f t="shared" si="9"/>
        <v>10</v>
      </c>
    </row>
    <row r="16" spans="1:20" ht="15">
      <c r="A16" s="29" t="s">
        <v>21</v>
      </c>
      <c r="B16" s="30">
        <v>843</v>
      </c>
      <c r="C16" s="31">
        <v>465.22</v>
      </c>
      <c r="D16" s="32">
        <v>465.22</v>
      </c>
      <c r="E16" s="32"/>
      <c r="F16" s="32">
        <v>-7</v>
      </c>
      <c r="G16" s="32"/>
      <c r="H16" s="32">
        <v>-1</v>
      </c>
      <c r="I16" s="33">
        <v>1022.2972</v>
      </c>
      <c r="J16" s="32">
        <v>2</v>
      </c>
      <c r="K16" s="34">
        <f>Table17891011121323578[[#This Row],[On Time Counts]]/45</f>
        <v>4.4444444444444446E-2</v>
      </c>
      <c r="L16" s="35">
        <v>6497.34</v>
      </c>
      <c r="M16" s="36">
        <f>Table17891011121323578[[#This Row],[Wipers +/-]]/Table17891011121323578[[#This Row],[Comp Sales]]</f>
        <v>0</v>
      </c>
      <c r="N16" s="37">
        <v>0</v>
      </c>
      <c r="O16" s="36">
        <f>Table17891011121323578[[#This Row],[Big 4 Items]]/Table17891011121323578[[#This Row],[Oil +/- ]]</f>
        <v>0</v>
      </c>
      <c r="P16" s="38">
        <f t="shared" si="8"/>
        <v>0.2</v>
      </c>
      <c r="S16" s="6">
        <f t="shared" si="9"/>
        <v>10</v>
      </c>
    </row>
    <row r="17" spans="1:19" ht="15">
      <c r="A17" s="29" t="s">
        <v>21</v>
      </c>
      <c r="B17" s="40">
        <v>881</v>
      </c>
      <c r="C17" s="31">
        <v>229</v>
      </c>
      <c r="D17" s="32">
        <v>229</v>
      </c>
      <c r="E17" s="32">
        <v>0</v>
      </c>
      <c r="F17" s="32"/>
      <c r="G17" s="32">
        <v>-2</v>
      </c>
      <c r="H17" s="32">
        <v>1</v>
      </c>
      <c r="I17" s="33">
        <v>664.5</v>
      </c>
      <c r="J17" s="32">
        <v>6</v>
      </c>
      <c r="K17" s="34">
        <f>Table17891011121323578[[#This Row],[On Time Counts]]/45</f>
        <v>0.13333333333333333</v>
      </c>
      <c r="L17" s="35"/>
      <c r="M17" s="36" t="e">
        <f>Table17891011121323578[[#This Row],[Wipers +/-]]/Table17891011121323578[[#This Row],[Comp Sales]]</f>
        <v>#DIV/0!</v>
      </c>
      <c r="N17" s="39"/>
      <c r="O17" s="36">
        <f>Table17891011121323578[[#This Row],[Big 4 Items]]/Table17891011121323578[[#This Row],[Oil +/- ]]</f>
        <v>0</v>
      </c>
      <c r="P17" s="38">
        <f t="shared" si="8"/>
        <v>0.6</v>
      </c>
      <c r="S17" s="6">
        <f t="shared" si="9"/>
        <v>10</v>
      </c>
    </row>
    <row r="18" spans="1:19" ht="15">
      <c r="A18" s="29" t="s">
        <v>21</v>
      </c>
      <c r="B18" s="30">
        <v>953</v>
      </c>
      <c r="C18" s="31">
        <v>0</v>
      </c>
      <c r="D18" s="32">
        <v>0</v>
      </c>
      <c r="E18" s="32">
        <v>0</v>
      </c>
      <c r="F18" s="32">
        <v>0</v>
      </c>
      <c r="G18" s="32">
        <v>0</v>
      </c>
      <c r="H18" s="32">
        <v>0</v>
      </c>
      <c r="I18" s="33">
        <v>0</v>
      </c>
      <c r="J18" s="32">
        <v>0</v>
      </c>
      <c r="K18" s="34">
        <f>Table17891011121323578[[#This Row],[On Time Counts]]/45</f>
        <v>0</v>
      </c>
      <c r="L18" s="35">
        <v>7185.39</v>
      </c>
      <c r="M18" s="36">
        <f>Table17891011121323578[[#This Row],[Wipers +/-]]/Table17891011121323578[[#This Row],[Comp Sales]]</f>
        <v>0</v>
      </c>
      <c r="N18" s="37">
        <v>0</v>
      </c>
      <c r="O18" s="36" t="e">
        <f>Table17891011121323578[[#This Row],[Big 4 Items]]/Table17891011121323578[[#This Row],[Oil +/- ]]</f>
        <v>#DIV/0!</v>
      </c>
      <c r="P18" s="38" t="e">
        <f t="shared" si="8"/>
        <v>#DIV/0!</v>
      </c>
      <c r="S18" s="6">
        <v>0</v>
      </c>
    </row>
    <row r="19" spans="1:19" ht="15">
      <c r="A19" s="29" t="s">
        <v>21</v>
      </c>
      <c r="B19" s="30">
        <v>3040</v>
      </c>
      <c r="C19" s="31">
        <v>0</v>
      </c>
      <c r="D19" s="32">
        <v>0</v>
      </c>
      <c r="E19" s="32">
        <v>0</v>
      </c>
      <c r="F19" s="32">
        <v>0</v>
      </c>
      <c r="G19" s="32">
        <v>0</v>
      </c>
      <c r="H19" s="32">
        <v>0</v>
      </c>
      <c r="I19" s="33">
        <v>0</v>
      </c>
      <c r="J19" s="32">
        <v>0</v>
      </c>
      <c r="K19" s="34">
        <f>Table17891011121323578[[#This Row],[On Time Counts]]/45</f>
        <v>0</v>
      </c>
      <c r="L19" s="35">
        <v>6083.18</v>
      </c>
      <c r="M19" s="36">
        <f>Table17891011121323578[[#This Row],[Wipers +/-]]/Table17891011121323578[[#This Row],[Comp Sales]]</f>
        <v>0</v>
      </c>
      <c r="N19" s="37">
        <v>0</v>
      </c>
      <c r="O19" s="36" t="e">
        <f>Table17891011121323578[[#This Row],[Big 4 Items]]/Table17891011121323578[[#This Row],[Oil +/- ]]</f>
        <v>#DIV/0!</v>
      </c>
      <c r="P19" s="38" t="e">
        <f t="shared" si="8"/>
        <v>#DIV/0!</v>
      </c>
      <c r="S19" s="6">
        <v>0</v>
      </c>
    </row>
    <row r="20" spans="1:19" ht="15">
      <c r="A20" s="29" t="s">
        <v>22</v>
      </c>
      <c r="B20" s="30">
        <v>18</v>
      </c>
      <c r="C20" s="31">
        <v>2786.62</v>
      </c>
      <c r="D20" s="32">
        <v>2786.62</v>
      </c>
      <c r="E20" s="32">
        <v>-366</v>
      </c>
      <c r="F20" s="32">
        <v>-39</v>
      </c>
      <c r="G20" s="32">
        <v>-8</v>
      </c>
      <c r="H20" s="32">
        <v>90</v>
      </c>
      <c r="I20" s="33">
        <v>6361.9175999999998</v>
      </c>
      <c r="J20" s="32">
        <v>6</v>
      </c>
      <c r="K20" s="34">
        <f>Table17891011121323578[[#This Row],[On Time Counts]]/45</f>
        <v>0.13333333333333333</v>
      </c>
      <c r="L20" s="35">
        <v>4849.0200000000004</v>
      </c>
      <c r="M20" s="36">
        <f>Table17891011121323578[[#This Row],[Wipers +/-]]/Table17891011121323578[[#This Row],[Comp Sales]]</f>
        <v>-1.6498179013491384E-3</v>
      </c>
      <c r="N20" s="37">
        <v>0</v>
      </c>
      <c r="O20" s="36">
        <f>Table17891011121323578[[#This Row],[Big 4 Items]]/Table17891011121323578[[#This Row],[Oil +/- ]]</f>
        <v>0</v>
      </c>
      <c r="P20" s="38">
        <f t="shared" si="8"/>
        <v>0.6</v>
      </c>
      <c r="S20" s="6">
        <f t="shared" si="9"/>
        <v>10</v>
      </c>
    </row>
    <row r="21" spans="1:19" ht="15">
      <c r="A21" s="29" t="s">
        <v>22</v>
      </c>
      <c r="B21" s="30">
        <v>19</v>
      </c>
      <c r="C21" s="31">
        <v>-442.92</v>
      </c>
      <c r="D21" s="32">
        <v>-442.92</v>
      </c>
      <c r="E21" s="32">
        <v>-34</v>
      </c>
      <c r="F21" s="32">
        <v>-1</v>
      </c>
      <c r="G21" s="32">
        <v>5</v>
      </c>
      <c r="H21" s="32">
        <v>-4</v>
      </c>
      <c r="I21" s="33">
        <v>-2209.3892000000001</v>
      </c>
      <c r="J21" s="32">
        <v>7</v>
      </c>
      <c r="K21" s="34">
        <f>Table17891011121323578[[#This Row],[On Time Counts]]/45</f>
        <v>0.15555555555555556</v>
      </c>
      <c r="L21" s="35">
        <v>2994.56</v>
      </c>
      <c r="M21" s="36">
        <f>Table17891011121323578[[#This Row],[Wipers +/-]]/Table17891011121323578[[#This Row],[Comp Sales]]</f>
        <v>1.6696943791408422E-3</v>
      </c>
      <c r="N21" s="37">
        <v>0</v>
      </c>
      <c r="O21" s="36">
        <f>Table17891011121323578[[#This Row],[Big 4 Items]]/Table17891011121323578[[#This Row],[Oil +/- ]]</f>
        <v>0</v>
      </c>
      <c r="P21" s="38">
        <f t="shared" si="8"/>
        <v>0.7</v>
      </c>
      <c r="S21" s="6">
        <f t="shared" si="9"/>
        <v>10</v>
      </c>
    </row>
    <row r="22" spans="1:19" ht="15">
      <c r="A22" s="29" t="s">
        <v>22</v>
      </c>
      <c r="B22" s="30">
        <v>282</v>
      </c>
      <c r="C22" s="31">
        <v>66.72</v>
      </c>
      <c r="D22" s="32">
        <v>89.72</v>
      </c>
      <c r="E22" s="32">
        <v>189</v>
      </c>
      <c r="F22" s="32">
        <v>-17</v>
      </c>
      <c r="G22" s="32">
        <v>28</v>
      </c>
      <c r="H22" s="32">
        <v>-32</v>
      </c>
      <c r="I22" s="33">
        <v>566.553</v>
      </c>
      <c r="J22" s="32">
        <v>7</v>
      </c>
      <c r="K22" s="34">
        <f>Table17891011121323578[[#This Row],[On Time Counts]]/45</f>
        <v>0.15555555555555556</v>
      </c>
      <c r="L22" s="35">
        <v>6870.99</v>
      </c>
      <c r="M22" s="36">
        <f>Table17891011121323578[[#This Row],[Wipers +/-]]/Table17891011121323578[[#This Row],[Comp Sales]]</f>
        <v>4.0751041698503417E-3</v>
      </c>
      <c r="N22" s="37">
        <v>0</v>
      </c>
      <c r="O22" s="36">
        <f>Table17891011121323578[[#This Row],[Big 4 Items]]/Table17891011121323578[[#This Row],[Oil +/- ]]</f>
        <v>0</v>
      </c>
      <c r="P22" s="38">
        <f t="shared" si="8"/>
        <v>0.7</v>
      </c>
      <c r="S22" s="6">
        <f t="shared" si="9"/>
        <v>10</v>
      </c>
    </row>
    <row r="23" spans="1:19" ht="15">
      <c r="A23" s="29" t="s">
        <v>22</v>
      </c>
      <c r="B23" s="30">
        <v>447</v>
      </c>
      <c r="C23" s="31">
        <v>-65.7</v>
      </c>
      <c r="D23" s="32">
        <v>-65.7</v>
      </c>
      <c r="E23" s="32">
        <v>91</v>
      </c>
      <c r="F23" s="32">
        <v>-164</v>
      </c>
      <c r="G23" s="32"/>
      <c r="H23" s="32"/>
      <c r="I23" s="33">
        <v>-828.548</v>
      </c>
      <c r="J23" s="32">
        <v>6</v>
      </c>
      <c r="K23" s="34">
        <f>Table17891011121323578[[#This Row],[On Time Counts]]/45</f>
        <v>0.13333333333333333</v>
      </c>
      <c r="L23" s="35">
        <v>6806.79</v>
      </c>
      <c r="M23" s="36">
        <f>Table17891011121323578[[#This Row],[Wipers +/-]]/Table17891011121323578[[#This Row],[Comp Sales]]</f>
        <v>0</v>
      </c>
      <c r="N23" s="37">
        <v>0</v>
      </c>
      <c r="O23" s="36">
        <f>Table17891011121323578[[#This Row],[Big 4 Items]]/Table17891011121323578[[#This Row],[Oil +/- ]]</f>
        <v>0</v>
      </c>
      <c r="P23" s="38">
        <f t="shared" si="8"/>
        <v>0.6</v>
      </c>
      <c r="S23" s="6">
        <f t="shared" si="9"/>
        <v>10</v>
      </c>
    </row>
    <row r="24" spans="1:19" ht="15">
      <c r="A24" s="29" t="s">
        <v>22</v>
      </c>
      <c r="B24" s="30">
        <v>448</v>
      </c>
      <c r="C24" s="31">
        <v>5943.08</v>
      </c>
      <c r="D24" s="32">
        <v>5943.08</v>
      </c>
      <c r="E24" s="32">
        <v>15</v>
      </c>
      <c r="F24" s="32">
        <v>1</v>
      </c>
      <c r="G24" s="32">
        <v>-7</v>
      </c>
      <c r="H24" s="32">
        <v>6</v>
      </c>
      <c r="I24" s="33">
        <v>18487.379000000001</v>
      </c>
      <c r="J24" s="32">
        <v>8</v>
      </c>
      <c r="K24" s="34">
        <f>Table17891011121323578[[#This Row],[On Time Counts]]/45</f>
        <v>0.17777777777777778</v>
      </c>
      <c r="L24" s="35">
        <v>3933.29</v>
      </c>
      <c r="M24" s="36">
        <f>Table17891011121323578[[#This Row],[Wipers +/-]]/Table17891011121323578[[#This Row],[Comp Sales]]</f>
        <v>-1.7796806236000905E-3</v>
      </c>
      <c r="N24" s="37">
        <v>0</v>
      </c>
      <c r="O24" s="36">
        <f>Table17891011121323578[[#This Row],[Big 4 Items]]/Table17891011121323578[[#This Row],[Oil +/- ]]</f>
        <v>0</v>
      </c>
      <c r="P24" s="38">
        <f t="shared" si="8"/>
        <v>0.8</v>
      </c>
      <c r="S24" s="6">
        <f t="shared" si="9"/>
        <v>10</v>
      </c>
    </row>
    <row r="25" spans="1:19" ht="15">
      <c r="A25" s="29" t="s">
        <v>22</v>
      </c>
      <c r="B25" s="30">
        <v>531</v>
      </c>
      <c r="C25" s="31">
        <v>275.3</v>
      </c>
      <c r="D25" s="32">
        <v>275.3</v>
      </c>
      <c r="E25" s="32">
        <v>-11</v>
      </c>
      <c r="F25" s="32"/>
      <c r="G25" s="32">
        <v>-25</v>
      </c>
      <c r="H25" s="32">
        <v>-5</v>
      </c>
      <c r="I25" s="33">
        <v>741.44799999999998</v>
      </c>
      <c r="J25" s="32">
        <v>8</v>
      </c>
      <c r="K25" s="34">
        <f>Table17891011121323578[[#This Row],[On Time Counts]]/45</f>
        <v>0.17777777777777778</v>
      </c>
      <c r="L25" s="35">
        <v>6987.69</v>
      </c>
      <c r="M25" s="36">
        <f>Table17891011121323578[[#This Row],[Wipers +/-]]/Table17891011121323578[[#This Row],[Comp Sales]]</f>
        <v>-3.5777202480361896E-3</v>
      </c>
      <c r="N25" s="37">
        <v>0</v>
      </c>
      <c r="O25" s="36">
        <f>Table17891011121323578[[#This Row],[Big 4 Items]]/Table17891011121323578[[#This Row],[Oil +/- ]]</f>
        <v>0</v>
      </c>
      <c r="P25" s="38">
        <f t="shared" si="8"/>
        <v>0.8</v>
      </c>
      <c r="S25" s="6">
        <f t="shared" si="9"/>
        <v>10</v>
      </c>
    </row>
    <row r="26" spans="1:19" ht="15">
      <c r="A26" s="29" t="s">
        <v>22</v>
      </c>
      <c r="B26" s="30">
        <v>832</v>
      </c>
      <c r="C26" s="31">
        <v>291</v>
      </c>
      <c r="D26" s="32">
        <v>291</v>
      </c>
      <c r="E26" s="32">
        <v>18</v>
      </c>
      <c r="F26" s="32">
        <v>-1</v>
      </c>
      <c r="G26" s="32">
        <v>1</v>
      </c>
      <c r="H26" s="32">
        <v>4</v>
      </c>
      <c r="I26" s="33">
        <v>1105.33</v>
      </c>
      <c r="J26" s="32">
        <v>8</v>
      </c>
      <c r="K26" s="34">
        <f>Table17891011121323578[[#This Row],[On Time Counts]]/45</f>
        <v>0.17777777777777778</v>
      </c>
      <c r="L26" s="35">
        <v>5562.48</v>
      </c>
      <c r="M26" s="36">
        <f>Table17891011121323578[[#This Row],[Wipers +/-]]/Table17891011121323578[[#This Row],[Comp Sales]]</f>
        <v>1.7977592728423295E-4</v>
      </c>
      <c r="N26" s="37">
        <v>0</v>
      </c>
      <c r="O26" s="36">
        <f>Table17891011121323578[[#This Row],[Big 4 Items]]/Table17891011121323578[[#This Row],[Oil +/- ]]</f>
        <v>0</v>
      </c>
      <c r="P26" s="38">
        <f t="shared" si="8"/>
        <v>0.8</v>
      </c>
      <c r="S26" s="6">
        <f t="shared" si="9"/>
        <v>10</v>
      </c>
    </row>
    <row r="27" spans="1:19" ht="15">
      <c r="A27" s="29" t="s">
        <v>23</v>
      </c>
      <c r="B27" s="30">
        <v>3</v>
      </c>
      <c r="C27" s="31"/>
      <c r="D27" s="32"/>
      <c r="E27" s="32"/>
      <c r="F27" s="32"/>
      <c r="G27" s="32"/>
      <c r="H27" s="32"/>
      <c r="I27" s="33"/>
      <c r="J27" s="32"/>
      <c r="K27" s="34">
        <f>Table17891011121323578[[#This Row],[On Time Counts]]/45</f>
        <v>0</v>
      </c>
      <c r="L27" s="35">
        <v>10385.27</v>
      </c>
      <c r="M27" s="36">
        <f>Table17891011121323578[[#This Row],[Wipers +/-]]/Table17891011121323578[[#This Row],[Comp Sales]]</f>
        <v>0</v>
      </c>
      <c r="N27" s="37">
        <v>0</v>
      </c>
      <c r="O27" s="36" t="e">
        <f>Table17891011121323578[[#This Row],[Big 4 Items]]/Table17891011121323578[[#This Row],[Oil +/- ]]</f>
        <v>#DIV/0!</v>
      </c>
      <c r="P27" s="38">
        <f t="shared" si="8"/>
        <v>0</v>
      </c>
      <c r="S27" s="6">
        <f t="shared" si="9"/>
        <v>10</v>
      </c>
    </row>
    <row r="28" spans="1:19" ht="15">
      <c r="A28" s="29" t="s">
        <v>23</v>
      </c>
      <c r="B28" s="30">
        <v>5</v>
      </c>
      <c r="C28" s="31">
        <v>-132</v>
      </c>
      <c r="D28" s="32">
        <v>-132</v>
      </c>
      <c r="E28" s="32">
        <v>20</v>
      </c>
      <c r="F28" s="32">
        <v>0</v>
      </c>
      <c r="G28" s="32">
        <v>4</v>
      </c>
      <c r="H28" s="32">
        <v>8</v>
      </c>
      <c r="I28" s="33">
        <v>-347.87</v>
      </c>
      <c r="J28" s="32">
        <v>9</v>
      </c>
      <c r="K28" s="34">
        <f>Table17891011121323578[[#This Row],[On Time Counts]]/45</f>
        <v>0.2</v>
      </c>
      <c r="L28" s="35">
        <v>5512.41</v>
      </c>
      <c r="M28" s="36">
        <f>Table17891011121323578[[#This Row],[Wipers +/-]]/Table17891011121323578[[#This Row],[Comp Sales]]</f>
        <v>7.256354298754991E-4</v>
      </c>
      <c r="N28" s="37">
        <v>0</v>
      </c>
      <c r="O28" s="36">
        <f>Table17891011121323578[[#This Row],[Big 4 Items]]/Table17891011121323578[[#This Row],[Oil +/- ]]</f>
        <v>0</v>
      </c>
      <c r="P28" s="38">
        <f t="shared" si="8"/>
        <v>0.9</v>
      </c>
      <c r="S28" s="6">
        <f t="shared" si="9"/>
        <v>10</v>
      </c>
    </row>
    <row r="29" spans="1:19" ht="15">
      <c r="A29" s="29" t="s">
        <v>23</v>
      </c>
      <c r="B29" s="30">
        <v>11</v>
      </c>
      <c r="C29" s="31">
        <v>-114</v>
      </c>
      <c r="D29" s="32">
        <v>-51</v>
      </c>
      <c r="E29" s="32">
        <v>-6</v>
      </c>
      <c r="F29" s="32">
        <v>0</v>
      </c>
      <c r="G29" s="32">
        <v>2</v>
      </c>
      <c r="H29" s="32">
        <v>0</v>
      </c>
      <c r="I29" s="33">
        <v>-1307.92</v>
      </c>
      <c r="J29" s="32">
        <v>10</v>
      </c>
      <c r="K29" s="34">
        <f>Table17891011121323578[[#This Row],[On Time Counts]]/45</f>
        <v>0.22222222222222221</v>
      </c>
      <c r="L29" s="35">
        <v>7892.5</v>
      </c>
      <c r="M29" s="36">
        <f>Table17891011121323578[[#This Row],[Wipers +/-]]/Table17891011121323578[[#This Row],[Comp Sales]]</f>
        <v>2.5340513145391194E-4</v>
      </c>
      <c r="N29" s="37">
        <v>0</v>
      </c>
      <c r="O29" s="36">
        <f>Table17891011121323578[[#This Row],[Big 4 Items]]/Table17891011121323578[[#This Row],[Oil +/- ]]</f>
        <v>0</v>
      </c>
      <c r="P29" s="38">
        <f t="shared" si="8"/>
        <v>1</v>
      </c>
      <c r="S29" s="6">
        <f t="shared" si="9"/>
        <v>10</v>
      </c>
    </row>
    <row r="30" spans="1:19" ht="15">
      <c r="A30" s="29" t="s">
        <v>23</v>
      </c>
      <c r="B30" s="30">
        <v>14</v>
      </c>
      <c r="C30" s="31">
        <v>1132</v>
      </c>
      <c r="D30" s="32">
        <v>893</v>
      </c>
      <c r="E30" s="32">
        <v>8</v>
      </c>
      <c r="F30" s="32">
        <v>-3</v>
      </c>
      <c r="G30" s="32">
        <v>2</v>
      </c>
      <c r="H30" s="32">
        <v>1</v>
      </c>
      <c r="I30" s="33">
        <v>4441.76</v>
      </c>
      <c r="J30" s="32">
        <v>9</v>
      </c>
      <c r="K30" s="34">
        <f>Table17891011121323578[[#This Row],[On Time Counts]]/45</f>
        <v>0.2</v>
      </c>
      <c r="L30" s="35">
        <v>3854.43</v>
      </c>
      <c r="M30" s="36">
        <f>Table17891011121323578[[#This Row],[Wipers +/-]]/Table17891011121323578[[#This Row],[Comp Sales]]</f>
        <v>5.1888346655666335E-4</v>
      </c>
      <c r="N30" s="37">
        <v>0</v>
      </c>
      <c r="O30" s="36">
        <f>Table17891011121323578[[#This Row],[Big 4 Items]]/Table17891011121323578[[#This Row],[Oil +/- ]]</f>
        <v>0</v>
      </c>
      <c r="P30" s="38">
        <f t="shared" si="8"/>
        <v>0.9</v>
      </c>
      <c r="S30" s="6">
        <f t="shared" si="9"/>
        <v>10</v>
      </c>
    </row>
    <row r="31" spans="1:19" ht="15">
      <c r="A31" s="29" t="s">
        <v>23</v>
      </c>
      <c r="B31" s="30">
        <v>20</v>
      </c>
      <c r="C31" s="31">
        <v>20</v>
      </c>
      <c r="D31" s="32">
        <v>20</v>
      </c>
      <c r="E31" s="32">
        <v>9</v>
      </c>
      <c r="F31" s="32">
        <v>-2</v>
      </c>
      <c r="G31" s="32">
        <v>0</v>
      </c>
      <c r="H31" s="32">
        <v>1</v>
      </c>
      <c r="I31" s="33">
        <v>54.75</v>
      </c>
      <c r="J31" s="32">
        <v>5</v>
      </c>
      <c r="K31" s="34">
        <f>Table17891011121323578[[#This Row],[On Time Counts]]/45</f>
        <v>0.1111111111111111</v>
      </c>
      <c r="L31" s="35">
        <v>6979.44</v>
      </c>
      <c r="M31" s="36">
        <f>Table17891011121323578[[#This Row],[Wipers +/-]]/Table17891011121323578[[#This Row],[Comp Sales]]</f>
        <v>0</v>
      </c>
      <c r="N31" s="37">
        <v>0</v>
      </c>
      <c r="O31" s="36">
        <f>Table17891011121323578[[#This Row],[Big 4 Items]]/Table17891011121323578[[#This Row],[Oil +/- ]]</f>
        <v>0</v>
      </c>
      <c r="P31" s="38">
        <f t="shared" si="8"/>
        <v>0.5</v>
      </c>
      <c r="S31" s="6">
        <f t="shared" si="9"/>
        <v>10</v>
      </c>
    </row>
    <row r="32" spans="1:19" ht="15">
      <c r="A32" s="29" t="s">
        <v>23</v>
      </c>
      <c r="B32" s="30">
        <v>21</v>
      </c>
      <c r="C32" s="31">
        <v>-251</v>
      </c>
      <c r="D32" s="32">
        <v>-261</v>
      </c>
      <c r="E32" s="32">
        <v>-1</v>
      </c>
      <c r="F32" s="32">
        <v>0</v>
      </c>
      <c r="G32" s="32">
        <v>0</v>
      </c>
      <c r="H32" s="32">
        <v>0</v>
      </c>
      <c r="I32" s="33">
        <v>-595.38</v>
      </c>
      <c r="J32" s="32">
        <v>10</v>
      </c>
      <c r="K32" s="34">
        <f>Table17891011121323578[[#This Row],[On Time Counts]]/45</f>
        <v>0.22222222222222221</v>
      </c>
      <c r="L32" s="35">
        <v>7573.54</v>
      </c>
      <c r="M32" s="36">
        <f>Table17891011121323578[[#This Row],[Wipers +/-]]/Table17891011121323578[[#This Row],[Comp Sales]]</f>
        <v>0</v>
      </c>
      <c r="N32" s="37">
        <v>0</v>
      </c>
      <c r="O32" s="36">
        <f>Table17891011121323578[[#This Row],[Big 4 Items]]/Table17891011121323578[[#This Row],[Oil +/- ]]</f>
        <v>0</v>
      </c>
      <c r="P32" s="38">
        <f t="shared" si="8"/>
        <v>1</v>
      </c>
      <c r="S32" s="6">
        <f t="shared" si="9"/>
        <v>10</v>
      </c>
    </row>
    <row r="33" spans="1:19" ht="15">
      <c r="A33" s="29" t="s">
        <v>23</v>
      </c>
      <c r="B33" s="30">
        <v>23</v>
      </c>
      <c r="C33" s="31">
        <v>907</v>
      </c>
      <c r="D33" s="32">
        <v>500</v>
      </c>
      <c r="E33" s="32">
        <v>221</v>
      </c>
      <c r="F33" s="32">
        <v>10</v>
      </c>
      <c r="G33" s="32"/>
      <c r="H33" s="32">
        <v>0</v>
      </c>
      <c r="I33" s="33">
        <v>2238.84</v>
      </c>
      <c r="J33" s="32">
        <v>4</v>
      </c>
      <c r="K33" s="34">
        <f>Table17891011121323578[[#This Row],[On Time Counts]]/45</f>
        <v>8.8888888888888892E-2</v>
      </c>
      <c r="L33" s="35">
        <v>5842.02</v>
      </c>
      <c r="M33" s="36">
        <f>Table17891011121323578[[#This Row],[Wipers +/-]]/Table17891011121323578[[#This Row],[Comp Sales]]</f>
        <v>0</v>
      </c>
      <c r="N33" s="37">
        <v>0</v>
      </c>
      <c r="O33" s="36">
        <f>Table17891011121323578[[#This Row],[Big 4 Items]]/Table17891011121323578[[#This Row],[Oil +/- ]]</f>
        <v>0</v>
      </c>
      <c r="P33" s="38">
        <f t="shared" si="8"/>
        <v>0.4</v>
      </c>
      <c r="S33" s="6">
        <f t="shared" si="9"/>
        <v>10</v>
      </c>
    </row>
    <row r="34" spans="1:19" ht="15">
      <c r="A34" s="29" t="s">
        <v>23</v>
      </c>
      <c r="B34" s="30">
        <v>24</v>
      </c>
      <c r="C34" s="31">
        <v>775</v>
      </c>
      <c r="D34" s="32">
        <v>775</v>
      </c>
      <c r="E34" s="32">
        <v>0</v>
      </c>
      <c r="F34" s="32">
        <v>-4</v>
      </c>
      <c r="G34" s="32">
        <v>-4</v>
      </c>
      <c r="H34" s="32">
        <v>-10</v>
      </c>
      <c r="I34" s="33">
        <v>3040.69</v>
      </c>
      <c r="J34" s="32">
        <v>8</v>
      </c>
      <c r="K34" s="34">
        <f>Table17891011121323578[[#This Row],[On Time Counts]]/45</f>
        <v>0.17777777777777778</v>
      </c>
      <c r="L34" s="35">
        <v>6567.35</v>
      </c>
      <c r="M34" s="36">
        <f>Table17891011121323578[[#This Row],[Wipers +/-]]/Table17891011121323578[[#This Row],[Comp Sales]]</f>
        <v>-6.0907367507442118E-4</v>
      </c>
      <c r="N34" s="37">
        <v>0</v>
      </c>
      <c r="O34" s="36">
        <f>Table17891011121323578[[#This Row],[Big 4 Items]]/Table17891011121323578[[#This Row],[Oil +/- ]]</f>
        <v>0</v>
      </c>
      <c r="P34" s="38">
        <f t="shared" si="8"/>
        <v>0.8</v>
      </c>
      <c r="S34" s="6">
        <f t="shared" si="9"/>
        <v>10</v>
      </c>
    </row>
    <row r="35" spans="1:19" ht="15">
      <c r="A35" s="29" t="s">
        <v>23</v>
      </c>
      <c r="B35" s="30">
        <v>26</v>
      </c>
      <c r="C35" s="31">
        <v>22</v>
      </c>
      <c r="D35" s="32">
        <v>20</v>
      </c>
      <c r="E35" s="32"/>
      <c r="F35" s="32">
        <v>26</v>
      </c>
      <c r="G35" s="32">
        <v>31</v>
      </c>
      <c r="H35" s="32">
        <v>1</v>
      </c>
      <c r="I35" s="33">
        <v>-220.25</v>
      </c>
      <c r="J35" s="32">
        <v>9</v>
      </c>
      <c r="K35" s="34">
        <f>Table17891011121323578[[#This Row],[On Time Counts]]/45</f>
        <v>0.2</v>
      </c>
      <c r="L35" s="35">
        <v>5286.48</v>
      </c>
      <c r="M35" s="36">
        <f>Table17891011121323578[[#This Row],[Wipers +/-]]/Table17891011121323578[[#This Row],[Comp Sales]]</f>
        <v>5.86401537506999E-3</v>
      </c>
      <c r="N35" s="37">
        <v>0</v>
      </c>
      <c r="O35" s="36">
        <f>Table17891011121323578[[#This Row],[Big 4 Items]]/Table17891011121323578[[#This Row],[Oil +/- ]]</f>
        <v>0</v>
      </c>
      <c r="P35" s="38">
        <f t="shared" si="8"/>
        <v>0.9</v>
      </c>
      <c r="S35" s="6">
        <f t="shared" si="9"/>
        <v>10</v>
      </c>
    </row>
    <row r="36" spans="1:19" ht="15">
      <c r="A36" s="29" t="s">
        <v>24</v>
      </c>
      <c r="B36" s="30">
        <v>46</v>
      </c>
      <c r="C36" s="31">
        <v>-142</v>
      </c>
      <c r="D36" s="32">
        <v>-142</v>
      </c>
      <c r="E36" s="32">
        <v>-7</v>
      </c>
      <c r="F36" s="32">
        <v>2</v>
      </c>
      <c r="G36" s="32">
        <v>1</v>
      </c>
      <c r="H36" s="32">
        <v>1</v>
      </c>
      <c r="I36" s="33">
        <v>-332.42</v>
      </c>
      <c r="J36" s="32">
        <v>7</v>
      </c>
      <c r="K36" s="34">
        <f>Table17891011121323578[[#This Row],[On Time Counts]]/45</f>
        <v>0.15555555555555556</v>
      </c>
      <c r="L36" s="35">
        <v>4596.08</v>
      </c>
      <c r="M36" s="36">
        <f>Table17891011121323578[[#This Row],[Wipers +/-]]/Table17891011121323578[[#This Row],[Comp Sales]]</f>
        <v>2.1757671755060835E-4</v>
      </c>
      <c r="N36" s="39">
        <v>0</v>
      </c>
      <c r="O36" s="36">
        <f>Table17891011121323578[[#This Row],[Big 4 Items]]/Table17891011121323578[[#This Row],[Oil +/- ]]</f>
        <v>0</v>
      </c>
      <c r="P36" s="38">
        <f t="shared" si="8"/>
        <v>0.7</v>
      </c>
      <c r="S36" s="6">
        <f t="shared" si="9"/>
        <v>10</v>
      </c>
    </row>
    <row r="37" spans="1:19" ht="15">
      <c r="A37" s="29" t="s">
        <v>24</v>
      </c>
      <c r="B37" s="30">
        <v>283</v>
      </c>
      <c r="C37" s="31">
        <v>37</v>
      </c>
      <c r="D37" s="32">
        <v>33</v>
      </c>
      <c r="E37" s="32">
        <v>-122</v>
      </c>
      <c r="F37" s="32"/>
      <c r="G37" s="32"/>
      <c r="H37" s="32"/>
      <c r="I37" s="33">
        <v>54.5</v>
      </c>
      <c r="J37" s="32">
        <v>4</v>
      </c>
      <c r="K37" s="34">
        <f>Table17891011121323578[[#This Row],[On Time Counts]]/45</f>
        <v>8.8888888888888892E-2</v>
      </c>
      <c r="L37" s="35">
        <v>7096.63</v>
      </c>
      <c r="M37" s="36">
        <f>Table17891011121323578[[#This Row],[Wipers +/-]]/Table17891011121323578[[#This Row],[Comp Sales]]</f>
        <v>0</v>
      </c>
      <c r="N37" s="37">
        <v>0</v>
      </c>
      <c r="O37" s="36">
        <f>Table17891011121323578[[#This Row],[Big 4 Items]]/Table17891011121323578[[#This Row],[Oil +/- ]]</f>
        <v>0</v>
      </c>
      <c r="P37" s="38">
        <f t="shared" si="8"/>
        <v>0.4</v>
      </c>
      <c r="S37" s="6">
        <f t="shared" si="9"/>
        <v>10</v>
      </c>
    </row>
    <row r="38" spans="1:19" ht="15">
      <c r="A38" s="29" t="s">
        <v>24</v>
      </c>
      <c r="B38" s="30">
        <v>847</v>
      </c>
      <c r="C38" s="31">
        <v>41</v>
      </c>
      <c r="D38" s="32">
        <v>41</v>
      </c>
      <c r="E38" s="32">
        <v>86</v>
      </c>
      <c r="F38" s="32">
        <v>21</v>
      </c>
      <c r="G38" s="32">
        <v>-24</v>
      </c>
      <c r="H38" s="32">
        <v>8</v>
      </c>
      <c r="I38" s="33">
        <v>707.47</v>
      </c>
      <c r="J38" s="32">
        <v>5</v>
      </c>
      <c r="K38" s="34">
        <f>Table17891011121323578[[#This Row],[On Time Counts]]/45</f>
        <v>0.1111111111111111</v>
      </c>
      <c r="L38" s="35">
        <v>6662.04</v>
      </c>
      <c r="M38" s="36">
        <f>Table17891011121323578[[#This Row],[Wipers +/-]]/Table17891011121323578[[#This Row],[Comp Sales]]</f>
        <v>-3.602500135093755E-3</v>
      </c>
      <c r="N38" s="37">
        <v>0</v>
      </c>
      <c r="O38" s="36">
        <f>Table17891011121323578[[#This Row],[Big 4 Items]]/Table17891011121323578[[#This Row],[Oil +/- ]]</f>
        <v>0</v>
      </c>
      <c r="P38" s="38">
        <f t="shared" si="8"/>
        <v>0.5</v>
      </c>
      <c r="S38" s="6">
        <f t="shared" si="9"/>
        <v>10</v>
      </c>
    </row>
    <row r="39" spans="1:19" ht="15">
      <c r="A39" s="29" t="s">
        <v>24</v>
      </c>
      <c r="B39" s="30">
        <v>865</v>
      </c>
      <c r="C39" s="31">
        <v>-75</v>
      </c>
      <c r="D39" s="32">
        <v>9</v>
      </c>
      <c r="E39" s="32">
        <v>-2</v>
      </c>
      <c r="F39" s="32">
        <v>-2</v>
      </c>
      <c r="G39" s="32">
        <v>-2</v>
      </c>
      <c r="H39" s="32">
        <v>2</v>
      </c>
      <c r="I39" s="33">
        <v>371.71</v>
      </c>
      <c r="J39" s="32">
        <v>10</v>
      </c>
      <c r="K39" s="34">
        <f>Table17891011121323578[[#This Row],[On Time Counts]]/45</f>
        <v>0.22222222222222221</v>
      </c>
      <c r="L39" s="35">
        <v>3219.44</v>
      </c>
      <c r="M39" s="36">
        <f>Table17891011121323578[[#This Row],[Wipers +/-]]/Table17891011121323578[[#This Row],[Comp Sales]]</f>
        <v>-6.2122605173570557E-4</v>
      </c>
      <c r="N39" s="37">
        <v>0</v>
      </c>
      <c r="O39" s="36">
        <f>Table17891011121323578[[#This Row],[Big 4 Items]]/Table17891011121323578[[#This Row],[Oil +/- ]]</f>
        <v>0</v>
      </c>
      <c r="P39" s="38">
        <f t="shared" si="8"/>
        <v>1</v>
      </c>
      <c r="S39" s="6">
        <f t="shared" si="9"/>
        <v>10</v>
      </c>
    </row>
    <row r="40" spans="1:19" ht="15">
      <c r="A40" s="29" t="s">
        <v>24</v>
      </c>
      <c r="B40" s="30">
        <v>919</v>
      </c>
      <c r="C40" s="31">
        <v>32</v>
      </c>
      <c r="D40" s="32">
        <v>33</v>
      </c>
      <c r="E40" s="32">
        <v>-1</v>
      </c>
      <c r="F40" s="32"/>
      <c r="G40" s="32">
        <v>-2</v>
      </c>
      <c r="H40" s="32">
        <v>-1</v>
      </c>
      <c r="I40" s="33">
        <v>98.66</v>
      </c>
      <c r="J40" s="32">
        <v>8</v>
      </c>
      <c r="K40" s="34">
        <f>Table17891011121323578[[#This Row],[On Time Counts]]/45</f>
        <v>0.17777777777777778</v>
      </c>
      <c r="L40" s="35">
        <v>3981.57</v>
      </c>
      <c r="M40" s="36">
        <f>Table17891011121323578[[#This Row],[Wipers +/-]]/Table17891011121323578[[#This Row],[Comp Sales]]</f>
        <v>-5.0231441366094275E-4</v>
      </c>
      <c r="N40" s="37">
        <v>0</v>
      </c>
      <c r="O40" s="36">
        <f>Table17891011121323578[[#This Row],[Big 4 Items]]/Table17891011121323578[[#This Row],[Oil +/- ]]</f>
        <v>0</v>
      </c>
      <c r="P40" s="38">
        <f t="shared" si="8"/>
        <v>0.8</v>
      </c>
      <c r="S40" s="6">
        <f t="shared" si="9"/>
        <v>10</v>
      </c>
    </row>
    <row r="41" spans="1:19" ht="15">
      <c r="A41" s="29" t="s">
        <v>24</v>
      </c>
      <c r="B41" s="30">
        <v>954</v>
      </c>
      <c r="C41" s="31">
        <v>15</v>
      </c>
      <c r="D41" s="32">
        <v>11</v>
      </c>
      <c r="E41" s="32">
        <v>-10</v>
      </c>
      <c r="F41" s="32">
        <v>-1</v>
      </c>
      <c r="G41" s="32"/>
      <c r="H41" s="32"/>
      <c r="I41" s="33">
        <v>15.53</v>
      </c>
      <c r="J41" s="32">
        <v>2</v>
      </c>
      <c r="K41" s="34">
        <f>Table17891011121323578[[#This Row],[On Time Counts]]/45</f>
        <v>4.4444444444444446E-2</v>
      </c>
      <c r="L41" s="35"/>
      <c r="M41" s="36" t="e">
        <f>Table17891011121323578[[#This Row],[Wipers +/-]]/Table17891011121323578[[#This Row],[Comp Sales]]</f>
        <v>#DIV/0!</v>
      </c>
      <c r="N41" s="39"/>
      <c r="O41" s="36">
        <f>Table17891011121323578[[#This Row],[Big 4 Items]]/Table17891011121323578[[#This Row],[Oil +/- ]]</f>
        <v>0</v>
      </c>
      <c r="P41" s="38">
        <f t="shared" si="8"/>
        <v>0.2</v>
      </c>
      <c r="S41" s="6">
        <f t="shared" si="9"/>
        <v>10</v>
      </c>
    </row>
    <row r="42" spans="1:19" ht="15">
      <c r="A42" s="29" t="s">
        <v>24</v>
      </c>
      <c r="B42" s="30">
        <v>3017</v>
      </c>
      <c r="C42" s="31">
        <v>342</v>
      </c>
      <c r="D42" s="32">
        <v>350</v>
      </c>
      <c r="E42" s="32">
        <v>-11</v>
      </c>
      <c r="F42" s="32">
        <v>0</v>
      </c>
      <c r="G42" s="32"/>
      <c r="H42" s="32">
        <v>-1</v>
      </c>
      <c r="I42" s="33">
        <v>2020.21</v>
      </c>
      <c r="J42" s="32">
        <v>7</v>
      </c>
      <c r="K42" s="34">
        <f>Table17891011121323578[[#This Row],[On Time Counts]]/45</f>
        <v>0.15555555555555556</v>
      </c>
      <c r="L42" s="35">
        <v>4219.46</v>
      </c>
      <c r="M42" s="36">
        <f>Table17891011121323578[[#This Row],[Wipers +/-]]/Table17891011121323578[[#This Row],[Comp Sales]]</f>
        <v>0</v>
      </c>
      <c r="N42" s="37">
        <v>0</v>
      </c>
      <c r="O42" s="36">
        <f>Table17891011121323578[[#This Row],[Big 4 Items]]/Table17891011121323578[[#This Row],[Oil +/- ]]</f>
        <v>0</v>
      </c>
      <c r="P42" s="38">
        <f t="shared" si="8"/>
        <v>0.7</v>
      </c>
      <c r="S42" s="6">
        <f t="shared" si="9"/>
        <v>10</v>
      </c>
    </row>
    <row r="43" spans="1:19" ht="15">
      <c r="A43" s="29" t="s">
        <v>25</v>
      </c>
      <c r="B43" s="30">
        <v>29</v>
      </c>
      <c r="C43" s="31">
        <v>-59</v>
      </c>
      <c r="D43" s="32">
        <v>-59</v>
      </c>
      <c r="E43" s="32"/>
      <c r="F43" s="32">
        <v>8</v>
      </c>
      <c r="G43" s="32"/>
      <c r="H43" s="32"/>
      <c r="I43" s="33">
        <v>-172.76</v>
      </c>
      <c r="J43" s="32">
        <v>5</v>
      </c>
      <c r="K43" s="34">
        <f>Table17891011121323578[[#This Row],[On Time Counts]]/45</f>
        <v>0.1111111111111111</v>
      </c>
      <c r="L43" s="35">
        <v>6761.54</v>
      </c>
      <c r="M43" s="36">
        <f>Table17891011121323578[[#This Row],[Wipers +/-]]/Table17891011121323578[[#This Row],[Comp Sales]]</f>
        <v>0</v>
      </c>
      <c r="N43" s="37">
        <v>0</v>
      </c>
      <c r="O43" s="36">
        <f>Table17891011121323578[[#This Row],[Big 4 Items]]/Table17891011121323578[[#This Row],[Oil +/- ]]</f>
        <v>0</v>
      </c>
      <c r="P43" s="38">
        <f t="shared" si="8"/>
        <v>0.5</v>
      </c>
      <c r="S43" s="6">
        <f t="shared" si="9"/>
        <v>10</v>
      </c>
    </row>
    <row r="44" spans="1:19" ht="15">
      <c r="A44" s="29" t="s">
        <v>25</v>
      </c>
      <c r="B44" s="30">
        <v>40</v>
      </c>
      <c r="C44" s="31">
        <v>7</v>
      </c>
      <c r="D44" s="32">
        <v>-17</v>
      </c>
      <c r="E44" s="32">
        <v>0</v>
      </c>
      <c r="F44" s="32">
        <v>-2</v>
      </c>
      <c r="G44" s="32">
        <v>1</v>
      </c>
      <c r="H44" s="32">
        <v>0</v>
      </c>
      <c r="I44" s="33">
        <v>-9.2100000000000009</v>
      </c>
      <c r="J44" s="32">
        <v>8</v>
      </c>
      <c r="K44" s="34">
        <f>Table17891011121323578[[#This Row],[On Time Counts]]/45</f>
        <v>0.17777777777777778</v>
      </c>
      <c r="L44" s="35">
        <v>4100.43</v>
      </c>
      <c r="M44" s="36">
        <f>Table17891011121323578[[#This Row],[Wipers +/-]]/Table17891011121323578[[#This Row],[Comp Sales]]</f>
        <v>2.4387686169499294E-4</v>
      </c>
      <c r="N44" s="37">
        <v>0</v>
      </c>
      <c r="O44" s="36">
        <f>Table17891011121323578[[#This Row],[Big 4 Items]]/Table17891011121323578[[#This Row],[Oil +/- ]]</f>
        <v>0</v>
      </c>
      <c r="P44" s="38">
        <f t="shared" si="8"/>
        <v>0.8</v>
      </c>
      <c r="S44" s="6">
        <f t="shared" si="9"/>
        <v>10</v>
      </c>
    </row>
    <row r="45" spans="1:19" ht="15">
      <c r="A45" s="29" t="s">
        <v>25</v>
      </c>
      <c r="B45" s="30">
        <v>280</v>
      </c>
      <c r="C45" s="31">
        <v>224</v>
      </c>
      <c r="D45" s="32">
        <v>156</v>
      </c>
      <c r="E45" s="32">
        <v>3</v>
      </c>
      <c r="F45" s="32">
        <v>6</v>
      </c>
      <c r="G45" s="32">
        <v>5</v>
      </c>
      <c r="H45" s="32">
        <v>2</v>
      </c>
      <c r="I45" s="33">
        <v>900.6</v>
      </c>
      <c r="J45" s="32">
        <v>10</v>
      </c>
      <c r="K45" s="34">
        <f>Table17891011121323578[[#This Row],[On Time Counts]]/45</f>
        <v>0.22222222222222221</v>
      </c>
      <c r="L45" s="35">
        <v>2513.65</v>
      </c>
      <c r="M45" s="36">
        <f>Table17891011121323578[[#This Row],[Wipers +/-]]/Table17891011121323578[[#This Row],[Comp Sales]]</f>
        <v>1.9891392994251388E-3</v>
      </c>
      <c r="N45" s="37">
        <v>0</v>
      </c>
      <c r="O45" s="36">
        <f>Table17891011121323578[[#This Row],[Big 4 Items]]/Table17891011121323578[[#This Row],[Oil +/- ]]</f>
        <v>0</v>
      </c>
      <c r="P45" s="38">
        <f t="shared" si="8"/>
        <v>1</v>
      </c>
      <c r="S45" s="6">
        <f t="shared" si="9"/>
        <v>10</v>
      </c>
    </row>
    <row r="46" spans="1:19" ht="15">
      <c r="A46" s="29" t="s">
        <v>25</v>
      </c>
      <c r="B46" s="30">
        <v>599</v>
      </c>
      <c r="C46" s="31">
        <v>55</v>
      </c>
      <c r="D46" s="32">
        <v>55</v>
      </c>
      <c r="E46" s="32">
        <v>-25</v>
      </c>
      <c r="F46" s="32">
        <v>1</v>
      </c>
      <c r="G46" s="32">
        <v>0</v>
      </c>
      <c r="H46" s="32">
        <v>0</v>
      </c>
      <c r="I46" s="33">
        <v>121.67</v>
      </c>
      <c r="J46" s="32">
        <v>9</v>
      </c>
      <c r="K46" s="34">
        <f>Table17891011121323578[[#This Row],[On Time Counts]]/45</f>
        <v>0.2</v>
      </c>
      <c r="L46" s="35">
        <v>2026.59</v>
      </c>
      <c r="M46" s="36">
        <f>Table17891011121323578[[#This Row],[Wipers +/-]]/Table17891011121323578[[#This Row],[Comp Sales]]</f>
        <v>0</v>
      </c>
      <c r="N46" s="37">
        <v>0</v>
      </c>
      <c r="O46" s="36">
        <f>Table17891011121323578[[#This Row],[Big 4 Items]]/Table17891011121323578[[#This Row],[Oil +/- ]]</f>
        <v>0</v>
      </c>
      <c r="P46" s="38">
        <f t="shared" si="8"/>
        <v>0.9</v>
      </c>
      <c r="S46" s="6">
        <f t="shared" si="9"/>
        <v>10</v>
      </c>
    </row>
    <row r="47" spans="1:19" ht="15">
      <c r="A47" s="29" t="s">
        <v>25</v>
      </c>
      <c r="B47" s="30">
        <v>720</v>
      </c>
      <c r="C47" s="31">
        <v>88</v>
      </c>
      <c r="D47" s="32">
        <v>88</v>
      </c>
      <c r="E47" s="32">
        <v>-6</v>
      </c>
      <c r="F47" s="32">
        <v>-1</v>
      </c>
      <c r="G47" s="32">
        <v>-2</v>
      </c>
      <c r="H47" s="32">
        <v>2</v>
      </c>
      <c r="I47" s="33">
        <v>167.24</v>
      </c>
      <c r="J47" s="32">
        <v>3</v>
      </c>
      <c r="K47" s="34">
        <f>Table17891011121323578[[#This Row],[On Time Counts]]/45</f>
        <v>6.6666666666666666E-2</v>
      </c>
      <c r="L47" s="35">
        <v>0</v>
      </c>
      <c r="M47" s="36" t="e">
        <f>Table17891011121323578[[#This Row],[Wipers +/-]]/Table17891011121323578[[#This Row],[Comp Sales]]</f>
        <v>#DIV/0!</v>
      </c>
      <c r="N47" s="37">
        <v>0</v>
      </c>
      <c r="O47" s="36">
        <f>Table17891011121323578[[#This Row],[Big 4 Items]]/Table17891011121323578[[#This Row],[Oil +/- ]]</f>
        <v>0</v>
      </c>
      <c r="P47" s="38">
        <f t="shared" si="8"/>
        <v>0.3</v>
      </c>
      <c r="S47" s="6">
        <f t="shared" si="9"/>
        <v>10</v>
      </c>
    </row>
    <row r="48" spans="1:19" ht="15">
      <c r="A48" s="29" t="s">
        <v>25</v>
      </c>
      <c r="B48" s="30">
        <v>728</v>
      </c>
      <c r="C48" s="31">
        <v>71</v>
      </c>
      <c r="D48" s="32">
        <v>71</v>
      </c>
      <c r="E48" s="32">
        <v>-27</v>
      </c>
      <c r="F48" s="32">
        <v>6</v>
      </c>
      <c r="G48" s="32">
        <v>10</v>
      </c>
      <c r="H48" s="32"/>
      <c r="I48" s="33">
        <v>304</v>
      </c>
      <c r="J48" s="32">
        <v>9</v>
      </c>
      <c r="K48" s="34">
        <f>Table17891011121323578[[#This Row],[On Time Counts]]/45</f>
        <v>0.2</v>
      </c>
      <c r="L48" s="35">
        <v>3487.35</v>
      </c>
      <c r="M48" s="36">
        <f>Table17891011121323578[[#This Row],[Wipers +/-]]/Table17891011121323578[[#This Row],[Comp Sales]]</f>
        <v>2.8675068461725952E-3</v>
      </c>
      <c r="N48" s="37">
        <v>0</v>
      </c>
      <c r="O48" s="36">
        <f>Table17891011121323578[[#This Row],[Big 4 Items]]/Table17891011121323578[[#This Row],[Oil +/- ]]</f>
        <v>0</v>
      </c>
      <c r="P48" s="38">
        <f t="shared" si="8"/>
        <v>0.9</v>
      </c>
      <c r="S48" s="6">
        <f t="shared" si="9"/>
        <v>10</v>
      </c>
    </row>
    <row r="49" spans="1:19" ht="15">
      <c r="A49" s="29" t="s">
        <v>25</v>
      </c>
      <c r="B49" s="30">
        <v>830</v>
      </c>
      <c r="C49" s="31">
        <v>-21</v>
      </c>
      <c r="D49" s="32">
        <v>-67</v>
      </c>
      <c r="E49" s="32">
        <v>0</v>
      </c>
      <c r="F49" s="32">
        <v>0</v>
      </c>
      <c r="G49" s="32">
        <v>-34</v>
      </c>
      <c r="H49" s="32">
        <v>11</v>
      </c>
      <c r="I49" s="33">
        <v>47.48</v>
      </c>
      <c r="J49" s="32">
        <v>7</v>
      </c>
      <c r="K49" s="34">
        <f>Table17891011121323578[[#This Row],[On Time Counts]]/45</f>
        <v>0.15555555555555556</v>
      </c>
      <c r="L49" s="35">
        <v>3488.35</v>
      </c>
      <c r="M49" s="36">
        <f>Table17891011121323578[[#This Row],[Wipers +/-]]/Table17891011121323578[[#This Row],[Comp Sales]]</f>
        <v>-9.7467283959465079E-3</v>
      </c>
      <c r="N49" s="37">
        <v>1</v>
      </c>
      <c r="O49" s="36">
        <f>Table17891011121323578[[#This Row],[Big 4 Items]]/Table17891011121323578[[#This Row],[Oil +/- ]]</f>
        <v>-1.4925373134328358E-2</v>
      </c>
      <c r="P49" s="38">
        <f t="shared" si="8"/>
        <v>0.7</v>
      </c>
      <c r="S49" s="6">
        <f t="shared" si="9"/>
        <v>10</v>
      </c>
    </row>
    <row r="50" spans="1:19" ht="15">
      <c r="A50" s="29" t="s">
        <v>25</v>
      </c>
      <c r="B50" s="30">
        <v>975</v>
      </c>
      <c r="C50" s="31">
        <v>-5</v>
      </c>
      <c r="D50" s="32">
        <v>-5</v>
      </c>
      <c r="E50" s="32"/>
      <c r="F50" s="32">
        <v>0</v>
      </c>
      <c r="G50" s="32"/>
      <c r="H50" s="32"/>
      <c r="I50" s="33">
        <v>-19.18</v>
      </c>
      <c r="J50" s="32">
        <v>4</v>
      </c>
      <c r="K50" s="34">
        <f>Table17891011121323578[[#This Row],[On Time Counts]]/45</f>
        <v>8.8888888888888892E-2</v>
      </c>
      <c r="L50" s="35">
        <v>1986.68</v>
      </c>
      <c r="M50" s="36">
        <f>Table17891011121323578[[#This Row],[Wipers +/-]]/Table17891011121323578[[#This Row],[Comp Sales]]</f>
        <v>0</v>
      </c>
      <c r="N50" s="37">
        <v>0</v>
      </c>
      <c r="O50" s="36">
        <f>Table17891011121323578[[#This Row],[Big 4 Items]]/Table17891011121323578[[#This Row],[Oil +/- ]]</f>
        <v>0</v>
      </c>
      <c r="P50" s="38">
        <f t="shared" si="8"/>
        <v>0.4</v>
      </c>
      <c r="S50" s="6">
        <f t="shared" si="9"/>
        <v>10</v>
      </c>
    </row>
    <row r="51" spans="1:19" ht="15">
      <c r="A51" s="29" t="s">
        <v>26</v>
      </c>
      <c r="B51" s="30">
        <v>1</v>
      </c>
      <c r="C51" s="31">
        <v>2048</v>
      </c>
      <c r="D51" s="32">
        <v>147</v>
      </c>
      <c r="E51" s="32">
        <v>6</v>
      </c>
      <c r="F51" s="32">
        <v>3</v>
      </c>
      <c r="G51" s="32">
        <v>5</v>
      </c>
      <c r="H51" s="32">
        <v>4</v>
      </c>
      <c r="I51" s="33">
        <v>925.23</v>
      </c>
      <c r="J51" s="32">
        <v>10</v>
      </c>
      <c r="K51" s="34">
        <f>Table17891011121323578[[#This Row],[On Time Counts]]/45</f>
        <v>0.22222222222222221</v>
      </c>
      <c r="L51" s="35">
        <v>2791.49</v>
      </c>
      <c r="M51" s="36">
        <f>Table17891011121323578[[#This Row],[Wipers +/-]]/Table17891011121323578[[#This Row],[Comp Sales]]</f>
        <v>1.7911581270217698E-3</v>
      </c>
      <c r="N51" s="37">
        <v>0</v>
      </c>
      <c r="O51" s="36">
        <f>Table17891011121323578[[#This Row],[Big 4 Items]]/Table17891011121323578[[#This Row],[Oil +/- ]]</f>
        <v>0</v>
      </c>
      <c r="P51" s="38">
        <f t="shared" si="8"/>
        <v>1</v>
      </c>
      <c r="S51" s="6">
        <f t="shared" si="9"/>
        <v>10</v>
      </c>
    </row>
    <row r="52" spans="1:19" ht="15">
      <c r="A52" s="29" t="s">
        <v>26</v>
      </c>
      <c r="B52" s="30">
        <v>2</v>
      </c>
      <c r="C52" s="31">
        <v>1</v>
      </c>
      <c r="D52" s="32">
        <v>1</v>
      </c>
      <c r="E52" s="32">
        <v>0</v>
      </c>
      <c r="F52" s="32">
        <v>0</v>
      </c>
      <c r="G52" s="32"/>
      <c r="H52" s="32"/>
      <c r="I52" s="33">
        <v>-21.11</v>
      </c>
      <c r="J52" s="32">
        <v>7</v>
      </c>
      <c r="K52" s="34">
        <f>Table17891011121323578[[#This Row],[On Time Counts]]/45</f>
        <v>0.15555555555555556</v>
      </c>
      <c r="L52" s="35">
        <v>5684.97</v>
      </c>
      <c r="M52" s="36">
        <f>Table17891011121323578[[#This Row],[Wipers +/-]]/Table17891011121323578[[#This Row],[Comp Sales]]</f>
        <v>0</v>
      </c>
      <c r="N52" s="37">
        <v>0</v>
      </c>
      <c r="O52" s="36">
        <f>Table17891011121323578[[#This Row],[Big 4 Items]]/Table17891011121323578[[#This Row],[Oil +/- ]]</f>
        <v>0</v>
      </c>
      <c r="P52" s="38">
        <f t="shared" si="8"/>
        <v>0.7</v>
      </c>
      <c r="S52" s="6">
        <f t="shared" si="9"/>
        <v>10</v>
      </c>
    </row>
    <row r="53" spans="1:19" ht="15">
      <c r="A53" s="29" t="s">
        <v>26</v>
      </c>
      <c r="B53" s="30">
        <v>4</v>
      </c>
      <c r="C53" s="31">
        <v>4151</v>
      </c>
      <c r="D53" s="32">
        <v>4151</v>
      </c>
      <c r="E53" s="32">
        <v>-1</v>
      </c>
      <c r="F53" s="32">
        <v>-7</v>
      </c>
      <c r="G53" s="32">
        <v>-4</v>
      </c>
      <c r="H53" s="32">
        <v>-7</v>
      </c>
      <c r="I53" s="33">
        <v>11321.13</v>
      </c>
      <c r="J53" s="32">
        <v>10</v>
      </c>
      <c r="K53" s="34">
        <f>Table17891011121323578[[#This Row],[On Time Counts]]/45</f>
        <v>0.22222222222222221</v>
      </c>
      <c r="L53" s="35">
        <v>0</v>
      </c>
      <c r="M53" s="36" t="e">
        <f>Table17891011121323578[[#This Row],[Wipers +/-]]/Table17891011121323578[[#This Row],[Comp Sales]]</f>
        <v>#DIV/0!</v>
      </c>
      <c r="N53" s="37">
        <v>0</v>
      </c>
      <c r="O53" s="36">
        <f>Table17891011121323578[[#This Row],[Big 4 Items]]/Table17891011121323578[[#This Row],[Oil +/- ]]</f>
        <v>0</v>
      </c>
      <c r="P53" s="38">
        <f t="shared" si="8"/>
        <v>1</v>
      </c>
      <c r="S53" s="6">
        <f t="shared" si="9"/>
        <v>10</v>
      </c>
    </row>
    <row r="54" spans="1:19" ht="15">
      <c r="A54" s="29" t="s">
        <v>26</v>
      </c>
      <c r="B54" s="40">
        <v>6</v>
      </c>
      <c r="C54" s="31">
        <v>4316</v>
      </c>
      <c r="D54" s="32">
        <v>-95</v>
      </c>
      <c r="E54" s="32">
        <v>0</v>
      </c>
      <c r="F54" s="32">
        <v>1</v>
      </c>
      <c r="G54" s="32">
        <v>-1</v>
      </c>
      <c r="H54" s="32">
        <v>1</v>
      </c>
      <c r="I54" s="33">
        <v>444.92</v>
      </c>
      <c r="J54" s="32">
        <v>8</v>
      </c>
      <c r="K54" s="34">
        <f>Table17891011121323578[[#This Row],[On Time Counts]]/45</f>
        <v>0.17777777777777778</v>
      </c>
      <c r="L54" s="35">
        <v>0</v>
      </c>
      <c r="M54" s="36" t="e">
        <f>Table17891011121323578[[#This Row],[Wipers +/-]]/Table17891011121323578[[#This Row],[Comp Sales]]</f>
        <v>#DIV/0!</v>
      </c>
      <c r="N54" s="37"/>
      <c r="O54" s="41">
        <f>Table17891011121323578[[#This Row],[Big 4 Items]]/Table17891011121323578[[#This Row],[Oil +/- ]]</f>
        <v>0</v>
      </c>
      <c r="P54" s="38">
        <f t="shared" si="8"/>
        <v>0.8</v>
      </c>
      <c r="S54" s="6">
        <f t="shared" si="9"/>
        <v>10</v>
      </c>
    </row>
    <row r="55" spans="1:19" ht="15">
      <c r="A55" s="30" t="s">
        <v>26</v>
      </c>
      <c r="B55" s="40">
        <v>15</v>
      </c>
      <c r="C55" s="31">
        <v>55</v>
      </c>
      <c r="D55" s="32">
        <v>46</v>
      </c>
      <c r="E55" s="32">
        <v>2</v>
      </c>
      <c r="F55" s="32">
        <v>11</v>
      </c>
      <c r="G55" s="32">
        <v>-23</v>
      </c>
      <c r="H55" s="32">
        <v>-2</v>
      </c>
      <c r="I55" s="33">
        <v>-262.43</v>
      </c>
      <c r="J55" s="32">
        <v>9</v>
      </c>
      <c r="K55" s="34">
        <f>Table17891011121323578[[#This Row],[On Time Counts]]/45</f>
        <v>0.2</v>
      </c>
      <c r="L55" s="35">
        <v>6979.44</v>
      </c>
      <c r="M55" s="36">
        <f>Table17891011121323578[[#This Row],[Wipers +/-]]/Table17891011121323578[[#This Row],[Comp Sales]]</f>
        <v>-3.2953933266852355E-3</v>
      </c>
      <c r="N55" s="39"/>
      <c r="O55" s="36">
        <f>Table17891011121323578[[#This Row],[Big 4 Items]]/Table17891011121323578[[#This Row],[Oil +/- ]]</f>
        <v>0</v>
      </c>
      <c r="P55" s="38">
        <f t="shared" si="8"/>
        <v>0.9</v>
      </c>
      <c r="S55" s="6">
        <f t="shared" si="9"/>
        <v>10</v>
      </c>
    </row>
    <row r="56" spans="1:19" ht="15">
      <c r="A56" s="30" t="s">
        <v>26</v>
      </c>
      <c r="B56" s="40">
        <v>28</v>
      </c>
      <c r="C56" s="31">
        <v>-95</v>
      </c>
      <c r="D56" s="32">
        <v>-109</v>
      </c>
      <c r="E56" s="32">
        <v>6</v>
      </c>
      <c r="F56" s="32">
        <v>-8</v>
      </c>
      <c r="G56" s="32">
        <v>14</v>
      </c>
      <c r="H56" s="32">
        <v>5</v>
      </c>
      <c r="I56" s="33">
        <v>-211.38</v>
      </c>
      <c r="J56" s="32">
        <v>10</v>
      </c>
      <c r="K56" s="34">
        <f>Table17891011121323578[[#This Row],[On Time Counts]]/45</f>
        <v>0.22222222222222221</v>
      </c>
      <c r="L56" s="35">
        <v>6567.35</v>
      </c>
      <c r="M56" s="36">
        <f>Table17891011121323578[[#This Row],[Wipers +/-]]/Table17891011121323578[[#This Row],[Comp Sales]]</f>
        <v>2.1317578627604739E-3</v>
      </c>
      <c r="N56" s="39"/>
      <c r="O56" s="36">
        <f>Table17891011121323578[[#This Row],[Big 4 Items]]/Table17891011121323578[[#This Row],[Oil +/- ]]</f>
        <v>0</v>
      </c>
      <c r="P56" s="38">
        <f t="shared" si="8"/>
        <v>1</v>
      </c>
      <c r="S56" s="6">
        <f t="shared" si="9"/>
        <v>10</v>
      </c>
    </row>
    <row r="57" spans="1:19" ht="15">
      <c r="A57" s="30" t="s">
        <v>26</v>
      </c>
      <c r="B57" s="40">
        <v>32</v>
      </c>
      <c r="C57" s="31">
        <v>-63</v>
      </c>
      <c r="D57" s="32">
        <v>-13</v>
      </c>
      <c r="E57" s="32">
        <v>0</v>
      </c>
      <c r="F57" s="32">
        <v>-18</v>
      </c>
      <c r="G57" s="32">
        <v>-3</v>
      </c>
      <c r="H57" s="32">
        <v>-1</v>
      </c>
      <c r="I57" s="33">
        <v>-69.27</v>
      </c>
      <c r="J57" s="32">
        <v>9</v>
      </c>
      <c r="K57" s="34">
        <f>Table17891011121323578[[#This Row],[On Time Counts]]/45</f>
        <v>0.2</v>
      </c>
      <c r="L57" s="35"/>
      <c r="M57" s="36" t="e">
        <f>Table17891011121323578[[#This Row],[Wipers +/-]]/Table17891011121323578[[#This Row],[Comp Sales]]</f>
        <v>#DIV/0!</v>
      </c>
      <c r="N57" s="39"/>
      <c r="O57" s="36">
        <f>Table17891011121323578[[#This Row],[Big 4 Items]]/Table17891011121323578[[#This Row],[Oil +/- ]]</f>
        <v>0</v>
      </c>
      <c r="P57" s="38">
        <f t="shared" si="8"/>
        <v>0.9</v>
      </c>
      <c r="S57" s="6">
        <f t="shared" si="9"/>
        <v>10</v>
      </c>
    </row>
    <row r="58" spans="1:19" ht="15">
      <c r="A58" s="30" t="s">
        <v>26</v>
      </c>
      <c r="B58" s="40">
        <v>606</v>
      </c>
      <c r="C58" s="31">
        <v>54</v>
      </c>
      <c r="D58" s="32">
        <v>48</v>
      </c>
      <c r="E58" s="32">
        <v>6</v>
      </c>
      <c r="F58" s="32">
        <v>0</v>
      </c>
      <c r="G58" s="32">
        <v>-5</v>
      </c>
      <c r="H58" s="32">
        <v>-2</v>
      </c>
      <c r="I58" s="33">
        <v>115.47</v>
      </c>
      <c r="J58" s="32">
        <v>8</v>
      </c>
      <c r="K58" s="34">
        <f>Table17891011121323578[[#This Row],[On Time Counts]]/45</f>
        <v>0.17777777777777778</v>
      </c>
      <c r="L58" s="35">
        <v>6761.54</v>
      </c>
      <c r="M58" s="36">
        <f>Table17891011121323578[[#This Row],[Wipers +/-]]/Table17891011121323578[[#This Row],[Comp Sales]]</f>
        <v>-7.3947650978919001E-4</v>
      </c>
      <c r="N58" s="39"/>
      <c r="O58" s="36">
        <f>Table17891011121323578[[#This Row],[Big 4 Items]]/Table17891011121323578[[#This Row],[Oil +/- ]]</f>
        <v>0</v>
      </c>
      <c r="P58" s="38">
        <f t="shared" si="8"/>
        <v>0.8</v>
      </c>
      <c r="S58" s="6">
        <f t="shared" si="9"/>
        <v>10</v>
      </c>
    </row>
    <row r="59" spans="1:19" ht="15">
      <c r="A59" s="30" t="s">
        <v>26</v>
      </c>
      <c r="B59" s="40">
        <v>999</v>
      </c>
      <c r="C59" s="31">
        <v>0</v>
      </c>
      <c r="D59" s="32">
        <v>0</v>
      </c>
      <c r="E59" s="32">
        <v>0</v>
      </c>
      <c r="F59" s="32">
        <v>0</v>
      </c>
      <c r="G59" s="32">
        <v>0</v>
      </c>
      <c r="H59" s="32">
        <v>0</v>
      </c>
      <c r="I59" s="33">
        <v>0</v>
      </c>
      <c r="J59" s="32">
        <v>0</v>
      </c>
      <c r="K59" s="34">
        <f>Table17891011121323578[[#This Row],[On Time Counts]]/45</f>
        <v>0</v>
      </c>
      <c r="L59" s="35">
        <v>6083.18</v>
      </c>
      <c r="M59" s="36">
        <f>Table17891011121323578[[#This Row],[Wipers +/-]]/Table17891011121323578[[#This Row],[Comp Sales]]</f>
        <v>0</v>
      </c>
      <c r="N59" s="39"/>
      <c r="O59" s="36" t="e">
        <f>Table17891011121323578[[#This Row],[Big 4 Items]]/Table17891011121323578[[#This Row],[Oil +/- ]]</f>
        <v>#DIV/0!</v>
      </c>
      <c r="P59" s="38" t="e">
        <f t="shared" si="8"/>
        <v>#DIV/0!</v>
      </c>
      <c r="S59" s="6">
        <v>0</v>
      </c>
    </row>
    <row r="60" spans="1:19" ht="15">
      <c r="A60" s="30" t="s">
        <v>27</v>
      </c>
      <c r="B60" s="40">
        <v>8</v>
      </c>
      <c r="C60" s="31">
        <v>98</v>
      </c>
      <c r="D60" s="32">
        <v>90</v>
      </c>
      <c r="E60" s="32"/>
      <c r="F60" s="32">
        <v>2</v>
      </c>
      <c r="G60" s="32">
        <v>6</v>
      </c>
      <c r="H60" s="32">
        <v>2</v>
      </c>
      <c r="I60" s="33">
        <v>450.01</v>
      </c>
      <c r="J60" s="32">
        <v>5</v>
      </c>
      <c r="K60" s="34">
        <f>Table17891011121323578[[#This Row],[On Time Counts]]/45</f>
        <v>0.1111111111111111</v>
      </c>
      <c r="L60" s="35">
        <v>4849.0200000000004</v>
      </c>
      <c r="M60" s="36">
        <f>Table17891011121323578[[#This Row],[Wipers +/-]]/Table17891011121323578[[#This Row],[Comp Sales]]</f>
        <v>1.2373634260118538E-3</v>
      </c>
      <c r="N60" s="39"/>
      <c r="O60" s="36">
        <f>Table17891011121323578[[#This Row],[Big 4 Items]]/Table17891011121323578[[#This Row],[Oil +/- ]]</f>
        <v>0</v>
      </c>
      <c r="P60" s="38">
        <f t="shared" si="8"/>
        <v>0.5</v>
      </c>
      <c r="S60" s="6">
        <f t="shared" si="9"/>
        <v>10</v>
      </c>
    </row>
    <row r="61" spans="1:19" ht="15">
      <c r="A61" s="30" t="s">
        <v>27</v>
      </c>
      <c r="B61" s="40">
        <v>10</v>
      </c>
      <c r="C61" s="31">
        <v>-64</v>
      </c>
      <c r="D61" s="32">
        <v>-64</v>
      </c>
      <c r="E61" s="32">
        <v>-3</v>
      </c>
      <c r="F61" s="32">
        <v>0</v>
      </c>
      <c r="G61" s="32">
        <v>0</v>
      </c>
      <c r="H61" s="32">
        <v>0</v>
      </c>
      <c r="I61" s="33">
        <v>-193.14</v>
      </c>
      <c r="J61" s="32">
        <v>7</v>
      </c>
      <c r="K61" s="34">
        <f>Table17891011121323578[[#This Row],[On Time Counts]]/45</f>
        <v>0.15555555555555556</v>
      </c>
      <c r="L61" s="35">
        <v>6870.99</v>
      </c>
      <c r="M61" s="36">
        <f>Table17891011121323578[[#This Row],[Wipers +/-]]/Table17891011121323578[[#This Row],[Comp Sales]]</f>
        <v>0</v>
      </c>
      <c r="N61" s="39"/>
      <c r="O61" s="36">
        <f>Table17891011121323578[[#This Row],[Big 4 Items]]/Table17891011121323578[[#This Row],[Oil +/- ]]</f>
        <v>0</v>
      </c>
      <c r="P61" s="38">
        <f t="shared" si="8"/>
        <v>0.7</v>
      </c>
      <c r="S61" s="6">
        <f t="shared" si="9"/>
        <v>10</v>
      </c>
    </row>
    <row r="62" spans="1:19" ht="15">
      <c r="A62" s="30" t="s">
        <v>27</v>
      </c>
      <c r="B62" s="40">
        <v>12</v>
      </c>
      <c r="C62" s="31">
        <v>100</v>
      </c>
      <c r="D62" s="32">
        <v>100</v>
      </c>
      <c r="E62" s="32">
        <v>13</v>
      </c>
      <c r="F62" s="32"/>
      <c r="G62" s="32">
        <v>-2</v>
      </c>
      <c r="H62" s="32">
        <v>-1</v>
      </c>
      <c r="I62" s="33">
        <v>261.05</v>
      </c>
      <c r="J62" s="32">
        <v>4</v>
      </c>
      <c r="K62" s="34">
        <f>Table17891011121323578[[#This Row],[On Time Counts]]/45</f>
        <v>8.8888888888888892E-2</v>
      </c>
      <c r="L62" s="35">
        <v>6806.79</v>
      </c>
      <c r="M62" s="36">
        <f>Table17891011121323578[[#This Row],[Wipers +/-]]/Table17891011121323578[[#This Row],[Comp Sales]]</f>
        <v>-2.9382425489841762E-4</v>
      </c>
      <c r="N62" s="39"/>
      <c r="O62" s="36">
        <f>Table17891011121323578[[#This Row],[Big 4 Items]]/Table17891011121323578[[#This Row],[Oil +/- ]]</f>
        <v>0</v>
      </c>
      <c r="P62" s="38">
        <f t="shared" si="8"/>
        <v>0.4</v>
      </c>
      <c r="S62" s="6">
        <f t="shared" si="9"/>
        <v>10</v>
      </c>
    </row>
    <row r="63" spans="1:19" ht="15">
      <c r="A63" s="30" t="s">
        <v>27</v>
      </c>
      <c r="B63" s="40">
        <v>13</v>
      </c>
      <c r="C63" s="31">
        <v>61</v>
      </c>
      <c r="D63" s="32">
        <v>61</v>
      </c>
      <c r="E63" s="32">
        <v>0</v>
      </c>
      <c r="F63" s="32">
        <v>-1</v>
      </c>
      <c r="G63" s="32">
        <v>0</v>
      </c>
      <c r="H63" s="32">
        <v>9</v>
      </c>
      <c r="I63" s="33">
        <v>221.6</v>
      </c>
      <c r="J63" s="32">
        <v>10</v>
      </c>
      <c r="K63" s="34">
        <f>Table17891011121323578[[#This Row],[On Time Counts]]/45</f>
        <v>0.22222222222222221</v>
      </c>
      <c r="L63" s="35">
        <v>5842.02</v>
      </c>
      <c r="M63" s="36">
        <f>Table17891011121323578[[#This Row],[Wipers +/-]]/Table17891011121323578[[#This Row],[Comp Sales]]</f>
        <v>0</v>
      </c>
      <c r="N63" s="39"/>
      <c r="O63" s="36">
        <f>Table17891011121323578[[#This Row],[Big 4 Items]]/Table17891011121323578[[#This Row],[Oil +/- ]]</f>
        <v>0</v>
      </c>
      <c r="P63" s="38">
        <f t="shared" si="8"/>
        <v>1</v>
      </c>
      <c r="S63" s="6">
        <f t="shared" si="9"/>
        <v>10</v>
      </c>
    </row>
    <row r="64" spans="1:19" ht="15">
      <c r="A64" s="30" t="s">
        <v>27</v>
      </c>
      <c r="B64" s="40">
        <v>31</v>
      </c>
      <c r="C64" s="31">
        <v>790</v>
      </c>
      <c r="D64" s="32">
        <v>-23</v>
      </c>
      <c r="E64" s="32"/>
      <c r="F64" s="32">
        <v>-1</v>
      </c>
      <c r="G64" s="32"/>
      <c r="H64" s="32"/>
      <c r="I64" s="33">
        <v>207.05</v>
      </c>
      <c r="J64" s="32">
        <v>7</v>
      </c>
      <c r="K64" s="34">
        <f>Table17891011121323578[[#This Row],[On Time Counts]]/45</f>
        <v>0.15555555555555556</v>
      </c>
      <c r="L64" s="35">
        <v>7096.63</v>
      </c>
      <c r="M64" s="36">
        <f>Table17891011121323578[[#This Row],[Wipers +/-]]/Table17891011121323578[[#This Row],[Comp Sales]]</f>
        <v>0</v>
      </c>
      <c r="N64" s="39"/>
      <c r="O64" s="36">
        <f>Table17891011121323578[[#This Row],[Big 4 Items]]/Table17891011121323578[[#This Row],[Oil +/- ]]</f>
        <v>0</v>
      </c>
      <c r="P64" s="38">
        <f t="shared" si="8"/>
        <v>0.7</v>
      </c>
      <c r="S64" s="6">
        <f t="shared" si="9"/>
        <v>10</v>
      </c>
    </row>
    <row r="65" spans="1:19" ht="15">
      <c r="A65" s="30" t="s">
        <v>27</v>
      </c>
      <c r="B65" s="40">
        <v>92</v>
      </c>
      <c r="C65" s="31">
        <v>169</v>
      </c>
      <c r="D65" s="32">
        <v>139</v>
      </c>
      <c r="E65" s="32">
        <v>15</v>
      </c>
      <c r="F65" s="32">
        <v>0</v>
      </c>
      <c r="G65" s="32">
        <v>-4</v>
      </c>
      <c r="H65" s="32">
        <v>1</v>
      </c>
      <c r="I65" s="33">
        <v>979.99</v>
      </c>
      <c r="J65" s="32">
        <v>10</v>
      </c>
      <c r="K65" s="34">
        <f>Table17891011121323578[[#This Row],[On Time Counts]]/45</f>
        <v>0.22222222222222221</v>
      </c>
      <c r="L65" s="35">
        <v>6662.04</v>
      </c>
      <c r="M65" s="36">
        <f>Table17891011121323578[[#This Row],[Wipers +/-]]/Table17891011121323578[[#This Row],[Comp Sales]]</f>
        <v>-6.004166891822925E-4</v>
      </c>
      <c r="N65" s="39"/>
      <c r="O65" s="36">
        <f>Table17891011121323578[[#This Row],[Big 4 Items]]/Table17891011121323578[[#This Row],[Oil +/- ]]</f>
        <v>0</v>
      </c>
      <c r="P65" s="38">
        <f t="shared" si="8"/>
        <v>1</v>
      </c>
      <c r="S65" s="6">
        <f t="shared" si="9"/>
        <v>10</v>
      </c>
    </row>
    <row r="66" spans="1:19" ht="15">
      <c r="A66" s="30" t="s">
        <v>27</v>
      </c>
      <c r="B66" s="40">
        <v>116</v>
      </c>
      <c r="C66" s="31">
        <v>375</v>
      </c>
      <c r="D66" s="32">
        <v>375</v>
      </c>
      <c r="E66" s="32">
        <v>2</v>
      </c>
      <c r="F66" s="32">
        <v>0</v>
      </c>
      <c r="G66" s="32">
        <v>3</v>
      </c>
      <c r="H66" s="32">
        <v>-1</v>
      </c>
      <c r="I66" s="33">
        <v>1177.76</v>
      </c>
      <c r="J66" s="32">
        <v>10</v>
      </c>
      <c r="K66" s="34">
        <f>Table17891011121323578[[#This Row],[On Time Counts]]/45</f>
        <v>0.22222222222222221</v>
      </c>
      <c r="L66" s="35">
        <v>2791.49</v>
      </c>
      <c r="M66" s="36">
        <f>Table17891011121323578[[#This Row],[Wipers +/-]]/Table17891011121323578[[#This Row],[Comp Sales]]</f>
        <v>1.0746948762130619E-3</v>
      </c>
      <c r="N66" s="39"/>
      <c r="O66" s="36">
        <f>Table17891011121323578[[#This Row],[Big 4 Items]]/Table17891011121323578[[#This Row],[Oil +/- ]]</f>
        <v>0</v>
      </c>
      <c r="P66" s="38">
        <f t="shared" si="8"/>
        <v>1</v>
      </c>
      <c r="S66" s="6">
        <f t="shared" si="9"/>
        <v>10</v>
      </c>
    </row>
    <row r="67" spans="1:19" ht="15">
      <c r="A67" s="44" t="s">
        <v>27</v>
      </c>
      <c r="B67" s="45">
        <v>870</v>
      </c>
      <c r="C67" s="31">
        <v>1417</v>
      </c>
      <c r="D67" s="32">
        <v>1417</v>
      </c>
      <c r="E67" s="32">
        <v>15</v>
      </c>
      <c r="F67" s="32">
        <v>2</v>
      </c>
      <c r="G67" s="32">
        <v>34</v>
      </c>
      <c r="H67" s="32">
        <v>-4</v>
      </c>
      <c r="I67" s="33">
        <v>3902.59</v>
      </c>
      <c r="J67" s="32">
        <v>8</v>
      </c>
      <c r="K67" s="46">
        <f>Table17891011121323578[[#This Row],[On Time Counts]]/45</f>
        <v>0.17777777777777778</v>
      </c>
      <c r="L67" s="47"/>
      <c r="M67" s="41" t="e">
        <f>Table17891011121323578[[#This Row],[Wipers +/-]]/Table17891011121323578[[#This Row],[Comp Sales]]</f>
        <v>#DIV/0!</v>
      </c>
      <c r="N67" s="48"/>
      <c r="O67" s="41">
        <f>Table17891011121323578[[#This Row],[Big 4 Items]]/Table17891011121323578[[#This Row],[Oil +/- ]]</f>
        <v>0</v>
      </c>
      <c r="P67" s="38">
        <f t="shared" si="8"/>
        <v>0.8</v>
      </c>
      <c r="S67" s="6">
        <f t="shared" si="9"/>
        <v>10</v>
      </c>
    </row>
    <row r="68" spans="1:19" ht="15">
      <c r="A68" s="30" t="s">
        <v>27</v>
      </c>
      <c r="B68" s="40">
        <v>3004</v>
      </c>
      <c r="C68" s="31">
        <v>123</v>
      </c>
      <c r="D68" s="32">
        <v>48</v>
      </c>
      <c r="E68" s="50">
        <v>2</v>
      </c>
      <c r="F68" s="50">
        <v>-1</v>
      </c>
      <c r="G68" s="32"/>
      <c r="H68" s="50">
        <v>10</v>
      </c>
      <c r="I68" s="51">
        <v>545.65</v>
      </c>
      <c r="J68" s="50">
        <v>6</v>
      </c>
      <c r="K68" s="34">
        <f>Table17891011121323578[[#This Row],[On Time Counts]]/45</f>
        <v>0.13333333333333333</v>
      </c>
      <c r="L68" s="35"/>
      <c r="M68" s="36" t="e">
        <f>Table17891011121323578[[#This Row],[Wipers +/-]]/Table17891011121323578[[#This Row],[Comp Sales]]</f>
        <v>#DIV/0!</v>
      </c>
      <c r="N68" s="39"/>
      <c r="O68" s="36">
        <f>Table17891011121323578[[#This Row],[Big 4 Items]]/Table17891011121323578[[#This Row],[Oil +/- ]]</f>
        <v>0</v>
      </c>
      <c r="P68" s="38">
        <f t="shared" si="8"/>
        <v>0.6</v>
      </c>
      <c r="S68" s="6">
        <f>$T$1</f>
        <v>10</v>
      </c>
    </row>
    <row r="274" spans="1:2" hidden="1"/>
    <row r="275" spans="1:2" hidden="1"/>
    <row r="276" spans="1:2" hidden="1"/>
    <row r="277" spans="1:2" hidden="1"/>
    <row r="278" spans="1:2" hidden="1"/>
    <row r="279" spans="1:2" hidden="1"/>
    <row r="280" spans="1:2" hidden="1"/>
    <row r="281" spans="1:2" hidden="1"/>
    <row r="282" spans="1:2" hidden="1"/>
    <row r="283" spans="1:2" hidden="1"/>
    <row r="284" spans="1:2" hidden="1">
      <c r="A284" s="42">
        <v>0.01</v>
      </c>
      <c r="B284" s="42">
        <v>-0.01</v>
      </c>
    </row>
    <row r="285" spans="1:2" hidden="1">
      <c r="A285" s="43">
        <f>A284+1%</f>
        <v>0.02</v>
      </c>
      <c r="B285" s="42">
        <f>B284-1%</f>
        <v>-0.02</v>
      </c>
    </row>
    <row r="286" spans="1:2" hidden="1">
      <c r="A286" s="43">
        <f t="shared" ref="A286:A349" si="10">A285+1%</f>
        <v>0.03</v>
      </c>
      <c r="B286" s="42">
        <f t="shared" ref="B286:B349" si="11">B285-1%</f>
        <v>-0.03</v>
      </c>
    </row>
    <row r="287" spans="1:2" hidden="1">
      <c r="A287" s="43">
        <f t="shared" si="10"/>
        <v>0.04</v>
      </c>
      <c r="B287" s="42">
        <f t="shared" si="11"/>
        <v>-0.04</v>
      </c>
    </row>
    <row r="288" spans="1:2" hidden="1">
      <c r="A288" s="43">
        <f t="shared" si="10"/>
        <v>0.05</v>
      </c>
      <c r="B288" s="42">
        <f t="shared" si="11"/>
        <v>-0.05</v>
      </c>
    </row>
    <row r="289" spans="1:2" hidden="1">
      <c r="A289" s="43">
        <f t="shared" si="10"/>
        <v>6.0000000000000005E-2</v>
      </c>
      <c r="B289" s="42">
        <f t="shared" si="11"/>
        <v>-6.0000000000000005E-2</v>
      </c>
    </row>
    <row r="290" spans="1:2" hidden="1">
      <c r="A290" s="43">
        <f t="shared" si="10"/>
        <v>7.0000000000000007E-2</v>
      </c>
      <c r="B290" s="42">
        <f t="shared" si="11"/>
        <v>-7.0000000000000007E-2</v>
      </c>
    </row>
    <row r="291" spans="1:2" hidden="1">
      <c r="A291" s="43">
        <f t="shared" si="10"/>
        <v>0.08</v>
      </c>
      <c r="B291" s="42">
        <f t="shared" si="11"/>
        <v>-0.08</v>
      </c>
    </row>
    <row r="292" spans="1:2" hidden="1">
      <c r="A292" s="43">
        <f t="shared" si="10"/>
        <v>0.09</v>
      </c>
      <c r="B292" s="42">
        <f t="shared" si="11"/>
        <v>-0.09</v>
      </c>
    </row>
    <row r="293" spans="1:2" hidden="1">
      <c r="A293" s="43">
        <f t="shared" si="10"/>
        <v>9.9999999999999992E-2</v>
      </c>
      <c r="B293" s="42">
        <f t="shared" si="11"/>
        <v>-9.9999999999999992E-2</v>
      </c>
    </row>
    <row r="294" spans="1:2" hidden="1">
      <c r="A294" s="43">
        <f t="shared" si="10"/>
        <v>0.10999999999999999</v>
      </c>
      <c r="B294" s="42">
        <f t="shared" si="11"/>
        <v>-0.10999999999999999</v>
      </c>
    </row>
    <row r="295" spans="1:2" hidden="1">
      <c r="A295" s="43">
        <f t="shared" si="10"/>
        <v>0.11999999999999998</v>
      </c>
      <c r="B295" s="42">
        <f t="shared" si="11"/>
        <v>-0.11999999999999998</v>
      </c>
    </row>
    <row r="296" spans="1:2" hidden="1">
      <c r="A296" s="43">
        <f t="shared" si="10"/>
        <v>0.12999999999999998</v>
      </c>
      <c r="B296" s="42">
        <f t="shared" si="11"/>
        <v>-0.12999999999999998</v>
      </c>
    </row>
    <row r="297" spans="1:2" hidden="1">
      <c r="A297" s="43">
        <f t="shared" si="10"/>
        <v>0.13999999999999999</v>
      </c>
      <c r="B297" s="42">
        <f t="shared" si="11"/>
        <v>-0.13999999999999999</v>
      </c>
    </row>
    <row r="298" spans="1:2" hidden="1">
      <c r="A298" s="43">
        <f t="shared" si="10"/>
        <v>0.15</v>
      </c>
      <c r="B298" s="42">
        <f t="shared" si="11"/>
        <v>-0.15</v>
      </c>
    </row>
    <row r="299" spans="1:2" hidden="1">
      <c r="A299" s="43">
        <f t="shared" si="10"/>
        <v>0.16</v>
      </c>
      <c r="B299" s="42">
        <f t="shared" si="11"/>
        <v>-0.16</v>
      </c>
    </row>
    <row r="300" spans="1:2" hidden="1">
      <c r="A300" s="43">
        <f t="shared" si="10"/>
        <v>0.17</v>
      </c>
      <c r="B300" s="42">
        <f t="shared" si="11"/>
        <v>-0.17</v>
      </c>
    </row>
    <row r="301" spans="1:2" hidden="1">
      <c r="A301" s="43">
        <f t="shared" si="10"/>
        <v>0.18000000000000002</v>
      </c>
      <c r="B301" s="42">
        <f t="shared" si="11"/>
        <v>-0.18000000000000002</v>
      </c>
    </row>
    <row r="302" spans="1:2" hidden="1">
      <c r="A302" s="43">
        <f t="shared" si="10"/>
        <v>0.19000000000000003</v>
      </c>
      <c r="B302" s="42">
        <f t="shared" si="11"/>
        <v>-0.19000000000000003</v>
      </c>
    </row>
    <row r="303" spans="1:2" hidden="1">
      <c r="A303" s="43">
        <f t="shared" si="10"/>
        <v>0.20000000000000004</v>
      </c>
      <c r="B303" s="42">
        <f t="shared" si="11"/>
        <v>-0.20000000000000004</v>
      </c>
    </row>
    <row r="304" spans="1:2" hidden="1">
      <c r="A304" s="43">
        <f t="shared" si="10"/>
        <v>0.21000000000000005</v>
      </c>
      <c r="B304" s="42">
        <f t="shared" si="11"/>
        <v>-0.21000000000000005</v>
      </c>
    </row>
    <row r="305" spans="1:2" hidden="1">
      <c r="A305" s="43">
        <f t="shared" si="10"/>
        <v>0.22000000000000006</v>
      </c>
      <c r="B305" s="42">
        <f t="shared" si="11"/>
        <v>-0.22000000000000006</v>
      </c>
    </row>
    <row r="306" spans="1:2" hidden="1">
      <c r="A306" s="43">
        <f t="shared" si="10"/>
        <v>0.23000000000000007</v>
      </c>
      <c r="B306" s="42">
        <f t="shared" si="11"/>
        <v>-0.23000000000000007</v>
      </c>
    </row>
    <row r="307" spans="1:2" hidden="1">
      <c r="A307" s="43">
        <f t="shared" si="10"/>
        <v>0.24000000000000007</v>
      </c>
      <c r="B307" s="42">
        <f t="shared" si="11"/>
        <v>-0.24000000000000007</v>
      </c>
    </row>
    <row r="308" spans="1:2" hidden="1">
      <c r="A308" s="43">
        <f t="shared" si="10"/>
        <v>0.25000000000000006</v>
      </c>
      <c r="B308" s="42">
        <f t="shared" si="11"/>
        <v>-0.25000000000000006</v>
      </c>
    </row>
    <row r="309" spans="1:2" hidden="1">
      <c r="A309" s="43">
        <f t="shared" si="10"/>
        <v>0.26000000000000006</v>
      </c>
      <c r="B309" s="42">
        <f t="shared" si="11"/>
        <v>-0.26000000000000006</v>
      </c>
    </row>
    <row r="310" spans="1:2" hidden="1">
      <c r="A310" s="43">
        <f t="shared" si="10"/>
        <v>0.27000000000000007</v>
      </c>
      <c r="B310" s="42">
        <f t="shared" si="11"/>
        <v>-0.27000000000000007</v>
      </c>
    </row>
    <row r="311" spans="1:2" hidden="1">
      <c r="A311" s="43">
        <f t="shared" si="10"/>
        <v>0.28000000000000008</v>
      </c>
      <c r="B311" s="42">
        <f t="shared" si="11"/>
        <v>-0.28000000000000008</v>
      </c>
    </row>
    <row r="312" spans="1:2" hidden="1">
      <c r="A312" s="43">
        <f t="shared" si="10"/>
        <v>0.29000000000000009</v>
      </c>
      <c r="B312" s="42">
        <f t="shared" si="11"/>
        <v>-0.29000000000000009</v>
      </c>
    </row>
    <row r="313" spans="1:2" hidden="1">
      <c r="A313" s="43">
        <f t="shared" si="10"/>
        <v>0.3000000000000001</v>
      </c>
      <c r="B313" s="42">
        <f t="shared" si="11"/>
        <v>-0.3000000000000001</v>
      </c>
    </row>
    <row r="314" spans="1:2" hidden="1">
      <c r="A314" s="43">
        <f t="shared" si="10"/>
        <v>0.31000000000000011</v>
      </c>
      <c r="B314" s="42">
        <f t="shared" si="11"/>
        <v>-0.31000000000000011</v>
      </c>
    </row>
    <row r="315" spans="1:2" hidden="1">
      <c r="A315" s="43">
        <f t="shared" si="10"/>
        <v>0.32000000000000012</v>
      </c>
      <c r="B315" s="42">
        <f t="shared" si="11"/>
        <v>-0.32000000000000012</v>
      </c>
    </row>
    <row r="316" spans="1:2" hidden="1">
      <c r="A316" s="43">
        <f t="shared" si="10"/>
        <v>0.33000000000000013</v>
      </c>
      <c r="B316" s="42">
        <f t="shared" si="11"/>
        <v>-0.33000000000000013</v>
      </c>
    </row>
    <row r="317" spans="1:2" hidden="1">
      <c r="A317" s="43">
        <f t="shared" si="10"/>
        <v>0.34000000000000014</v>
      </c>
      <c r="B317" s="42">
        <f t="shared" si="11"/>
        <v>-0.34000000000000014</v>
      </c>
    </row>
    <row r="318" spans="1:2" hidden="1">
      <c r="A318" s="43">
        <f t="shared" si="10"/>
        <v>0.35000000000000014</v>
      </c>
      <c r="B318" s="42">
        <f t="shared" si="11"/>
        <v>-0.35000000000000014</v>
      </c>
    </row>
    <row r="319" spans="1:2" hidden="1">
      <c r="A319" s="43">
        <f t="shared" si="10"/>
        <v>0.36000000000000015</v>
      </c>
      <c r="B319" s="42">
        <f t="shared" si="11"/>
        <v>-0.36000000000000015</v>
      </c>
    </row>
    <row r="320" spans="1:2" hidden="1">
      <c r="A320" s="43">
        <f t="shared" si="10"/>
        <v>0.37000000000000016</v>
      </c>
      <c r="B320" s="42">
        <f t="shared" si="11"/>
        <v>-0.37000000000000016</v>
      </c>
    </row>
    <row r="321" spans="1:2" hidden="1">
      <c r="A321" s="43">
        <f t="shared" si="10"/>
        <v>0.38000000000000017</v>
      </c>
      <c r="B321" s="42">
        <f t="shared" si="11"/>
        <v>-0.38000000000000017</v>
      </c>
    </row>
    <row r="322" spans="1:2" hidden="1">
      <c r="A322" s="43">
        <f t="shared" si="10"/>
        <v>0.39000000000000018</v>
      </c>
      <c r="B322" s="42">
        <f t="shared" si="11"/>
        <v>-0.39000000000000018</v>
      </c>
    </row>
    <row r="323" spans="1:2" hidden="1">
      <c r="A323" s="43">
        <f t="shared" si="10"/>
        <v>0.40000000000000019</v>
      </c>
      <c r="B323" s="42">
        <f t="shared" si="11"/>
        <v>-0.40000000000000019</v>
      </c>
    </row>
    <row r="324" spans="1:2" hidden="1">
      <c r="A324" s="43">
        <f t="shared" si="10"/>
        <v>0.4100000000000002</v>
      </c>
      <c r="B324" s="42">
        <f t="shared" si="11"/>
        <v>-0.4100000000000002</v>
      </c>
    </row>
    <row r="325" spans="1:2" hidden="1">
      <c r="A325" s="43">
        <f t="shared" si="10"/>
        <v>0.42000000000000021</v>
      </c>
      <c r="B325" s="42">
        <f t="shared" si="11"/>
        <v>-0.42000000000000021</v>
      </c>
    </row>
    <row r="326" spans="1:2" hidden="1">
      <c r="A326" s="43">
        <f t="shared" si="10"/>
        <v>0.43000000000000022</v>
      </c>
      <c r="B326" s="42">
        <f t="shared" si="11"/>
        <v>-0.43000000000000022</v>
      </c>
    </row>
    <row r="327" spans="1:2" hidden="1">
      <c r="A327" s="43">
        <f t="shared" si="10"/>
        <v>0.44000000000000022</v>
      </c>
      <c r="B327" s="42">
        <f t="shared" si="11"/>
        <v>-0.44000000000000022</v>
      </c>
    </row>
    <row r="328" spans="1:2" hidden="1">
      <c r="A328" s="43">
        <f t="shared" si="10"/>
        <v>0.45000000000000023</v>
      </c>
      <c r="B328" s="42">
        <f t="shared" si="11"/>
        <v>-0.45000000000000023</v>
      </c>
    </row>
    <row r="329" spans="1:2" hidden="1">
      <c r="A329" s="43">
        <f t="shared" si="10"/>
        <v>0.46000000000000024</v>
      </c>
      <c r="B329" s="42">
        <f t="shared" si="11"/>
        <v>-0.46000000000000024</v>
      </c>
    </row>
    <row r="330" spans="1:2" hidden="1">
      <c r="A330" s="43">
        <f t="shared" si="10"/>
        <v>0.47000000000000025</v>
      </c>
      <c r="B330" s="42">
        <f t="shared" si="11"/>
        <v>-0.47000000000000025</v>
      </c>
    </row>
    <row r="331" spans="1:2" hidden="1">
      <c r="A331" s="43">
        <f t="shared" si="10"/>
        <v>0.48000000000000026</v>
      </c>
      <c r="B331" s="42">
        <f t="shared" si="11"/>
        <v>-0.48000000000000026</v>
      </c>
    </row>
    <row r="332" spans="1:2" hidden="1">
      <c r="A332" s="43">
        <f t="shared" si="10"/>
        <v>0.49000000000000027</v>
      </c>
      <c r="B332" s="42">
        <f t="shared" si="11"/>
        <v>-0.49000000000000027</v>
      </c>
    </row>
    <row r="333" spans="1:2" hidden="1">
      <c r="A333" s="43">
        <f t="shared" si="10"/>
        <v>0.50000000000000022</v>
      </c>
      <c r="B333" s="42">
        <f t="shared" si="11"/>
        <v>-0.50000000000000022</v>
      </c>
    </row>
    <row r="334" spans="1:2" hidden="1">
      <c r="A334" s="43">
        <f t="shared" si="10"/>
        <v>0.51000000000000023</v>
      </c>
      <c r="B334" s="42">
        <f t="shared" si="11"/>
        <v>-0.51000000000000023</v>
      </c>
    </row>
    <row r="335" spans="1:2" hidden="1">
      <c r="A335" s="43">
        <f t="shared" si="10"/>
        <v>0.52000000000000024</v>
      </c>
      <c r="B335" s="42">
        <f t="shared" si="11"/>
        <v>-0.52000000000000024</v>
      </c>
    </row>
    <row r="336" spans="1:2" hidden="1">
      <c r="A336" s="43">
        <f t="shared" si="10"/>
        <v>0.53000000000000025</v>
      </c>
      <c r="B336" s="42">
        <f t="shared" si="11"/>
        <v>-0.53000000000000025</v>
      </c>
    </row>
    <row r="337" spans="1:2" hidden="1">
      <c r="A337" s="43">
        <f t="shared" si="10"/>
        <v>0.54000000000000026</v>
      </c>
      <c r="B337" s="42">
        <f t="shared" si="11"/>
        <v>-0.54000000000000026</v>
      </c>
    </row>
    <row r="338" spans="1:2" hidden="1">
      <c r="A338" s="43">
        <f t="shared" si="10"/>
        <v>0.55000000000000027</v>
      </c>
      <c r="B338" s="42">
        <f t="shared" si="11"/>
        <v>-0.55000000000000027</v>
      </c>
    </row>
    <row r="339" spans="1:2" hidden="1">
      <c r="A339" s="43">
        <f t="shared" si="10"/>
        <v>0.56000000000000028</v>
      </c>
      <c r="B339" s="42">
        <f t="shared" si="11"/>
        <v>-0.56000000000000028</v>
      </c>
    </row>
    <row r="340" spans="1:2" hidden="1">
      <c r="A340" s="43">
        <f t="shared" si="10"/>
        <v>0.57000000000000028</v>
      </c>
      <c r="B340" s="42">
        <f t="shared" si="11"/>
        <v>-0.57000000000000028</v>
      </c>
    </row>
    <row r="341" spans="1:2" hidden="1">
      <c r="A341" s="43">
        <f t="shared" si="10"/>
        <v>0.58000000000000029</v>
      </c>
      <c r="B341" s="42">
        <f t="shared" si="11"/>
        <v>-0.58000000000000029</v>
      </c>
    </row>
    <row r="342" spans="1:2" hidden="1">
      <c r="A342" s="43">
        <f t="shared" si="10"/>
        <v>0.5900000000000003</v>
      </c>
      <c r="B342" s="42">
        <f t="shared" si="11"/>
        <v>-0.5900000000000003</v>
      </c>
    </row>
    <row r="343" spans="1:2" hidden="1">
      <c r="A343" s="43">
        <f t="shared" si="10"/>
        <v>0.60000000000000031</v>
      </c>
      <c r="B343" s="42">
        <f t="shared" si="11"/>
        <v>-0.60000000000000031</v>
      </c>
    </row>
    <row r="344" spans="1:2" hidden="1">
      <c r="A344" s="43">
        <f t="shared" si="10"/>
        <v>0.61000000000000032</v>
      </c>
      <c r="B344" s="42">
        <f t="shared" si="11"/>
        <v>-0.61000000000000032</v>
      </c>
    </row>
    <row r="345" spans="1:2" hidden="1">
      <c r="A345" s="43">
        <f t="shared" si="10"/>
        <v>0.62000000000000033</v>
      </c>
      <c r="B345" s="42">
        <f t="shared" si="11"/>
        <v>-0.62000000000000033</v>
      </c>
    </row>
    <row r="346" spans="1:2" hidden="1">
      <c r="A346" s="43">
        <f t="shared" si="10"/>
        <v>0.63000000000000034</v>
      </c>
      <c r="B346" s="42">
        <f t="shared" si="11"/>
        <v>-0.63000000000000034</v>
      </c>
    </row>
    <row r="347" spans="1:2" hidden="1">
      <c r="A347" s="43">
        <f t="shared" si="10"/>
        <v>0.64000000000000035</v>
      </c>
      <c r="B347" s="42">
        <f t="shared" si="11"/>
        <v>-0.64000000000000035</v>
      </c>
    </row>
    <row r="348" spans="1:2" hidden="1">
      <c r="A348" s="43">
        <f t="shared" si="10"/>
        <v>0.65000000000000036</v>
      </c>
      <c r="B348" s="42">
        <f t="shared" si="11"/>
        <v>-0.65000000000000036</v>
      </c>
    </row>
    <row r="349" spans="1:2" hidden="1">
      <c r="A349" s="43">
        <f t="shared" si="10"/>
        <v>0.66000000000000036</v>
      </c>
      <c r="B349" s="42">
        <f t="shared" si="11"/>
        <v>-0.66000000000000036</v>
      </c>
    </row>
    <row r="350" spans="1:2" hidden="1">
      <c r="A350" s="43">
        <f t="shared" ref="A350:A383" si="12">A349+1%</f>
        <v>0.67000000000000037</v>
      </c>
      <c r="B350" s="42">
        <f t="shared" ref="B350:B383" si="13">B349-1%</f>
        <v>-0.67000000000000037</v>
      </c>
    </row>
    <row r="351" spans="1:2" hidden="1">
      <c r="A351" s="43">
        <f t="shared" si="12"/>
        <v>0.68000000000000038</v>
      </c>
      <c r="B351" s="42">
        <f t="shared" si="13"/>
        <v>-0.68000000000000038</v>
      </c>
    </row>
    <row r="352" spans="1:2" hidden="1">
      <c r="A352" s="43">
        <f t="shared" si="12"/>
        <v>0.69000000000000039</v>
      </c>
      <c r="B352" s="42">
        <f t="shared" si="13"/>
        <v>-0.69000000000000039</v>
      </c>
    </row>
    <row r="353" spans="1:2" hidden="1">
      <c r="A353" s="43">
        <f t="shared" si="12"/>
        <v>0.7000000000000004</v>
      </c>
      <c r="B353" s="42">
        <f t="shared" si="13"/>
        <v>-0.7000000000000004</v>
      </c>
    </row>
    <row r="354" spans="1:2" hidden="1">
      <c r="A354" s="43">
        <f t="shared" si="12"/>
        <v>0.71000000000000041</v>
      </c>
      <c r="B354" s="42">
        <f t="shared" si="13"/>
        <v>-0.71000000000000041</v>
      </c>
    </row>
    <row r="355" spans="1:2" hidden="1">
      <c r="A355" s="43">
        <f t="shared" si="12"/>
        <v>0.72000000000000042</v>
      </c>
      <c r="B355" s="42">
        <f t="shared" si="13"/>
        <v>-0.72000000000000042</v>
      </c>
    </row>
    <row r="356" spans="1:2" hidden="1">
      <c r="A356" s="43">
        <f t="shared" si="12"/>
        <v>0.73000000000000043</v>
      </c>
      <c r="B356" s="42">
        <f t="shared" si="13"/>
        <v>-0.73000000000000043</v>
      </c>
    </row>
    <row r="357" spans="1:2" hidden="1">
      <c r="A357" s="43">
        <f t="shared" si="12"/>
        <v>0.74000000000000044</v>
      </c>
      <c r="B357" s="42">
        <f t="shared" si="13"/>
        <v>-0.74000000000000044</v>
      </c>
    </row>
    <row r="358" spans="1:2" hidden="1">
      <c r="A358" s="43">
        <f t="shared" si="12"/>
        <v>0.75000000000000044</v>
      </c>
      <c r="B358" s="42">
        <f t="shared" si="13"/>
        <v>-0.75000000000000044</v>
      </c>
    </row>
    <row r="359" spans="1:2" hidden="1">
      <c r="A359" s="43">
        <f t="shared" si="12"/>
        <v>0.76000000000000045</v>
      </c>
      <c r="B359" s="42">
        <f t="shared" si="13"/>
        <v>-0.76000000000000045</v>
      </c>
    </row>
    <row r="360" spans="1:2" hidden="1">
      <c r="A360" s="43">
        <f t="shared" si="12"/>
        <v>0.77000000000000046</v>
      </c>
      <c r="B360" s="42">
        <f t="shared" si="13"/>
        <v>-0.77000000000000046</v>
      </c>
    </row>
    <row r="361" spans="1:2" hidden="1">
      <c r="A361" s="43">
        <f t="shared" si="12"/>
        <v>0.78000000000000047</v>
      </c>
      <c r="B361" s="42">
        <f t="shared" si="13"/>
        <v>-0.78000000000000047</v>
      </c>
    </row>
    <row r="362" spans="1:2" hidden="1">
      <c r="A362" s="43">
        <f t="shared" si="12"/>
        <v>0.79000000000000048</v>
      </c>
      <c r="B362" s="42">
        <f t="shared" si="13"/>
        <v>-0.79000000000000048</v>
      </c>
    </row>
    <row r="363" spans="1:2" hidden="1">
      <c r="A363" s="43">
        <f t="shared" si="12"/>
        <v>0.80000000000000049</v>
      </c>
      <c r="B363" s="42">
        <f t="shared" si="13"/>
        <v>-0.80000000000000049</v>
      </c>
    </row>
    <row r="364" spans="1:2" hidden="1">
      <c r="A364" s="43">
        <f t="shared" si="12"/>
        <v>0.8100000000000005</v>
      </c>
      <c r="B364" s="42">
        <f t="shared" si="13"/>
        <v>-0.8100000000000005</v>
      </c>
    </row>
    <row r="365" spans="1:2" hidden="1">
      <c r="A365" s="43">
        <f t="shared" si="12"/>
        <v>0.82000000000000051</v>
      </c>
      <c r="B365" s="42">
        <f t="shared" si="13"/>
        <v>-0.82000000000000051</v>
      </c>
    </row>
    <row r="366" spans="1:2" hidden="1">
      <c r="A366" s="43">
        <f t="shared" si="12"/>
        <v>0.83000000000000052</v>
      </c>
      <c r="B366" s="42">
        <f t="shared" si="13"/>
        <v>-0.83000000000000052</v>
      </c>
    </row>
    <row r="367" spans="1:2" hidden="1">
      <c r="A367" s="43">
        <f t="shared" si="12"/>
        <v>0.84000000000000052</v>
      </c>
      <c r="B367" s="42">
        <f t="shared" si="13"/>
        <v>-0.84000000000000052</v>
      </c>
    </row>
    <row r="368" spans="1:2" hidden="1">
      <c r="A368" s="43">
        <f t="shared" si="12"/>
        <v>0.85000000000000053</v>
      </c>
      <c r="B368" s="42">
        <f t="shared" si="13"/>
        <v>-0.85000000000000053</v>
      </c>
    </row>
    <row r="369" spans="1:2" hidden="1">
      <c r="A369" s="43">
        <f t="shared" si="12"/>
        <v>0.86000000000000054</v>
      </c>
      <c r="B369" s="42">
        <f t="shared" si="13"/>
        <v>-0.86000000000000054</v>
      </c>
    </row>
    <row r="370" spans="1:2" hidden="1">
      <c r="A370" s="43">
        <f t="shared" si="12"/>
        <v>0.87000000000000055</v>
      </c>
      <c r="B370" s="42">
        <f t="shared" si="13"/>
        <v>-0.87000000000000055</v>
      </c>
    </row>
    <row r="371" spans="1:2" hidden="1">
      <c r="A371" s="43">
        <f t="shared" si="12"/>
        <v>0.88000000000000056</v>
      </c>
      <c r="B371" s="42">
        <f t="shared" si="13"/>
        <v>-0.88000000000000056</v>
      </c>
    </row>
    <row r="372" spans="1:2" hidden="1">
      <c r="A372" s="43">
        <f t="shared" si="12"/>
        <v>0.89000000000000057</v>
      </c>
      <c r="B372" s="42">
        <f t="shared" si="13"/>
        <v>-0.89000000000000057</v>
      </c>
    </row>
    <row r="373" spans="1:2" hidden="1">
      <c r="A373" s="43">
        <f t="shared" si="12"/>
        <v>0.90000000000000058</v>
      </c>
      <c r="B373" s="42">
        <f t="shared" si="13"/>
        <v>-0.90000000000000058</v>
      </c>
    </row>
    <row r="374" spans="1:2">
      <c r="A374" s="43">
        <f t="shared" si="12"/>
        <v>0.91000000000000059</v>
      </c>
      <c r="B374" s="42">
        <f t="shared" si="13"/>
        <v>-0.91000000000000059</v>
      </c>
    </row>
    <row r="375" spans="1:2">
      <c r="A375" s="43">
        <f t="shared" si="12"/>
        <v>0.9200000000000006</v>
      </c>
      <c r="B375" s="42">
        <f t="shared" si="13"/>
        <v>-0.9200000000000006</v>
      </c>
    </row>
    <row r="376" spans="1:2">
      <c r="A376" s="43">
        <f t="shared" si="12"/>
        <v>0.9300000000000006</v>
      </c>
      <c r="B376" s="42">
        <f t="shared" si="13"/>
        <v>-0.9300000000000006</v>
      </c>
    </row>
    <row r="377" spans="1:2">
      <c r="A377" s="43">
        <f t="shared" si="12"/>
        <v>0.94000000000000061</v>
      </c>
      <c r="B377" s="42">
        <f t="shared" si="13"/>
        <v>-0.94000000000000061</v>
      </c>
    </row>
    <row r="378" spans="1:2">
      <c r="A378" s="43">
        <f t="shared" si="12"/>
        <v>0.95000000000000062</v>
      </c>
      <c r="B378" s="42">
        <f t="shared" si="13"/>
        <v>-0.95000000000000062</v>
      </c>
    </row>
    <row r="379" spans="1:2">
      <c r="A379" s="43">
        <f t="shared" si="12"/>
        <v>0.96000000000000063</v>
      </c>
      <c r="B379" s="42">
        <f t="shared" si="13"/>
        <v>-0.96000000000000063</v>
      </c>
    </row>
    <row r="380" spans="1:2">
      <c r="A380" s="43">
        <f t="shared" si="12"/>
        <v>0.97000000000000064</v>
      </c>
      <c r="B380" s="42">
        <f t="shared" si="13"/>
        <v>-0.97000000000000064</v>
      </c>
    </row>
    <row r="381" spans="1:2">
      <c r="A381" s="43">
        <f t="shared" si="12"/>
        <v>0.98000000000000065</v>
      </c>
      <c r="B381" s="42">
        <f t="shared" si="13"/>
        <v>-0.98000000000000065</v>
      </c>
    </row>
    <row r="382" spans="1:2">
      <c r="A382" s="43">
        <f t="shared" si="12"/>
        <v>0.99000000000000066</v>
      </c>
      <c r="B382" s="42">
        <f t="shared" si="13"/>
        <v>-0.99000000000000066</v>
      </c>
    </row>
    <row r="383" spans="1:2">
      <c r="A383" s="43">
        <f t="shared" si="12"/>
        <v>1.0000000000000007</v>
      </c>
      <c r="B383" s="42">
        <f t="shared" si="13"/>
        <v>-1.0000000000000007</v>
      </c>
    </row>
  </sheetData>
  <sheetProtection selectLockedCells="1" autoFilter="0" pivotTables="0"/>
  <conditionalFormatting sqref="A67 A168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84:A383 J9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84:B383 M9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84:B383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2:J68">
    <cfRule type="containsBlanks" dxfId="180" priority="17">
      <formula>LEN(TRIM(C12))=0</formula>
    </cfRule>
  </conditionalFormatting>
  <conditionalFormatting sqref="D12:D68">
    <cfRule type="cellIs" dxfId="179" priority="15" operator="lessThan">
      <formula>-200</formula>
    </cfRule>
    <cfRule type="cellIs" dxfId="178" priority="16" operator="greaterThan">
      <formula>200</formula>
    </cfRule>
  </conditionalFormatting>
  <conditionalFormatting sqref="E12:G68">
    <cfRule type="cellIs" dxfId="177" priority="13" operator="lessThan">
      <formula>-6</formula>
    </cfRule>
    <cfRule type="cellIs" dxfId="176" priority="14" operator="greaterThan">
      <formula>6</formula>
    </cfRule>
  </conditionalFormatting>
  <conditionalFormatting sqref="H12:H68">
    <cfRule type="cellIs" dxfId="175" priority="9" operator="lessThan">
      <formula>-3</formula>
    </cfRule>
    <cfRule type="cellIs" dxfId="174" priority="10" operator="greaterThan">
      <formula>3</formula>
    </cfRule>
  </conditionalFormatting>
  <conditionalFormatting sqref="I12:I68">
    <cfRule type="cellIs" dxfId="173" priority="7" operator="lessThan">
      <formula>-1000</formula>
    </cfRule>
    <cfRule type="cellIs" dxfId="172" priority="8" operator="greaterThan">
      <formula>1000</formula>
    </cfRule>
  </conditionalFormatting>
  <conditionalFormatting sqref="J2:J8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:M8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:N9">
    <cfRule type="cellIs" dxfId="171" priority="32" operator="lessThan">
      <formula>0.516</formula>
    </cfRule>
    <cfRule type="cellIs" dxfId="170" priority="33" operator="greaterThan">
      <formula>0.516</formula>
    </cfRule>
  </conditionalFormatting>
  <conditionalFormatting sqref="O2:O9">
    <cfRule type="cellIs" dxfId="169" priority="30" operator="lessThan">
      <formula>0.0659</formula>
    </cfRule>
    <cfRule type="cellIs" dxfId="168" priority="31" operator="greaterThan">
      <formula>0.0659</formula>
    </cfRule>
  </conditionalFormatting>
  <conditionalFormatting sqref="P12:P6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34999-1947-426C-B5B2-B9AB367BAC75}">
  <dimension ref="A1:T383"/>
  <sheetViews>
    <sheetView zoomScale="84" zoomScaleNormal="100" workbookViewId="0">
      <selection activeCell="H53" sqref="H53"/>
    </sheetView>
  </sheetViews>
  <sheetFormatPr defaultColWidth="9.140625" defaultRowHeight="12.75"/>
  <cols>
    <col min="1" max="1" width="25.28515625" style="6" bestFit="1" customWidth="1"/>
    <col min="2" max="2" width="22" style="6" bestFit="1" customWidth="1"/>
    <col min="3" max="3" width="18.85546875" style="6" bestFit="1" customWidth="1"/>
    <col min="4" max="4" width="22.5703125" style="6" bestFit="1" customWidth="1"/>
    <col min="5" max="5" width="18" style="6" bestFit="1" customWidth="1"/>
    <col min="6" max="6" width="17.85546875" style="6" bestFit="1" customWidth="1"/>
    <col min="7" max="7" width="27" style="6" bestFit="1" customWidth="1"/>
    <col min="8" max="8" width="26.7109375" style="6" bestFit="1" customWidth="1"/>
    <col min="9" max="10" width="24" style="6" bestFit="1" customWidth="1"/>
    <col min="11" max="11" width="22.5703125" style="6" hidden="1" customWidth="1"/>
    <col min="12" max="12" width="25" style="6" hidden="1" customWidth="1"/>
    <col min="13" max="13" width="13.28515625" style="6" hidden="1" customWidth="1"/>
    <col min="14" max="14" width="7.85546875" style="6" hidden="1" customWidth="1"/>
    <col min="15" max="15" width="11.140625" style="6" hidden="1" customWidth="1"/>
    <col min="16" max="16" width="11.140625" style="6" bestFit="1" customWidth="1"/>
    <col min="17" max="17" width="9.140625" style="6"/>
    <col min="18" max="18" width="16.28515625" style="6" hidden="1" customWidth="1"/>
    <col min="19" max="19" width="16.7109375" style="6" bestFit="1" customWidth="1"/>
    <col min="20" max="20" width="3.140625" style="6" bestFit="1" customWidth="1"/>
    <col min="21" max="16384" width="9.140625" style="6"/>
  </cols>
  <sheetData>
    <row r="1" spans="1:20" ht="18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4"/>
      <c r="L1" s="5" t="s">
        <v>10</v>
      </c>
      <c r="M1" s="2" t="s">
        <v>11</v>
      </c>
      <c r="N1" s="2" t="s">
        <v>12</v>
      </c>
      <c r="O1" s="3" t="s">
        <v>13</v>
      </c>
      <c r="S1" s="6" t="s">
        <v>14</v>
      </c>
      <c r="T1" s="49">
        <v>11</v>
      </c>
    </row>
    <row r="2" spans="1:20" ht="18">
      <c r="A2" s="7" t="str">
        <f>A12</f>
        <v>Baton Rouge North</v>
      </c>
      <c r="B2" s="8">
        <f>SUM(C12:C19)</f>
        <v>1818.2</v>
      </c>
      <c r="C2" s="8">
        <f t="shared" ref="C2:I2" si="0">SUM(D12:D19)</f>
        <v>1744.2</v>
      </c>
      <c r="D2" s="8">
        <f t="shared" si="0"/>
        <v>223</v>
      </c>
      <c r="E2" s="8">
        <f t="shared" si="0"/>
        <v>9</v>
      </c>
      <c r="F2" s="8">
        <f t="shared" si="0"/>
        <v>31</v>
      </c>
      <c r="G2" s="8">
        <f t="shared" si="0"/>
        <v>50</v>
      </c>
      <c r="H2" s="9">
        <f>SUM(I12:I19)</f>
        <v>7068.3627999999999</v>
      </c>
      <c r="I2" s="8">
        <f t="shared" si="0"/>
        <v>25</v>
      </c>
      <c r="J2" s="10">
        <f>I2/SUM(S12:S19)</f>
        <v>0.37878787878787878</v>
      </c>
      <c r="K2" s="11"/>
      <c r="L2" s="12">
        <f>SUM(L12:L12)</f>
        <v>4238.9799999999996</v>
      </c>
      <c r="M2" s="13">
        <f>((F2-G12)/L2)-100%</f>
        <v>-0.99268691996659575</v>
      </c>
      <c r="N2" s="13">
        <f>SUM(N12:N12)/C2</f>
        <v>0</v>
      </c>
      <c r="O2" s="14">
        <f>SUM(P12:P12)/C2</f>
        <v>0</v>
      </c>
    </row>
    <row r="3" spans="1:20" ht="18">
      <c r="A3" s="7" t="str">
        <f>A20</f>
        <v>Baton Rouge South</v>
      </c>
      <c r="B3" s="8">
        <f>SUM(C20:C26)</f>
        <v>3946.26</v>
      </c>
      <c r="C3" s="8">
        <f t="shared" ref="C3:I3" si="1">SUM(D20:D26)</f>
        <v>3268.26</v>
      </c>
      <c r="D3" s="15">
        <f t="shared" si="1"/>
        <v>440</v>
      </c>
      <c r="E3" s="15">
        <f t="shared" si="1"/>
        <v>-28</v>
      </c>
      <c r="F3" s="15">
        <f t="shared" si="1"/>
        <v>129</v>
      </c>
      <c r="G3" s="15">
        <f t="shared" si="1"/>
        <v>-136</v>
      </c>
      <c r="H3" s="9">
        <f t="shared" si="1"/>
        <v>10237.581199999999</v>
      </c>
      <c r="I3" s="8">
        <f t="shared" si="1"/>
        <v>43</v>
      </c>
      <c r="J3" s="10">
        <f>I3/SUM(S20:S26)</f>
        <v>0.55844155844155841</v>
      </c>
      <c r="K3" s="11"/>
      <c r="L3" s="12">
        <f>SUM(L13:L13)</f>
        <v>5844.34</v>
      </c>
      <c r="M3" s="13">
        <f>((F3-G13)/L3)-100%</f>
        <v>-0.98596933101085837</v>
      </c>
      <c r="N3" s="13">
        <f>SUM(N13:N13)/C3</f>
        <v>0</v>
      </c>
      <c r="O3" s="14">
        <f>SUM(P13:P13)/C3</f>
        <v>1.9471022390006801E-4</v>
      </c>
    </row>
    <row r="4" spans="1:20" ht="18">
      <c r="A4" s="7" t="str">
        <f>A27</f>
        <v>Gulf Coast North</v>
      </c>
      <c r="B4" s="8">
        <f>SUM(C27:C35)</f>
        <v>3094</v>
      </c>
      <c r="C4" s="8">
        <f t="shared" ref="C4:I4" si="2">SUM(D27:D35)</f>
        <v>2338</v>
      </c>
      <c r="D4" s="8">
        <f t="shared" si="2"/>
        <v>342</v>
      </c>
      <c r="E4" s="8">
        <f t="shared" si="2"/>
        <v>56</v>
      </c>
      <c r="F4" s="8">
        <f t="shared" si="2"/>
        <v>-12</v>
      </c>
      <c r="G4" s="8">
        <f t="shared" si="2"/>
        <v>76</v>
      </c>
      <c r="H4" s="9">
        <f t="shared" si="2"/>
        <v>14304.36</v>
      </c>
      <c r="I4" s="8">
        <f t="shared" si="2"/>
        <v>54</v>
      </c>
      <c r="J4" s="10">
        <f>I4/SUM(S27:S35)</f>
        <v>0.54545454545454541</v>
      </c>
      <c r="K4" s="11"/>
      <c r="L4" s="12">
        <f>SUM(L14:L23)</f>
        <v>52541.38</v>
      </c>
      <c r="M4" s="13">
        <f>(F4/L4)-100%</f>
        <v>-1.0002283914126351</v>
      </c>
      <c r="N4" s="13">
        <f>SUM(N14:N23)/C4</f>
        <v>0</v>
      </c>
      <c r="O4" s="14" t="e">
        <f>SUM(P14:P23)/C4</f>
        <v>#DIV/0!</v>
      </c>
    </row>
    <row r="5" spans="1:20" ht="18">
      <c r="A5" s="7" t="str">
        <f>A36</f>
        <v>Gulf Coast West</v>
      </c>
      <c r="B5" s="8">
        <f>SUM(C36:C42)</f>
        <v>792</v>
      </c>
      <c r="C5" s="8">
        <f t="shared" ref="C5:I5" si="3">SUM(D36:D42)</f>
        <v>163</v>
      </c>
      <c r="D5" s="8">
        <f t="shared" si="3"/>
        <v>-277</v>
      </c>
      <c r="E5" s="8">
        <f t="shared" si="3"/>
        <v>11</v>
      </c>
      <c r="F5" s="8">
        <f t="shared" si="3"/>
        <v>-24</v>
      </c>
      <c r="G5" s="8">
        <f t="shared" si="3"/>
        <v>-5</v>
      </c>
      <c r="H5" s="9">
        <f t="shared" si="3"/>
        <v>222.93000000000018</v>
      </c>
      <c r="I5" s="8">
        <f t="shared" si="3"/>
        <v>56</v>
      </c>
      <c r="J5" s="10">
        <f>I5/SUM(S36:S42)</f>
        <v>0.72727272727272729</v>
      </c>
      <c r="K5" s="11"/>
      <c r="L5" s="12">
        <f>SUM(L24:L36)</f>
        <v>80972.98000000001</v>
      </c>
      <c r="M5" s="13">
        <f>((F5-G34-G35-G36)/L5)-100%</f>
        <v>-0.99976535382543663</v>
      </c>
      <c r="N5" s="13">
        <f>SUM(N24:N36)/C5</f>
        <v>0</v>
      </c>
      <c r="O5" s="14">
        <f>SUM(P24:P36)/C5</f>
        <v>5.0752928053541542E-2</v>
      </c>
    </row>
    <row r="6" spans="1:20" ht="18">
      <c r="A6" s="7" t="str">
        <f>A43</f>
        <v>Lafayette</v>
      </c>
      <c r="B6" s="8">
        <f>SUM(C43:C50)</f>
        <v>951</v>
      </c>
      <c r="C6" s="8">
        <f t="shared" ref="C6:I6" si="4">SUM(D43:D50)</f>
        <v>302</v>
      </c>
      <c r="D6" s="8">
        <f t="shared" si="4"/>
        <v>56</v>
      </c>
      <c r="E6" s="8">
        <f t="shared" si="4"/>
        <v>-55</v>
      </c>
      <c r="F6" s="8">
        <f t="shared" si="4"/>
        <v>30</v>
      </c>
      <c r="G6" s="8">
        <f t="shared" si="4"/>
        <v>9</v>
      </c>
      <c r="H6" s="9">
        <f t="shared" si="4"/>
        <v>3106.8799999999997</v>
      </c>
      <c r="I6" s="8">
        <f t="shared" si="4"/>
        <v>66</v>
      </c>
      <c r="J6" s="10">
        <f>I6/SUM(S43:S50)</f>
        <v>0.75</v>
      </c>
      <c r="K6" s="11"/>
      <c r="L6" s="12"/>
      <c r="M6" s="13"/>
      <c r="N6" s="13"/>
      <c r="O6" s="14"/>
    </row>
    <row r="7" spans="1:20" ht="18">
      <c r="A7" s="7" t="str">
        <f>A51</f>
        <v>NOLA North</v>
      </c>
      <c r="B7" s="8">
        <f>SUM(C51:C59)</f>
        <v>2526</v>
      </c>
      <c r="C7" s="8">
        <f t="shared" ref="C7:I7" si="5">SUM(D51:D59)</f>
        <v>-228</v>
      </c>
      <c r="D7" s="8">
        <f t="shared" si="5"/>
        <v>-16</v>
      </c>
      <c r="E7" s="8">
        <f t="shared" si="5"/>
        <v>24</v>
      </c>
      <c r="F7" s="8">
        <f t="shared" si="5"/>
        <v>38</v>
      </c>
      <c r="G7" s="8">
        <f t="shared" si="5"/>
        <v>-6</v>
      </c>
      <c r="H7" s="9">
        <f t="shared" si="5"/>
        <v>6251.4800000000005</v>
      </c>
      <c r="I7" s="8">
        <f t="shared" si="5"/>
        <v>71</v>
      </c>
      <c r="J7" s="10">
        <f>I7/SUM(S51:S59)</f>
        <v>0.80681818181818177</v>
      </c>
      <c r="K7" s="11"/>
      <c r="L7" s="12">
        <f>SUM(L37:L45)</f>
        <v>38554.76</v>
      </c>
      <c r="M7" s="13">
        <f>(F7/L7)-100%</f>
        <v>-0.99901438888479654</v>
      </c>
      <c r="N7" s="13">
        <f>SUM(N37:N45)/C7</f>
        <v>0</v>
      </c>
      <c r="O7" s="14">
        <f>SUM(P37:P45)/C7</f>
        <v>-2.7113237639553429E-2</v>
      </c>
    </row>
    <row r="8" spans="1:20" ht="18">
      <c r="A8" s="16" t="str">
        <f>A60</f>
        <v>NOLA South</v>
      </c>
      <c r="B8" s="17">
        <f>SUM(C60:C68)</f>
        <v>4836</v>
      </c>
      <c r="C8" s="17">
        <f t="shared" ref="C8:I8" si="6">SUM(D60:D68)</f>
        <v>5199</v>
      </c>
      <c r="D8" s="17">
        <f t="shared" si="6"/>
        <v>490</v>
      </c>
      <c r="E8" s="17">
        <f t="shared" si="6"/>
        <v>-5766</v>
      </c>
      <c r="F8" s="17">
        <f t="shared" si="6"/>
        <v>-22</v>
      </c>
      <c r="G8" s="17">
        <f t="shared" si="6"/>
        <v>7</v>
      </c>
      <c r="H8" s="18">
        <f t="shared" si="6"/>
        <v>1236.9299999999996</v>
      </c>
      <c r="I8" s="17">
        <f t="shared" si="6"/>
        <v>74</v>
      </c>
      <c r="J8" s="19">
        <f>I8/SUM(S60:S68)</f>
        <v>0.74747474747474751</v>
      </c>
      <c r="K8" s="11"/>
      <c r="L8" s="12">
        <f>SUM(L46:L54)</f>
        <v>19465.43</v>
      </c>
      <c r="M8" s="13">
        <f>((F8-G54)/L8)-100%</f>
        <v>-1.0011302087855238</v>
      </c>
      <c r="N8" s="13">
        <f>SUM(N46:N54)/C8</f>
        <v>1.9234468166955183E-4</v>
      </c>
      <c r="O8" s="14">
        <f>SUM(P46:P54)/C8</f>
        <v>1.4862998129010823E-3</v>
      </c>
    </row>
    <row r="9" spans="1:20" ht="18">
      <c r="A9" s="20" t="s">
        <v>15</v>
      </c>
      <c r="B9" s="21">
        <f>SUM(B2:B8)</f>
        <v>17963.46</v>
      </c>
      <c r="C9" s="21">
        <f t="shared" ref="C9:I9" si="7">SUM(C2:C8)</f>
        <v>12786.46</v>
      </c>
      <c r="D9" s="22">
        <f t="shared" si="7"/>
        <v>1258</v>
      </c>
      <c r="E9" s="22">
        <f t="shared" si="7"/>
        <v>-5749</v>
      </c>
      <c r="F9" s="22">
        <f t="shared" si="7"/>
        <v>170</v>
      </c>
      <c r="G9" s="22">
        <f t="shared" si="7"/>
        <v>-5</v>
      </c>
      <c r="H9" s="23">
        <f>SUM(H2:H8)</f>
        <v>42428.524000000005</v>
      </c>
      <c r="I9" s="21">
        <f>SUM(I2:I8)</f>
        <v>389</v>
      </c>
      <c r="J9" s="24">
        <f>I9/SUM(S12:S68)</f>
        <v>0.65488215488215484</v>
      </c>
      <c r="K9" s="25"/>
      <c r="L9" s="26">
        <f>SUM(L2:L8)</f>
        <v>201617.87</v>
      </c>
      <c r="M9" s="27">
        <f>((F9-G12-G13-G34-G35-G36-G54)/L9)-100%</f>
        <v>-0.99917666028313856</v>
      </c>
      <c r="N9" s="27" cm="1">
        <f t="array" ref="N9">SUM(Table178910111213235787[Big 4 Items]/C9)</f>
        <v>7.8207729113452832E-5</v>
      </c>
      <c r="O9" s="28" t="e">
        <f>SUM(Table178910111213235787[Count Compliance2])/C9</f>
        <v>#DIV/0!</v>
      </c>
    </row>
    <row r="11" spans="1:20">
      <c r="A11" s="6" t="s">
        <v>0</v>
      </c>
      <c r="B11" s="6" t="s">
        <v>16</v>
      </c>
      <c r="C11" s="6" t="s">
        <v>1</v>
      </c>
      <c r="D11" s="6" t="s">
        <v>17</v>
      </c>
      <c r="E11" s="6" t="s">
        <v>3</v>
      </c>
      <c r="F11" s="6" t="s">
        <v>4</v>
      </c>
      <c r="G11" s="6" t="s">
        <v>5</v>
      </c>
      <c r="H11" s="6" t="s">
        <v>6</v>
      </c>
      <c r="I11" s="6" t="s">
        <v>7</v>
      </c>
      <c r="J11" s="6" t="s">
        <v>8</v>
      </c>
      <c r="K11" s="6" t="s">
        <v>9</v>
      </c>
      <c r="L11" s="6" t="s">
        <v>10</v>
      </c>
      <c r="M11" s="6" t="s">
        <v>18</v>
      </c>
      <c r="N11" s="6" t="s">
        <v>19</v>
      </c>
      <c r="O11" s="6" t="s">
        <v>12</v>
      </c>
      <c r="P11" s="6" t="s">
        <v>20</v>
      </c>
    </row>
    <row r="12" spans="1:20" ht="15">
      <c r="A12" s="29" t="s">
        <v>21</v>
      </c>
      <c r="B12" s="30">
        <v>17</v>
      </c>
      <c r="C12" s="31"/>
      <c r="D12" s="32"/>
      <c r="E12" s="32"/>
      <c r="F12" s="32"/>
      <c r="G12" s="32"/>
      <c r="H12" s="32"/>
      <c r="I12" s="33"/>
      <c r="J12" s="32"/>
      <c r="K12" s="34">
        <f>Table178910111213235787[[#This Row],[On Time Counts]]/45</f>
        <v>0</v>
      </c>
      <c r="L12" s="35">
        <v>4238.9799999999996</v>
      </c>
      <c r="M12" s="36">
        <f>Table178910111213235787[[#This Row],[Wipers +/-]]/Table178910111213235787[[#This Row],[Comp Sales]]</f>
        <v>0</v>
      </c>
      <c r="N12" s="37">
        <v>0</v>
      </c>
      <c r="O12" s="36" t="e">
        <f>Table178910111213235787[[#This Row],[Big 4 Items]]/Table178910111213235787[[#This Row],[Oil +/- ]]</f>
        <v>#DIV/0!</v>
      </c>
      <c r="P12" s="38">
        <f>J12/S12</f>
        <v>0</v>
      </c>
      <c r="S12" s="6">
        <f>$T$1</f>
        <v>11</v>
      </c>
    </row>
    <row r="13" spans="1:20" ht="15">
      <c r="A13" s="29" t="s">
        <v>21</v>
      </c>
      <c r="B13" s="30">
        <v>22</v>
      </c>
      <c r="C13" s="31">
        <v>423.4</v>
      </c>
      <c r="D13" s="32">
        <v>423.4</v>
      </c>
      <c r="E13" s="32">
        <v>196</v>
      </c>
      <c r="F13" s="32">
        <v>1</v>
      </c>
      <c r="G13" s="32">
        <v>47</v>
      </c>
      <c r="H13" s="32">
        <v>46</v>
      </c>
      <c r="I13" s="33">
        <v>1868.57</v>
      </c>
      <c r="J13" s="32">
        <v>7</v>
      </c>
      <c r="K13" s="34">
        <f>Table178910111213235787[[#This Row],[On Time Counts]]/45</f>
        <v>0.15555555555555556</v>
      </c>
      <c r="L13" s="35">
        <v>5844.34</v>
      </c>
      <c r="M13" s="36">
        <f>Table178910111213235787[[#This Row],[Wipers +/-]]/Table178910111213235787[[#This Row],[Comp Sales]]</f>
        <v>8.0419688108494709E-3</v>
      </c>
      <c r="N13" s="37">
        <v>0</v>
      </c>
      <c r="O13" s="36">
        <f>Table178910111213235787[[#This Row],[Big 4 Items]]/Table178910111213235787[[#This Row],[Oil +/- ]]</f>
        <v>0</v>
      </c>
      <c r="P13" s="38">
        <f>J13/S13</f>
        <v>0.63636363636363635</v>
      </c>
      <c r="S13" s="6">
        <f t="shared" ref="S13:S68" si="8">$T$1</f>
        <v>11</v>
      </c>
    </row>
    <row r="14" spans="1:20" ht="15">
      <c r="A14" s="29" t="s">
        <v>21</v>
      </c>
      <c r="B14" s="30">
        <v>641</v>
      </c>
      <c r="C14" s="31">
        <v>25.6</v>
      </c>
      <c r="D14" s="32">
        <v>29.6</v>
      </c>
      <c r="E14" s="32">
        <v>-25</v>
      </c>
      <c r="F14" s="32">
        <v>4</v>
      </c>
      <c r="G14" s="32">
        <v>-9</v>
      </c>
      <c r="H14" s="32">
        <v>0</v>
      </c>
      <c r="I14" s="33">
        <v>537.56679999999994</v>
      </c>
      <c r="J14" s="32">
        <v>8</v>
      </c>
      <c r="K14" s="34">
        <f>Table178910111213235787[[#This Row],[On Time Counts]]/45</f>
        <v>0.17777777777777778</v>
      </c>
      <c r="L14" s="35">
        <v>3219.34</v>
      </c>
      <c r="M14" s="36">
        <f>Table178910111213235787[[#This Row],[Wipers +/-]]/Table178910111213235787[[#This Row],[Comp Sales]]</f>
        <v>-2.7956040679145413E-3</v>
      </c>
      <c r="N14" s="37">
        <v>0</v>
      </c>
      <c r="O14" s="36">
        <f>Table178910111213235787[[#This Row],[Big 4 Items]]/Table178910111213235787[[#This Row],[Oil +/- ]]</f>
        <v>0</v>
      </c>
      <c r="P14" s="38">
        <f>J14/S14</f>
        <v>0.72727272727272729</v>
      </c>
      <c r="S14" s="6">
        <f t="shared" si="8"/>
        <v>11</v>
      </c>
    </row>
    <row r="15" spans="1:20" ht="15">
      <c r="A15" s="29" t="s">
        <v>21</v>
      </c>
      <c r="B15" s="30">
        <v>717</v>
      </c>
      <c r="C15" s="31">
        <v>-26.1</v>
      </c>
      <c r="D15" s="32">
        <v>-26.1</v>
      </c>
      <c r="E15" s="32">
        <v>28</v>
      </c>
      <c r="F15" s="32"/>
      <c r="G15" s="32"/>
      <c r="H15" s="32"/>
      <c r="I15" s="33">
        <v>-38.877000000000002</v>
      </c>
      <c r="J15" s="32">
        <v>2</v>
      </c>
      <c r="K15" s="34">
        <f>Table178910111213235787[[#This Row],[On Time Counts]]/45</f>
        <v>4.4444444444444446E-2</v>
      </c>
      <c r="L15" s="35">
        <v>8034.77</v>
      </c>
      <c r="M15" s="36">
        <f>Table178910111213235787[[#This Row],[Wipers +/-]]/Table178910111213235787[[#This Row],[Comp Sales]]</f>
        <v>0</v>
      </c>
      <c r="N15" s="37">
        <v>0</v>
      </c>
      <c r="O15" s="36">
        <f>Table178910111213235787[[#This Row],[Big 4 Items]]/Table178910111213235787[[#This Row],[Oil +/- ]]</f>
        <v>0</v>
      </c>
      <c r="P15" s="38">
        <f>J15/S15</f>
        <v>0.18181818181818182</v>
      </c>
      <c r="S15" s="6">
        <f t="shared" si="8"/>
        <v>11</v>
      </c>
    </row>
    <row r="16" spans="1:20" ht="15">
      <c r="A16" s="29" t="s">
        <v>21</v>
      </c>
      <c r="B16" s="30">
        <v>843</v>
      </c>
      <c r="C16" s="31">
        <v>252.3</v>
      </c>
      <c r="D16" s="32">
        <v>186.3</v>
      </c>
      <c r="E16" s="32"/>
      <c r="F16" s="32">
        <v>4</v>
      </c>
      <c r="G16" s="32">
        <v>-7</v>
      </c>
      <c r="H16" s="32">
        <v>4</v>
      </c>
      <c r="I16" s="33">
        <v>823.84299999999996</v>
      </c>
      <c r="J16" s="32">
        <v>5</v>
      </c>
      <c r="K16" s="34">
        <f>Table178910111213235787[[#This Row],[On Time Counts]]/45</f>
        <v>0.1111111111111111</v>
      </c>
      <c r="L16" s="35">
        <v>6497.34</v>
      </c>
      <c r="M16" s="36">
        <f>Table178910111213235787[[#This Row],[Wipers +/-]]/Table178910111213235787[[#This Row],[Comp Sales]]</f>
        <v>-1.0773639674082009E-3</v>
      </c>
      <c r="N16" s="37">
        <v>0</v>
      </c>
      <c r="O16" s="36">
        <f>Table178910111213235787[[#This Row],[Big 4 Items]]/Table178910111213235787[[#This Row],[Oil +/- ]]</f>
        <v>0</v>
      </c>
      <c r="P16" s="38">
        <f>J16/S16</f>
        <v>0.45454545454545453</v>
      </c>
      <c r="S16" s="6">
        <f t="shared" si="8"/>
        <v>11</v>
      </c>
    </row>
    <row r="17" spans="1:19" ht="15">
      <c r="A17" s="29" t="s">
        <v>21</v>
      </c>
      <c r="B17" s="40">
        <v>881</v>
      </c>
      <c r="C17" s="31">
        <v>1143</v>
      </c>
      <c r="D17" s="32">
        <v>1131</v>
      </c>
      <c r="E17" s="32">
        <v>24</v>
      </c>
      <c r="F17" s="32"/>
      <c r="G17" s="32"/>
      <c r="H17" s="32"/>
      <c r="I17" s="33">
        <v>3877.26</v>
      </c>
      <c r="J17" s="32">
        <v>3</v>
      </c>
      <c r="K17" s="34">
        <f>Table178910111213235787[[#This Row],[On Time Counts]]/45</f>
        <v>6.6666666666666666E-2</v>
      </c>
      <c r="L17" s="35"/>
      <c r="M17" s="36" t="e">
        <f>Table178910111213235787[[#This Row],[Wipers +/-]]/Table178910111213235787[[#This Row],[Comp Sales]]</f>
        <v>#DIV/0!</v>
      </c>
      <c r="N17" s="39"/>
      <c r="O17" s="36">
        <f>Table178910111213235787[[#This Row],[Big 4 Items]]/Table178910111213235787[[#This Row],[Oil +/- ]]</f>
        <v>0</v>
      </c>
      <c r="P17" s="38">
        <f>J17/S17</f>
        <v>0.27272727272727271</v>
      </c>
      <c r="S17" s="6">
        <f t="shared" si="8"/>
        <v>11</v>
      </c>
    </row>
    <row r="18" spans="1:19" ht="15">
      <c r="A18" s="29" t="s">
        <v>21</v>
      </c>
      <c r="B18" s="30">
        <v>953</v>
      </c>
      <c r="C18" s="31">
        <v>0</v>
      </c>
      <c r="D18" s="32">
        <v>0</v>
      </c>
      <c r="E18" s="32">
        <v>0</v>
      </c>
      <c r="F18" s="32">
        <v>0</v>
      </c>
      <c r="G18" s="32">
        <v>0</v>
      </c>
      <c r="H18" s="32">
        <v>0</v>
      </c>
      <c r="I18" s="33">
        <v>0</v>
      </c>
      <c r="J18" s="32">
        <v>0</v>
      </c>
      <c r="K18" s="34">
        <f>Table178910111213235787[[#This Row],[On Time Counts]]/45</f>
        <v>0</v>
      </c>
      <c r="L18" s="35">
        <v>7185.39</v>
      </c>
      <c r="M18" s="36">
        <f>Table178910111213235787[[#This Row],[Wipers +/-]]/Table178910111213235787[[#This Row],[Comp Sales]]</f>
        <v>0</v>
      </c>
      <c r="N18" s="37">
        <v>0</v>
      </c>
      <c r="O18" s="36" t="e">
        <f>Table178910111213235787[[#This Row],[Big 4 Items]]/Table178910111213235787[[#This Row],[Oil +/- ]]</f>
        <v>#DIV/0!</v>
      </c>
      <c r="P18" s="38" t="e">
        <f>J18/S18</f>
        <v>#DIV/0!</v>
      </c>
      <c r="S18" s="6">
        <v>0</v>
      </c>
    </row>
    <row r="19" spans="1:19" ht="15">
      <c r="A19" s="29" t="s">
        <v>21</v>
      </c>
      <c r="B19" s="30">
        <v>3040</v>
      </c>
      <c r="C19" s="31">
        <v>0</v>
      </c>
      <c r="D19" s="32">
        <v>0</v>
      </c>
      <c r="E19" s="32">
        <v>0</v>
      </c>
      <c r="F19" s="32">
        <v>0</v>
      </c>
      <c r="G19" s="32">
        <v>0</v>
      </c>
      <c r="H19" s="32">
        <v>0</v>
      </c>
      <c r="I19" s="33">
        <v>0</v>
      </c>
      <c r="J19" s="32">
        <v>0</v>
      </c>
      <c r="K19" s="34">
        <f>Table178910111213235787[[#This Row],[On Time Counts]]/45</f>
        <v>0</v>
      </c>
      <c r="L19" s="35">
        <v>6083.18</v>
      </c>
      <c r="M19" s="36">
        <f>Table178910111213235787[[#This Row],[Wipers +/-]]/Table178910111213235787[[#This Row],[Comp Sales]]</f>
        <v>0</v>
      </c>
      <c r="N19" s="37">
        <v>0</v>
      </c>
      <c r="O19" s="36" t="e">
        <f>Table178910111213235787[[#This Row],[Big 4 Items]]/Table178910111213235787[[#This Row],[Oil +/- ]]</f>
        <v>#DIV/0!</v>
      </c>
      <c r="P19" s="38" t="e">
        <f>J19/S19</f>
        <v>#DIV/0!</v>
      </c>
      <c r="S19" s="6">
        <v>0</v>
      </c>
    </row>
    <row r="20" spans="1:19" ht="15">
      <c r="A20" s="29" t="s">
        <v>22</v>
      </c>
      <c r="B20" s="30">
        <v>18</v>
      </c>
      <c r="C20" s="31">
        <v>3729.93</v>
      </c>
      <c r="D20" s="32">
        <v>3315.93</v>
      </c>
      <c r="E20" s="32">
        <v>205</v>
      </c>
      <c r="F20" s="32">
        <v>33</v>
      </c>
      <c r="G20" s="32">
        <v>180</v>
      </c>
      <c r="H20" s="32">
        <v>-66</v>
      </c>
      <c r="I20" s="33">
        <v>10215.6584</v>
      </c>
      <c r="J20" s="32">
        <v>7</v>
      </c>
      <c r="K20" s="34">
        <f>Table178910111213235787[[#This Row],[On Time Counts]]/45</f>
        <v>0.15555555555555556</v>
      </c>
      <c r="L20" s="35">
        <v>4849.0200000000004</v>
      </c>
      <c r="M20" s="36">
        <f>Table178910111213235787[[#This Row],[Wipers +/-]]/Table178910111213235787[[#This Row],[Comp Sales]]</f>
        <v>3.7120902780355618E-2</v>
      </c>
      <c r="N20" s="37">
        <v>0</v>
      </c>
      <c r="O20" s="36">
        <f>Table178910111213235787[[#This Row],[Big 4 Items]]/Table178910111213235787[[#This Row],[Oil +/- ]]</f>
        <v>0</v>
      </c>
      <c r="P20" s="38">
        <f>J20/S20</f>
        <v>0.63636363636363635</v>
      </c>
      <c r="S20" s="6">
        <f t="shared" si="8"/>
        <v>11</v>
      </c>
    </row>
    <row r="21" spans="1:19" ht="15">
      <c r="A21" s="29" t="s">
        <v>22</v>
      </c>
      <c r="B21" s="30">
        <v>19</v>
      </c>
      <c r="C21" s="31">
        <v>111.32</v>
      </c>
      <c r="D21" s="32">
        <v>111.32</v>
      </c>
      <c r="E21" s="32">
        <v>-12</v>
      </c>
      <c r="F21" s="32">
        <v>-10</v>
      </c>
      <c r="G21" s="32"/>
      <c r="H21" s="32">
        <v>-5</v>
      </c>
      <c r="I21" s="33">
        <v>277.98020000000002</v>
      </c>
      <c r="J21" s="32">
        <v>4</v>
      </c>
      <c r="K21" s="34">
        <f>Table178910111213235787[[#This Row],[On Time Counts]]/45</f>
        <v>8.8888888888888892E-2</v>
      </c>
      <c r="L21" s="35">
        <v>2994.56</v>
      </c>
      <c r="M21" s="36">
        <f>Table178910111213235787[[#This Row],[Wipers +/-]]/Table178910111213235787[[#This Row],[Comp Sales]]</f>
        <v>0</v>
      </c>
      <c r="N21" s="37">
        <v>0</v>
      </c>
      <c r="O21" s="36">
        <f>Table178910111213235787[[#This Row],[Big 4 Items]]/Table178910111213235787[[#This Row],[Oil +/- ]]</f>
        <v>0</v>
      </c>
      <c r="P21" s="38">
        <f>J21/S21</f>
        <v>0.36363636363636365</v>
      </c>
      <c r="S21" s="6">
        <f t="shared" si="8"/>
        <v>11</v>
      </c>
    </row>
    <row r="22" spans="1:19" ht="15">
      <c r="A22" s="29" t="s">
        <v>22</v>
      </c>
      <c r="B22" s="30">
        <v>282</v>
      </c>
      <c r="C22" s="31">
        <v>293</v>
      </c>
      <c r="D22" s="32">
        <v>29</v>
      </c>
      <c r="E22" s="32">
        <v>3</v>
      </c>
      <c r="F22" s="32">
        <v>15</v>
      </c>
      <c r="G22" s="32"/>
      <c r="H22" s="32"/>
      <c r="I22" s="33">
        <v>596.37300000000005</v>
      </c>
      <c r="J22" s="32">
        <v>4</v>
      </c>
      <c r="K22" s="34">
        <f>Table178910111213235787[[#This Row],[On Time Counts]]/45</f>
        <v>8.8888888888888892E-2</v>
      </c>
      <c r="L22" s="35">
        <v>6870.99</v>
      </c>
      <c r="M22" s="36">
        <f>Table178910111213235787[[#This Row],[Wipers +/-]]/Table178910111213235787[[#This Row],[Comp Sales]]</f>
        <v>0</v>
      </c>
      <c r="N22" s="37">
        <v>0</v>
      </c>
      <c r="O22" s="36">
        <f>Table178910111213235787[[#This Row],[Big 4 Items]]/Table178910111213235787[[#This Row],[Oil +/- ]]</f>
        <v>0</v>
      </c>
      <c r="P22" s="38">
        <f>J22/S22</f>
        <v>0.36363636363636365</v>
      </c>
      <c r="S22" s="6">
        <f t="shared" si="8"/>
        <v>11</v>
      </c>
    </row>
    <row r="23" spans="1:19" ht="15">
      <c r="A23" s="29" t="s">
        <v>22</v>
      </c>
      <c r="B23" s="30">
        <v>447</v>
      </c>
      <c r="C23" s="31">
        <v>-267.95999999999998</v>
      </c>
      <c r="D23" s="32">
        <v>-267.95999999999998</v>
      </c>
      <c r="E23" s="32"/>
      <c r="F23" s="32"/>
      <c r="G23" s="32"/>
      <c r="H23" s="32"/>
      <c r="I23" s="33">
        <v>-980.57140000000004</v>
      </c>
      <c r="J23" s="32">
        <v>1</v>
      </c>
      <c r="K23" s="34">
        <f>Table178910111213235787[[#This Row],[On Time Counts]]/45</f>
        <v>2.2222222222222223E-2</v>
      </c>
      <c r="L23" s="35">
        <v>6806.79</v>
      </c>
      <c r="M23" s="36">
        <f>Table178910111213235787[[#This Row],[Wipers +/-]]/Table178910111213235787[[#This Row],[Comp Sales]]</f>
        <v>0</v>
      </c>
      <c r="N23" s="37">
        <v>0</v>
      </c>
      <c r="O23" s="36">
        <f>Table178910111213235787[[#This Row],[Big 4 Items]]/Table178910111213235787[[#This Row],[Oil +/- ]]</f>
        <v>0</v>
      </c>
      <c r="P23" s="38">
        <f>J23/S23</f>
        <v>9.0909090909090912E-2</v>
      </c>
      <c r="S23" s="6">
        <f t="shared" si="8"/>
        <v>11</v>
      </c>
    </row>
    <row r="24" spans="1:19" ht="15">
      <c r="A24" s="29" t="s">
        <v>22</v>
      </c>
      <c r="B24" s="30">
        <v>448</v>
      </c>
      <c r="C24" s="31">
        <v>991.25</v>
      </c>
      <c r="D24" s="32">
        <v>991.25</v>
      </c>
      <c r="E24" s="32">
        <v>45</v>
      </c>
      <c r="F24" s="32">
        <v>-54</v>
      </c>
      <c r="G24" s="32">
        <v>-60</v>
      </c>
      <c r="H24" s="32">
        <v>-44</v>
      </c>
      <c r="I24" s="33">
        <v>3838.0005999999998</v>
      </c>
      <c r="J24" s="32">
        <v>8</v>
      </c>
      <c r="K24" s="34">
        <f>Table178910111213235787[[#This Row],[On Time Counts]]/45</f>
        <v>0.17777777777777778</v>
      </c>
      <c r="L24" s="35">
        <v>3933.29</v>
      </c>
      <c r="M24" s="36">
        <f>Table178910111213235787[[#This Row],[Wipers +/-]]/Table178910111213235787[[#This Row],[Comp Sales]]</f>
        <v>-1.5254405345143633E-2</v>
      </c>
      <c r="N24" s="37">
        <v>0</v>
      </c>
      <c r="O24" s="36">
        <f>Table178910111213235787[[#This Row],[Big 4 Items]]/Table178910111213235787[[#This Row],[Oil +/- ]]</f>
        <v>0</v>
      </c>
      <c r="P24" s="38">
        <f>J24/S24</f>
        <v>0.72727272727272729</v>
      </c>
      <c r="S24" s="6">
        <f t="shared" si="8"/>
        <v>11</v>
      </c>
    </row>
    <row r="25" spans="1:19" ht="15">
      <c r="A25" s="29" t="s">
        <v>22</v>
      </c>
      <c r="B25" s="30">
        <v>531</v>
      </c>
      <c r="C25" s="31">
        <v>-396.28</v>
      </c>
      <c r="D25" s="32">
        <v>-396.28</v>
      </c>
      <c r="E25" s="32">
        <v>0</v>
      </c>
      <c r="F25" s="32">
        <v>-20</v>
      </c>
      <c r="G25" s="32">
        <v>13</v>
      </c>
      <c r="H25" s="32">
        <v>-13</v>
      </c>
      <c r="I25" s="33">
        <v>-1468.9195999999999</v>
      </c>
      <c r="J25" s="32">
        <v>9</v>
      </c>
      <c r="K25" s="34">
        <f>Table178910111213235787[[#This Row],[On Time Counts]]/45</f>
        <v>0.2</v>
      </c>
      <c r="L25" s="35">
        <v>6987.69</v>
      </c>
      <c r="M25" s="36">
        <f>Table178910111213235787[[#This Row],[Wipers +/-]]/Table178910111213235787[[#This Row],[Comp Sales]]</f>
        <v>1.8604145289788186E-3</v>
      </c>
      <c r="N25" s="37">
        <v>0</v>
      </c>
      <c r="O25" s="36">
        <f>Table178910111213235787[[#This Row],[Big 4 Items]]/Table178910111213235787[[#This Row],[Oil +/- ]]</f>
        <v>0</v>
      </c>
      <c r="P25" s="38">
        <f>J25/S25</f>
        <v>0.81818181818181823</v>
      </c>
      <c r="S25" s="6">
        <f t="shared" si="8"/>
        <v>11</v>
      </c>
    </row>
    <row r="26" spans="1:19" ht="15">
      <c r="A26" s="29" t="s">
        <v>22</v>
      </c>
      <c r="B26" s="30">
        <v>832</v>
      </c>
      <c r="C26" s="31">
        <v>-515</v>
      </c>
      <c r="D26" s="32">
        <v>-515</v>
      </c>
      <c r="E26" s="32">
        <v>199</v>
      </c>
      <c r="F26" s="32">
        <v>8</v>
      </c>
      <c r="G26" s="32">
        <v>-4</v>
      </c>
      <c r="H26" s="32">
        <v>-8</v>
      </c>
      <c r="I26" s="33">
        <v>-2240.94</v>
      </c>
      <c r="J26" s="32">
        <v>10</v>
      </c>
      <c r="K26" s="34">
        <f>Table178910111213235787[[#This Row],[On Time Counts]]/45</f>
        <v>0.22222222222222221</v>
      </c>
      <c r="L26" s="35">
        <v>5562.48</v>
      </c>
      <c r="M26" s="36">
        <f>Table178910111213235787[[#This Row],[Wipers +/-]]/Table178910111213235787[[#This Row],[Comp Sales]]</f>
        <v>-7.1910370913693181E-4</v>
      </c>
      <c r="N26" s="37">
        <v>0</v>
      </c>
      <c r="O26" s="36">
        <f>Table178910111213235787[[#This Row],[Big 4 Items]]/Table178910111213235787[[#This Row],[Oil +/- ]]</f>
        <v>0</v>
      </c>
      <c r="P26" s="38">
        <f>J26/S26</f>
        <v>0.90909090909090906</v>
      </c>
      <c r="S26" s="6">
        <f t="shared" si="8"/>
        <v>11</v>
      </c>
    </row>
    <row r="27" spans="1:19" ht="15">
      <c r="A27" s="29" t="s">
        <v>23</v>
      </c>
      <c r="B27" s="30">
        <v>3</v>
      </c>
      <c r="C27" s="31"/>
      <c r="D27" s="32"/>
      <c r="E27" s="32"/>
      <c r="F27" s="32"/>
      <c r="G27" s="32"/>
      <c r="H27" s="32"/>
      <c r="I27" s="33"/>
      <c r="J27" s="32"/>
      <c r="K27" s="34">
        <f>Table178910111213235787[[#This Row],[On Time Counts]]/45</f>
        <v>0</v>
      </c>
      <c r="L27" s="35">
        <v>10385.27</v>
      </c>
      <c r="M27" s="36">
        <f>Table178910111213235787[[#This Row],[Wipers +/-]]/Table178910111213235787[[#This Row],[Comp Sales]]</f>
        <v>0</v>
      </c>
      <c r="N27" s="37">
        <v>0</v>
      </c>
      <c r="O27" s="36" t="e">
        <f>Table178910111213235787[[#This Row],[Big 4 Items]]/Table178910111213235787[[#This Row],[Oil +/- ]]</f>
        <v>#DIV/0!</v>
      </c>
      <c r="P27" s="38">
        <f>J27/S27</f>
        <v>0</v>
      </c>
      <c r="S27" s="6">
        <f t="shared" si="8"/>
        <v>11</v>
      </c>
    </row>
    <row r="28" spans="1:19" ht="15">
      <c r="A28" s="29" t="s">
        <v>23</v>
      </c>
      <c r="B28" s="30">
        <v>5</v>
      </c>
      <c r="C28" s="31">
        <v>1117</v>
      </c>
      <c r="D28" s="32">
        <v>749</v>
      </c>
      <c r="E28" s="32">
        <v>40</v>
      </c>
      <c r="F28" s="32">
        <v>32</v>
      </c>
      <c r="G28" s="32">
        <v>24</v>
      </c>
      <c r="H28" s="32">
        <v>60</v>
      </c>
      <c r="I28" s="33">
        <v>2329.12</v>
      </c>
      <c r="J28" s="32">
        <v>7</v>
      </c>
      <c r="K28" s="34">
        <f>Table178910111213235787[[#This Row],[On Time Counts]]/45</f>
        <v>0.15555555555555556</v>
      </c>
      <c r="L28" s="35">
        <v>5512.41</v>
      </c>
      <c r="M28" s="36">
        <f>Table178910111213235787[[#This Row],[Wipers +/-]]/Table178910111213235787[[#This Row],[Comp Sales]]</f>
        <v>4.3538125792529948E-3</v>
      </c>
      <c r="N28" s="37">
        <v>0</v>
      </c>
      <c r="O28" s="36">
        <f>Table178910111213235787[[#This Row],[Big 4 Items]]/Table178910111213235787[[#This Row],[Oil +/- ]]</f>
        <v>0</v>
      </c>
      <c r="P28" s="38">
        <f>J28/S28</f>
        <v>0.63636363636363635</v>
      </c>
      <c r="S28" s="6">
        <f t="shared" si="8"/>
        <v>11</v>
      </c>
    </row>
    <row r="29" spans="1:19" ht="15">
      <c r="A29" s="29" t="s">
        <v>23</v>
      </c>
      <c r="B29" s="30">
        <v>11</v>
      </c>
      <c r="C29" s="31">
        <v>58</v>
      </c>
      <c r="D29" s="32">
        <v>-15</v>
      </c>
      <c r="E29" s="32">
        <v>3</v>
      </c>
      <c r="F29" s="32">
        <v>0</v>
      </c>
      <c r="G29" s="32">
        <v>-4</v>
      </c>
      <c r="H29" s="32">
        <v>-3</v>
      </c>
      <c r="I29" s="33">
        <v>492.22</v>
      </c>
      <c r="J29" s="32">
        <v>11</v>
      </c>
      <c r="K29" s="34">
        <f>Table178910111213235787[[#This Row],[On Time Counts]]/45</f>
        <v>0.24444444444444444</v>
      </c>
      <c r="L29" s="35">
        <v>7892.5</v>
      </c>
      <c r="M29" s="36">
        <f>Table178910111213235787[[#This Row],[Wipers +/-]]/Table178910111213235787[[#This Row],[Comp Sales]]</f>
        <v>-5.0681026290782388E-4</v>
      </c>
      <c r="N29" s="37">
        <v>0</v>
      </c>
      <c r="O29" s="36">
        <f>Table178910111213235787[[#This Row],[Big 4 Items]]/Table178910111213235787[[#This Row],[Oil +/- ]]</f>
        <v>0</v>
      </c>
      <c r="P29" s="38">
        <f>J29/S29</f>
        <v>1</v>
      </c>
      <c r="S29" s="6">
        <f t="shared" si="8"/>
        <v>11</v>
      </c>
    </row>
    <row r="30" spans="1:19" ht="15">
      <c r="A30" s="29" t="s">
        <v>23</v>
      </c>
      <c r="B30" s="30">
        <v>14</v>
      </c>
      <c r="C30" s="31">
        <v>171</v>
      </c>
      <c r="D30" s="32">
        <v>171</v>
      </c>
      <c r="E30" s="32">
        <v>25</v>
      </c>
      <c r="F30" s="32">
        <v>6</v>
      </c>
      <c r="G30" s="32">
        <v>9</v>
      </c>
      <c r="H30" s="32">
        <v>0</v>
      </c>
      <c r="I30" s="33">
        <v>901.9</v>
      </c>
      <c r="J30" s="32">
        <v>7</v>
      </c>
      <c r="K30" s="34">
        <f>Table178910111213235787[[#This Row],[On Time Counts]]/45</f>
        <v>0.15555555555555556</v>
      </c>
      <c r="L30" s="35">
        <v>3854.43</v>
      </c>
      <c r="M30" s="36">
        <f>Table178910111213235787[[#This Row],[Wipers +/-]]/Table178910111213235787[[#This Row],[Comp Sales]]</f>
        <v>2.3349755995049851E-3</v>
      </c>
      <c r="N30" s="37">
        <v>0</v>
      </c>
      <c r="O30" s="36">
        <f>Table178910111213235787[[#This Row],[Big 4 Items]]/Table178910111213235787[[#This Row],[Oil +/- ]]</f>
        <v>0</v>
      </c>
      <c r="P30" s="38">
        <f>J30/S30</f>
        <v>0.63636363636363635</v>
      </c>
      <c r="S30" s="6">
        <f t="shared" si="8"/>
        <v>11</v>
      </c>
    </row>
    <row r="31" spans="1:19" ht="15">
      <c r="A31" s="29" t="s">
        <v>23</v>
      </c>
      <c r="B31" s="30">
        <v>20</v>
      </c>
      <c r="C31" s="31"/>
      <c r="D31" s="32"/>
      <c r="E31" s="32"/>
      <c r="F31" s="32">
        <v>6</v>
      </c>
      <c r="G31" s="32"/>
      <c r="H31" s="32">
        <v>-2</v>
      </c>
      <c r="I31" s="33">
        <v>18.91</v>
      </c>
      <c r="J31" s="32">
        <v>1</v>
      </c>
      <c r="K31" s="34">
        <f>Table178910111213235787[[#This Row],[On Time Counts]]/45</f>
        <v>2.2222222222222223E-2</v>
      </c>
      <c r="L31" s="35">
        <v>6979.44</v>
      </c>
      <c r="M31" s="36">
        <f>Table178910111213235787[[#This Row],[Wipers +/-]]/Table178910111213235787[[#This Row],[Comp Sales]]</f>
        <v>0</v>
      </c>
      <c r="N31" s="37">
        <v>0</v>
      </c>
      <c r="O31" s="36" t="e">
        <f>Table178910111213235787[[#This Row],[Big 4 Items]]/Table178910111213235787[[#This Row],[Oil +/- ]]</f>
        <v>#DIV/0!</v>
      </c>
      <c r="P31" s="38">
        <f>J31/S31</f>
        <v>9.0909090909090912E-2</v>
      </c>
      <c r="S31" s="6">
        <f t="shared" si="8"/>
        <v>11</v>
      </c>
    </row>
    <row r="32" spans="1:19" ht="15">
      <c r="A32" s="29" t="s">
        <v>23</v>
      </c>
      <c r="B32" s="30">
        <v>21</v>
      </c>
      <c r="C32" s="31">
        <v>-22</v>
      </c>
      <c r="D32" s="32">
        <v>-16</v>
      </c>
      <c r="E32" s="32">
        <v>7</v>
      </c>
      <c r="F32" s="32">
        <v>0</v>
      </c>
      <c r="G32" s="32">
        <v>0</v>
      </c>
      <c r="H32" s="32">
        <v>1</v>
      </c>
      <c r="I32" s="33">
        <v>-117.47</v>
      </c>
      <c r="J32" s="32">
        <v>10</v>
      </c>
      <c r="K32" s="34">
        <f>Table178910111213235787[[#This Row],[On Time Counts]]/45</f>
        <v>0.22222222222222221</v>
      </c>
      <c r="L32" s="35">
        <v>7573.54</v>
      </c>
      <c r="M32" s="36">
        <f>Table178910111213235787[[#This Row],[Wipers +/-]]/Table178910111213235787[[#This Row],[Comp Sales]]</f>
        <v>0</v>
      </c>
      <c r="N32" s="37">
        <v>0</v>
      </c>
      <c r="O32" s="36">
        <f>Table178910111213235787[[#This Row],[Big 4 Items]]/Table178910111213235787[[#This Row],[Oil +/- ]]</f>
        <v>0</v>
      </c>
      <c r="P32" s="38">
        <f>J32/S32</f>
        <v>0.90909090909090906</v>
      </c>
      <c r="S32" s="6">
        <f t="shared" si="8"/>
        <v>11</v>
      </c>
    </row>
    <row r="33" spans="1:19" ht="15">
      <c r="A33" s="29" t="s">
        <v>23</v>
      </c>
      <c r="B33" s="30">
        <v>23</v>
      </c>
      <c r="C33" s="31">
        <v>253</v>
      </c>
      <c r="D33" s="32">
        <v>40</v>
      </c>
      <c r="E33" s="32">
        <v>3</v>
      </c>
      <c r="F33" s="32"/>
      <c r="G33" s="32">
        <v>1</v>
      </c>
      <c r="H33" s="32">
        <v>1</v>
      </c>
      <c r="I33" s="33">
        <v>305.62</v>
      </c>
      <c r="J33" s="32">
        <v>3</v>
      </c>
      <c r="K33" s="34">
        <f>Table178910111213235787[[#This Row],[On Time Counts]]/45</f>
        <v>6.6666666666666666E-2</v>
      </c>
      <c r="L33" s="35">
        <v>5842.02</v>
      </c>
      <c r="M33" s="36">
        <f>Table178910111213235787[[#This Row],[Wipers +/-]]/Table178910111213235787[[#This Row],[Comp Sales]]</f>
        <v>1.7117366938148104E-4</v>
      </c>
      <c r="N33" s="37">
        <v>0</v>
      </c>
      <c r="O33" s="36">
        <f>Table178910111213235787[[#This Row],[Big 4 Items]]/Table178910111213235787[[#This Row],[Oil +/- ]]</f>
        <v>0</v>
      </c>
      <c r="P33" s="38">
        <f>J33/S33</f>
        <v>0.27272727272727271</v>
      </c>
      <c r="S33" s="6">
        <f t="shared" si="8"/>
        <v>11</v>
      </c>
    </row>
    <row r="34" spans="1:19" ht="15">
      <c r="A34" s="29" t="s">
        <v>23</v>
      </c>
      <c r="B34" s="30">
        <v>24</v>
      </c>
      <c r="C34" s="31">
        <v>1386</v>
      </c>
      <c r="D34" s="32">
        <v>1177</v>
      </c>
      <c r="E34" s="32">
        <v>264</v>
      </c>
      <c r="F34" s="32">
        <v>-20</v>
      </c>
      <c r="G34" s="32">
        <v>9</v>
      </c>
      <c r="H34" s="32">
        <v>11</v>
      </c>
      <c r="I34" s="33">
        <v>9143.5400000000009</v>
      </c>
      <c r="J34" s="32">
        <v>6</v>
      </c>
      <c r="K34" s="34">
        <f>Table178910111213235787[[#This Row],[On Time Counts]]/45</f>
        <v>0.13333333333333333</v>
      </c>
      <c r="L34" s="35">
        <v>6567.35</v>
      </c>
      <c r="M34" s="36">
        <f>Table178910111213235787[[#This Row],[Wipers +/-]]/Table178910111213235787[[#This Row],[Comp Sales]]</f>
        <v>1.3704157689174476E-3</v>
      </c>
      <c r="N34" s="37">
        <v>0</v>
      </c>
      <c r="O34" s="36">
        <f>Table178910111213235787[[#This Row],[Big 4 Items]]/Table178910111213235787[[#This Row],[Oil +/- ]]</f>
        <v>0</v>
      </c>
      <c r="P34" s="38">
        <f>J34/S34</f>
        <v>0.54545454545454541</v>
      </c>
      <c r="S34" s="6">
        <f t="shared" si="8"/>
        <v>11</v>
      </c>
    </row>
    <row r="35" spans="1:19" ht="15">
      <c r="A35" s="29" t="s">
        <v>23</v>
      </c>
      <c r="B35" s="30">
        <v>26</v>
      </c>
      <c r="C35" s="31">
        <v>131</v>
      </c>
      <c r="D35" s="32">
        <v>232</v>
      </c>
      <c r="E35" s="32"/>
      <c r="F35" s="32">
        <v>32</v>
      </c>
      <c r="G35" s="32">
        <v>-51</v>
      </c>
      <c r="H35" s="32">
        <v>8</v>
      </c>
      <c r="I35" s="33">
        <v>1230.52</v>
      </c>
      <c r="J35" s="32">
        <v>9</v>
      </c>
      <c r="K35" s="34">
        <f>Table178910111213235787[[#This Row],[On Time Counts]]/45</f>
        <v>0.2</v>
      </c>
      <c r="L35" s="35">
        <v>5286.48</v>
      </c>
      <c r="M35" s="36">
        <f>Table178910111213235787[[#This Row],[Wipers +/-]]/Table178910111213235787[[#This Row],[Comp Sales]]</f>
        <v>-9.6472511009215965E-3</v>
      </c>
      <c r="N35" s="37">
        <v>0</v>
      </c>
      <c r="O35" s="36">
        <f>Table178910111213235787[[#This Row],[Big 4 Items]]/Table178910111213235787[[#This Row],[Oil +/- ]]</f>
        <v>0</v>
      </c>
      <c r="P35" s="38">
        <f>J35/S35</f>
        <v>0.81818181818181823</v>
      </c>
      <c r="S35" s="6">
        <f t="shared" si="8"/>
        <v>11</v>
      </c>
    </row>
    <row r="36" spans="1:19" ht="15">
      <c r="A36" s="29" t="s">
        <v>24</v>
      </c>
      <c r="B36" s="30">
        <v>46</v>
      </c>
      <c r="C36" s="31">
        <v>-101</v>
      </c>
      <c r="D36" s="32">
        <v>-101</v>
      </c>
      <c r="E36" s="32">
        <v>-10</v>
      </c>
      <c r="F36" s="32">
        <v>1</v>
      </c>
      <c r="G36" s="32">
        <v>-1</v>
      </c>
      <c r="H36" s="32">
        <v>-1</v>
      </c>
      <c r="I36" s="33">
        <v>-314.54000000000002</v>
      </c>
      <c r="J36" s="32">
        <v>10</v>
      </c>
      <c r="K36" s="34">
        <f>Table178910111213235787[[#This Row],[On Time Counts]]/45</f>
        <v>0.22222222222222221</v>
      </c>
      <c r="L36" s="35">
        <v>4596.08</v>
      </c>
      <c r="M36" s="36">
        <f>Table178910111213235787[[#This Row],[Wipers +/-]]/Table178910111213235787[[#This Row],[Comp Sales]]</f>
        <v>-2.1757671755060835E-4</v>
      </c>
      <c r="N36" s="39">
        <v>0</v>
      </c>
      <c r="O36" s="36">
        <f>Table178910111213235787[[#This Row],[Big 4 Items]]/Table178910111213235787[[#This Row],[Oil +/- ]]</f>
        <v>0</v>
      </c>
      <c r="P36" s="38">
        <f>J36/S36</f>
        <v>0.90909090909090906</v>
      </c>
      <c r="S36" s="6">
        <f t="shared" si="8"/>
        <v>11</v>
      </c>
    </row>
    <row r="37" spans="1:19" ht="15">
      <c r="A37" s="29" t="s">
        <v>24</v>
      </c>
      <c r="B37" s="30">
        <v>283</v>
      </c>
      <c r="C37" s="31">
        <v>470</v>
      </c>
      <c r="D37" s="32">
        <v>-40</v>
      </c>
      <c r="E37" s="32">
        <v>-292</v>
      </c>
      <c r="F37" s="32">
        <v>1</v>
      </c>
      <c r="G37" s="32">
        <v>1</v>
      </c>
      <c r="H37" s="32"/>
      <c r="I37" s="33">
        <v>-576.55999999999995</v>
      </c>
      <c r="J37" s="32">
        <v>6</v>
      </c>
      <c r="K37" s="34">
        <f>Table178910111213235787[[#This Row],[On Time Counts]]/45</f>
        <v>0.13333333333333333</v>
      </c>
      <c r="L37" s="35">
        <v>7096.63</v>
      </c>
      <c r="M37" s="36">
        <f>Table178910111213235787[[#This Row],[Wipers +/-]]/Table178910111213235787[[#This Row],[Comp Sales]]</f>
        <v>1.4091195398379229E-4</v>
      </c>
      <c r="N37" s="37">
        <v>0</v>
      </c>
      <c r="O37" s="36">
        <f>Table178910111213235787[[#This Row],[Big 4 Items]]/Table178910111213235787[[#This Row],[Oil +/- ]]</f>
        <v>0</v>
      </c>
      <c r="P37" s="38">
        <f>J37/S37</f>
        <v>0.54545454545454541</v>
      </c>
      <c r="S37" s="6">
        <f t="shared" si="8"/>
        <v>11</v>
      </c>
    </row>
    <row r="38" spans="1:19" ht="15">
      <c r="A38" s="29" t="s">
        <v>24</v>
      </c>
      <c r="B38" s="30">
        <v>847</v>
      </c>
      <c r="C38" s="31">
        <v>72</v>
      </c>
      <c r="D38" s="32">
        <v>72</v>
      </c>
      <c r="E38" s="32">
        <v>70</v>
      </c>
      <c r="F38" s="32">
        <v>-3</v>
      </c>
      <c r="G38" s="32">
        <v>-34</v>
      </c>
      <c r="H38" s="32"/>
      <c r="I38" s="33">
        <v>588.9</v>
      </c>
      <c r="J38" s="32">
        <v>5</v>
      </c>
      <c r="K38" s="34">
        <f>Table178910111213235787[[#This Row],[On Time Counts]]/45</f>
        <v>0.1111111111111111</v>
      </c>
      <c r="L38" s="35">
        <v>6662.04</v>
      </c>
      <c r="M38" s="36">
        <f>Table178910111213235787[[#This Row],[Wipers +/-]]/Table178910111213235787[[#This Row],[Comp Sales]]</f>
        <v>-5.1035418580494861E-3</v>
      </c>
      <c r="N38" s="37">
        <v>0</v>
      </c>
      <c r="O38" s="36">
        <f>Table178910111213235787[[#This Row],[Big 4 Items]]/Table178910111213235787[[#This Row],[Oil +/- ]]</f>
        <v>0</v>
      </c>
      <c r="P38" s="38">
        <f>J38/S38</f>
        <v>0.45454545454545453</v>
      </c>
      <c r="S38" s="6">
        <f t="shared" si="8"/>
        <v>11</v>
      </c>
    </row>
    <row r="39" spans="1:19" ht="15">
      <c r="A39" s="29" t="s">
        <v>24</v>
      </c>
      <c r="B39" s="30">
        <v>865</v>
      </c>
      <c r="C39" s="31">
        <v>112</v>
      </c>
      <c r="D39" s="32">
        <v>34</v>
      </c>
      <c r="E39" s="32">
        <v>3</v>
      </c>
      <c r="F39" s="32">
        <v>24</v>
      </c>
      <c r="G39" s="32">
        <v>10</v>
      </c>
      <c r="H39" s="32">
        <v>1</v>
      </c>
      <c r="I39" s="33">
        <v>385.26</v>
      </c>
      <c r="J39" s="32">
        <v>10</v>
      </c>
      <c r="K39" s="34">
        <f>Table178910111213235787[[#This Row],[On Time Counts]]/45</f>
        <v>0.22222222222222221</v>
      </c>
      <c r="L39" s="35">
        <v>3219.44</v>
      </c>
      <c r="M39" s="36">
        <f>Table178910111213235787[[#This Row],[Wipers +/-]]/Table178910111213235787[[#This Row],[Comp Sales]]</f>
        <v>3.1061302586785277E-3</v>
      </c>
      <c r="N39" s="37">
        <v>0</v>
      </c>
      <c r="O39" s="36">
        <f>Table178910111213235787[[#This Row],[Big 4 Items]]/Table178910111213235787[[#This Row],[Oil +/- ]]</f>
        <v>0</v>
      </c>
      <c r="P39" s="38">
        <f>J39/S39</f>
        <v>0.90909090909090906</v>
      </c>
      <c r="S39" s="6">
        <f t="shared" si="8"/>
        <v>11</v>
      </c>
    </row>
    <row r="40" spans="1:19" ht="15">
      <c r="A40" s="29" t="s">
        <v>24</v>
      </c>
      <c r="B40" s="30">
        <v>919</v>
      </c>
      <c r="C40" s="31">
        <v>-138</v>
      </c>
      <c r="D40" s="32">
        <v>-146</v>
      </c>
      <c r="E40" s="32">
        <v>-2</v>
      </c>
      <c r="F40" s="32">
        <v>1</v>
      </c>
      <c r="G40" s="32"/>
      <c r="H40" s="32"/>
      <c r="I40" s="33">
        <v>-405.8</v>
      </c>
      <c r="J40" s="32">
        <v>8</v>
      </c>
      <c r="K40" s="34">
        <f>Table178910111213235787[[#This Row],[On Time Counts]]/45</f>
        <v>0.17777777777777778</v>
      </c>
      <c r="L40" s="35">
        <v>3981.57</v>
      </c>
      <c r="M40" s="36">
        <f>Table178910111213235787[[#This Row],[Wipers +/-]]/Table178910111213235787[[#This Row],[Comp Sales]]</f>
        <v>0</v>
      </c>
      <c r="N40" s="37">
        <v>0</v>
      </c>
      <c r="O40" s="36">
        <f>Table178910111213235787[[#This Row],[Big 4 Items]]/Table178910111213235787[[#This Row],[Oil +/- ]]</f>
        <v>0</v>
      </c>
      <c r="P40" s="38">
        <f>J40/S40</f>
        <v>0.72727272727272729</v>
      </c>
      <c r="S40" s="6">
        <f t="shared" si="8"/>
        <v>11</v>
      </c>
    </row>
    <row r="41" spans="1:19" ht="15">
      <c r="A41" s="29" t="s">
        <v>24</v>
      </c>
      <c r="B41" s="30">
        <v>954</v>
      </c>
      <c r="C41" s="31">
        <v>413</v>
      </c>
      <c r="D41" s="32">
        <v>408</v>
      </c>
      <c r="E41" s="32">
        <v>-13</v>
      </c>
      <c r="F41" s="32">
        <v>-12</v>
      </c>
      <c r="G41" s="32"/>
      <c r="H41" s="32"/>
      <c r="I41" s="33">
        <v>989.57</v>
      </c>
      <c r="J41" s="32">
        <v>7</v>
      </c>
      <c r="K41" s="34">
        <f>Table178910111213235787[[#This Row],[On Time Counts]]/45</f>
        <v>0.15555555555555556</v>
      </c>
      <c r="L41" s="35"/>
      <c r="M41" s="36" t="e">
        <f>Table178910111213235787[[#This Row],[Wipers +/-]]/Table178910111213235787[[#This Row],[Comp Sales]]</f>
        <v>#DIV/0!</v>
      </c>
      <c r="N41" s="39"/>
      <c r="O41" s="36">
        <f>Table178910111213235787[[#This Row],[Big 4 Items]]/Table178910111213235787[[#This Row],[Oil +/- ]]</f>
        <v>0</v>
      </c>
      <c r="P41" s="38">
        <f>J41/S41</f>
        <v>0.63636363636363635</v>
      </c>
      <c r="S41" s="6">
        <f t="shared" si="8"/>
        <v>11</v>
      </c>
    </row>
    <row r="42" spans="1:19" ht="15">
      <c r="A42" s="29" t="s">
        <v>24</v>
      </c>
      <c r="B42" s="30">
        <v>3017</v>
      </c>
      <c r="C42" s="31">
        <v>-36</v>
      </c>
      <c r="D42" s="32">
        <v>-64</v>
      </c>
      <c r="E42" s="32">
        <v>-33</v>
      </c>
      <c r="F42" s="32">
        <v>-1</v>
      </c>
      <c r="G42" s="32"/>
      <c r="H42" s="32">
        <v>-5</v>
      </c>
      <c r="I42" s="33">
        <v>-443.9</v>
      </c>
      <c r="J42" s="32">
        <v>10</v>
      </c>
      <c r="K42" s="34">
        <f>Table178910111213235787[[#This Row],[On Time Counts]]/45</f>
        <v>0.22222222222222221</v>
      </c>
      <c r="L42" s="35">
        <v>4219.46</v>
      </c>
      <c r="M42" s="36">
        <f>Table178910111213235787[[#This Row],[Wipers +/-]]/Table178910111213235787[[#This Row],[Comp Sales]]</f>
        <v>0</v>
      </c>
      <c r="N42" s="37">
        <v>0</v>
      </c>
      <c r="O42" s="36">
        <f>Table178910111213235787[[#This Row],[Big 4 Items]]/Table178910111213235787[[#This Row],[Oil +/- ]]</f>
        <v>0</v>
      </c>
      <c r="P42" s="38">
        <f>J42/S42</f>
        <v>0.90909090909090906</v>
      </c>
      <c r="S42" s="6">
        <f t="shared" si="8"/>
        <v>11</v>
      </c>
    </row>
    <row r="43" spans="1:19" ht="15">
      <c r="A43" s="29" t="s">
        <v>25</v>
      </c>
      <c r="B43" s="30">
        <v>29</v>
      </c>
      <c r="C43" s="31">
        <v>4</v>
      </c>
      <c r="D43" s="32">
        <v>4</v>
      </c>
      <c r="E43" s="32">
        <v>-1</v>
      </c>
      <c r="F43" s="32"/>
      <c r="G43" s="32"/>
      <c r="H43" s="32"/>
      <c r="I43" s="33">
        <v>10.85</v>
      </c>
      <c r="J43" s="32">
        <v>6</v>
      </c>
      <c r="K43" s="34">
        <f>Table178910111213235787[[#This Row],[On Time Counts]]/45</f>
        <v>0.13333333333333333</v>
      </c>
      <c r="L43" s="35">
        <v>6761.54</v>
      </c>
      <c r="M43" s="36">
        <f>Table178910111213235787[[#This Row],[Wipers +/-]]/Table178910111213235787[[#This Row],[Comp Sales]]</f>
        <v>0</v>
      </c>
      <c r="N43" s="37">
        <v>0</v>
      </c>
      <c r="O43" s="36">
        <f>Table178910111213235787[[#This Row],[Big 4 Items]]/Table178910111213235787[[#This Row],[Oil +/- ]]</f>
        <v>0</v>
      </c>
      <c r="P43" s="38">
        <f>J43/S43</f>
        <v>0.54545454545454541</v>
      </c>
      <c r="S43" s="6">
        <f t="shared" si="8"/>
        <v>11</v>
      </c>
    </row>
    <row r="44" spans="1:19" ht="15">
      <c r="A44" s="29" t="s">
        <v>25</v>
      </c>
      <c r="B44" s="30">
        <v>40</v>
      </c>
      <c r="C44" s="31">
        <v>-26</v>
      </c>
      <c r="D44" s="32">
        <v>-26</v>
      </c>
      <c r="E44" s="32">
        <v>3</v>
      </c>
      <c r="F44" s="32">
        <v>-34</v>
      </c>
      <c r="G44" s="32"/>
      <c r="H44" s="32"/>
      <c r="I44" s="33">
        <v>-229.13</v>
      </c>
      <c r="J44" s="32">
        <v>7</v>
      </c>
      <c r="K44" s="34">
        <f>Table178910111213235787[[#This Row],[On Time Counts]]/45</f>
        <v>0.15555555555555556</v>
      </c>
      <c r="L44" s="35">
        <v>4100.43</v>
      </c>
      <c r="M44" s="36">
        <f>Table178910111213235787[[#This Row],[Wipers +/-]]/Table178910111213235787[[#This Row],[Comp Sales]]</f>
        <v>0</v>
      </c>
      <c r="N44" s="37">
        <v>0</v>
      </c>
      <c r="O44" s="36">
        <f>Table178910111213235787[[#This Row],[Big 4 Items]]/Table178910111213235787[[#This Row],[Oil +/- ]]</f>
        <v>0</v>
      </c>
      <c r="P44" s="38">
        <f>J44/S44</f>
        <v>0.63636363636363635</v>
      </c>
      <c r="S44" s="6">
        <f t="shared" si="8"/>
        <v>11</v>
      </c>
    </row>
    <row r="45" spans="1:19" ht="15">
      <c r="A45" s="29" t="s">
        <v>25</v>
      </c>
      <c r="B45" s="30">
        <v>280</v>
      </c>
      <c r="C45" s="31">
        <v>161</v>
      </c>
      <c r="D45" s="32">
        <v>63</v>
      </c>
      <c r="E45" s="32">
        <v>27</v>
      </c>
      <c r="F45" s="32">
        <v>-1</v>
      </c>
      <c r="G45" s="32"/>
      <c r="H45" s="32"/>
      <c r="I45" s="33">
        <v>333.14</v>
      </c>
      <c r="J45" s="32">
        <v>9</v>
      </c>
      <c r="K45" s="34">
        <f>Table178910111213235787[[#This Row],[On Time Counts]]/45</f>
        <v>0.2</v>
      </c>
      <c r="L45" s="35">
        <v>2513.65</v>
      </c>
      <c r="M45" s="36">
        <f>Table178910111213235787[[#This Row],[Wipers +/-]]/Table178910111213235787[[#This Row],[Comp Sales]]</f>
        <v>0</v>
      </c>
      <c r="N45" s="37">
        <v>0</v>
      </c>
      <c r="O45" s="36">
        <f>Table178910111213235787[[#This Row],[Big 4 Items]]/Table178910111213235787[[#This Row],[Oil +/- ]]</f>
        <v>0</v>
      </c>
      <c r="P45" s="38">
        <f>J45/S45</f>
        <v>0.81818181818181823</v>
      </c>
      <c r="S45" s="6">
        <f t="shared" si="8"/>
        <v>11</v>
      </c>
    </row>
    <row r="46" spans="1:19" ht="15">
      <c r="A46" s="29" t="s">
        <v>25</v>
      </c>
      <c r="B46" s="30">
        <v>599</v>
      </c>
      <c r="C46" s="31">
        <v>179</v>
      </c>
      <c r="D46" s="32">
        <v>163</v>
      </c>
      <c r="E46" s="32">
        <v>-8</v>
      </c>
      <c r="F46" s="32">
        <v>-1</v>
      </c>
      <c r="G46" s="32">
        <v>1</v>
      </c>
      <c r="H46" s="32">
        <v>-1</v>
      </c>
      <c r="I46" s="33">
        <v>896.26</v>
      </c>
      <c r="J46" s="32">
        <v>11</v>
      </c>
      <c r="K46" s="34">
        <f>Table178910111213235787[[#This Row],[On Time Counts]]/45</f>
        <v>0.24444444444444444</v>
      </c>
      <c r="L46" s="35">
        <v>2026.59</v>
      </c>
      <c r="M46" s="36">
        <f>Table178910111213235787[[#This Row],[Wipers +/-]]/Table178910111213235787[[#This Row],[Comp Sales]]</f>
        <v>4.9343971893673613E-4</v>
      </c>
      <c r="N46" s="37">
        <v>0</v>
      </c>
      <c r="O46" s="36">
        <f>Table178910111213235787[[#This Row],[Big 4 Items]]/Table178910111213235787[[#This Row],[Oil +/- ]]</f>
        <v>0</v>
      </c>
      <c r="P46" s="38">
        <f>J46/S46</f>
        <v>1</v>
      </c>
      <c r="S46" s="6">
        <f t="shared" si="8"/>
        <v>11</v>
      </c>
    </row>
    <row r="47" spans="1:19" ht="15">
      <c r="A47" s="29" t="s">
        <v>25</v>
      </c>
      <c r="B47" s="30">
        <v>720</v>
      </c>
      <c r="C47" s="31">
        <v>135</v>
      </c>
      <c r="D47" s="32">
        <v>-381</v>
      </c>
      <c r="E47" s="32">
        <v>2</v>
      </c>
      <c r="F47" s="32">
        <v>7</v>
      </c>
      <c r="G47" s="32">
        <v>4</v>
      </c>
      <c r="H47" s="32">
        <v>8</v>
      </c>
      <c r="I47" s="33">
        <v>89.7</v>
      </c>
      <c r="J47" s="32">
        <v>3</v>
      </c>
      <c r="K47" s="34">
        <f>Table178910111213235787[[#This Row],[On Time Counts]]/45</f>
        <v>6.6666666666666666E-2</v>
      </c>
      <c r="L47" s="35">
        <v>0</v>
      </c>
      <c r="M47" s="36" t="e">
        <f>Table178910111213235787[[#This Row],[Wipers +/-]]/Table178910111213235787[[#This Row],[Comp Sales]]</f>
        <v>#DIV/0!</v>
      </c>
      <c r="N47" s="37">
        <v>0</v>
      </c>
      <c r="O47" s="36">
        <f>Table178910111213235787[[#This Row],[Big 4 Items]]/Table178910111213235787[[#This Row],[Oil +/- ]]</f>
        <v>0</v>
      </c>
      <c r="P47" s="38">
        <f>J47/S47</f>
        <v>0.27272727272727271</v>
      </c>
      <c r="S47" s="6">
        <f t="shared" si="8"/>
        <v>11</v>
      </c>
    </row>
    <row r="48" spans="1:19" ht="15">
      <c r="A48" s="29" t="s">
        <v>25</v>
      </c>
      <c r="B48" s="30">
        <v>728</v>
      </c>
      <c r="C48" s="31">
        <v>450</v>
      </c>
      <c r="D48" s="32">
        <v>435</v>
      </c>
      <c r="E48" s="32">
        <v>33</v>
      </c>
      <c r="F48" s="32">
        <v>2</v>
      </c>
      <c r="G48" s="32"/>
      <c r="H48" s="32">
        <v>-4</v>
      </c>
      <c r="I48" s="33">
        <v>1495.92</v>
      </c>
      <c r="J48" s="32">
        <v>10</v>
      </c>
      <c r="K48" s="34">
        <f>Table178910111213235787[[#This Row],[On Time Counts]]/45</f>
        <v>0.22222222222222221</v>
      </c>
      <c r="L48" s="35">
        <v>3487.35</v>
      </c>
      <c r="M48" s="36">
        <f>Table178910111213235787[[#This Row],[Wipers +/-]]/Table178910111213235787[[#This Row],[Comp Sales]]</f>
        <v>0</v>
      </c>
      <c r="N48" s="37">
        <v>0</v>
      </c>
      <c r="O48" s="36">
        <f>Table178910111213235787[[#This Row],[Big 4 Items]]/Table178910111213235787[[#This Row],[Oil +/- ]]</f>
        <v>0</v>
      </c>
      <c r="P48" s="38">
        <f>J48/S48</f>
        <v>0.90909090909090906</v>
      </c>
      <c r="S48" s="6">
        <f t="shared" si="8"/>
        <v>11</v>
      </c>
    </row>
    <row r="49" spans="1:19" ht="15">
      <c r="A49" s="29" t="s">
        <v>25</v>
      </c>
      <c r="B49" s="30">
        <v>830</v>
      </c>
      <c r="C49" s="31">
        <v>101</v>
      </c>
      <c r="D49" s="32">
        <v>97</v>
      </c>
      <c r="E49" s="32">
        <v>0</v>
      </c>
      <c r="F49" s="32">
        <v>-28</v>
      </c>
      <c r="G49" s="32">
        <v>23</v>
      </c>
      <c r="H49" s="32">
        <v>7</v>
      </c>
      <c r="I49" s="33">
        <v>667.83</v>
      </c>
      <c r="J49" s="32">
        <v>10</v>
      </c>
      <c r="K49" s="34">
        <f>Table178910111213235787[[#This Row],[On Time Counts]]/45</f>
        <v>0.22222222222222221</v>
      </c>
      <c r="L49" s="35">
        <v>3488.35</v>
      </c>
      <c r="M49" s="36">
        <f>Table178910111213235787[[#This Row],[Wipers +/-]]/Table178910111213235787[[#This Row],[Comp Sales]]</f>
        <v>6.5933750913755793E-3</v>
      </c>
      <c r="N49" s="37">
        <v>1</v>
      </c>
      <c r="O49" s="36">
        <f>Table178910111213235787[[#This Row],[Big 4 Items]]/Table178910111213235787[[#This Row],[Oil +/- ]]</f>
        <v>1.0309278350515464E-2</v>
      </c>
      <c r="P49" s="38">
        <f>J49/S49</f>
        <v>0.90909090909090906</v>
      </c>
      <c r="S49" s="6">
        <f t="shared" si="8"/>
        <v>11</v>
      </c>
    </row>
    <row r="50" spans="1:19" ht="15">
      <c r="A50" s="29" t="s">
        <v>25</v>
      </c>
      <c r="B50" s="30">
        <v>975</v>
      </c>
      <c r="C50" s="31">
        <v>-53</v>
      </c>
      <c r="D50" s="32">
        <v>-53</v>
      </c>
      <c r="E50" s="32">
        <v>0</v>
      </c>
      <c r="F50" s="32">
        <v>0</v>
      </c>
      <c r="G50" s="32">
        <v>2</v>
      </c>
      <c r="H50" s="32">
        <v>-1</v>
      </c>
      <c r="I50" s="33">
        <v>-157.69</v>
      </c>
      <c r="J50" s="32">
        <v>10</v>
      </c>
      <c r="K50" s="34">
        <f>Table178910111213235787[[#This Row],[On Time Counts]]/45</f>
        <v>0.22222222222222221</v>
      </c>
      <c r="L50" s="35">
        <v>1986.68</v>
      </c>
      <c r="M50" s="36">
        <f>Table178910111213235787[[#This Row],[Wipers +/-]]/Table178910111213235787[[#This Row],[Comp Sales]]</f>
        <v>1.006704652988906E-3</v>
      </c>
      <c r="N50" s="37">
        <v>0</v>
      </c>
      <c r="O50" s="36">
        <f>Table178910111213235787[[#This Row],[Big 4 Items]]/Table178910111213235787[[#This Row],[Oil +/- ]]</f>
        <v>0</v>
      </c>
      <c r="P50" s="38">
        <f>J50/S50</f>
        <v>0.90909090909090906</v>
      </c>
      <c r="S50" s="6">
        <f t="shared" si="8"/>
        <v>11</v>
      </c>
    </row>
    <row r="51" spans="1:19" ht="15">
      <c r="A51" s="29" t="s">
        <v>26</v>
      </c>
      <c r="B51" s="30">
        <v>1</v>
      </c>
      <c r="C51" s="31">
        <v>113</v>
      </c>
      <c r="D51" s="32">
        <v>75</v>
      </c>
      <c r="E51" s="32">
        <v>-3</v>
      </c>
      <c r="F51" s="32">
        <v>7</v>
      </c>
      <c r="G51" s="32">
        <v>11</v>
      </c>
      <c r="H51" s="32">
        <v>3</v>
      </c>
      <c r="I51" s="33">
        <v>412.23</v>
      </c>
      <c r="J51" s="32">
        <v>10</v>
      </c>
      <c r="K51" s="34">
        <f>Table178910111213235787[[#This Row],[On Time Counts]]/45</f>
        <v>0.22222222222222221</v>
      </c>
      <c r="L51" s="35">
        <v>2791.49</v>
      </c>
      <c r="M51" s="36">
        <f>Table178910111213235787[[#This Row],[Wipers +/-]]/Table178910111213235787[[#This Row],[Comp Sales]]</f>
        <v>3.9405478794478938E-3</v>
      </c>
      <c r="N51" s="37">
        <v>0</v>
      </c>
      <c r="O51" s="36">
        <f>Table178910111213235787[[#This Row],[Big 4 Items]]/Table178910111213235787[[#This Row],[Oil +/- ]]</f>
        <v>0</v>
      </c>
      <c r="P51" s="38">
        <f>J51/S51</f>
        <v>0.90909090909090906</v>
      </c>
      <c r="S51" s="6">
        <f t="shared" si="8"/>
        <v>11</v>
      </c>
    </row>
    <row r="52" spans="1:19" ht="15">
      <c r="A52" s="29" t="s">
        <v>26</v>
      </c>
      <c r="B52" s="30">
        <v>2</v>
      </c>
      <c r="C52" s="31">
        <v>-77</v>
      </c>
      <c r="D52" s="32">
        <v>-77</v>
      </c>
      <c r="E52" s="32">
        <v>0</v>
      </c>
      <c r="F52" s="32">
        <v>0</v>
      </c>
      <c r="G52" s="32">
        <v>0</v>
      </c>
      <c r="H52" s="32">
        <v>0</v>
      </c>
      <c r="I52" s="33">
        <v>-218.33</v>
      </c>
      <c r="J52" s="32">
        <v>10</v>
      </c>
      <c r="K52" s="34">
        <f>Table178910111213235787[[#This Row],[On Time Counts]]/45</f>
        <v>0.22222222222222221</v>
      </c>
      <c r="L52" s="35">
        <v>5684.97</v>
      </c>
      <c r="M52" s="36">
        <f>Table178910111213235787[[#This Row],[Wipers +/-]]/Table178910111213235787[[#This Row],[Comp Sales]]</f>
        <v>0</v>
      </c>
      <c r="N52" s="37">
        <v>0</v>
      </c>
      <c r="O52" s="36">
        <f>Table178910111213235787[[#This Row],[Big 4 Items]]/Table178910111213235787[[#This Row],[Oil +/- ]]</f>
        <v>0</v>
      </c>
      <c r="P52" s="38">
        <f>J52/S52</f>
        <v>0.90909090909090906</v>
      </c>
      <c r="S52" s="6">
        <f t="shared" si="8"/>
        <v>11</v>
      </c>
    </row>
    <row r="53" spans="1:19" ht="15">
      <c r="A53" s="29" t="s">
        <v>26</v>
      </c>
      <c r="B53" s="30">
        <v>4</v>
      </c>
      <c r="C53" s="31">
        <v>1710</v>
      </c>
      <c r="D53" s="32">
        <v>-156</v>
      </c>
      <c r="E53" s="32">
        <v>-14</v>
      </c>
      <c r="F53" s="32">
        <v>-17</v>
      </c>
      <c r="G53" s="32">
        <v>6</v>
      </c>
      <c r="H53" s="32">
        <v>-2</v>
      </c>
      <c r="I53" s="33">
        <v>-282.95</v>
      </c>
      <c r="J53" s="32">
        <v>11</v>
      </c>
      <c r="K53" s="34">
        <f>Table178910111213235787[[#This Row],[On Time Counts]]/45</f>
        <v>0.24444444444444444</v>
      </c>
      <c r="L53" s="35">
        <v>0</v>
      </c>
      <c r="M53" s="36" t="e">
        <f>Table178910111213235787[[#This Row],[Wipers +/-]]/Table178910111213235787[[#This Row],[Comp Sales]]</f>
        <v>#DIV/0!</v>
      </c>
      <c r="N53" s="37">
        <v>0</v>
      </c>
      <c r="O53" s="36">
        <f>Table178910111213235787[[#This Row],[Big 4 Items]]/Table178910111213235787[[#This Row],[Oil +/- ]]</f>
        <v>0</v>
      </c>
      <c r="P53" s="38">
        <f>J53/S53</f>
        <v>1</v>
      </c>
      <c r="S53" s="6">
        <f t="shared" si="8"/>
        <v>11</v>
      </c>
    </row>
    <row r="54" spans="1:19" ht="15">
      <c r="A54" s="29" t="s">
        <v>26</v>
      </c>
      <c r="B54" s="40">
        <v>6</v>
      </c>
      <c r="C54" s="31">
        <v>19</v>
      </c>
      <c r="D54" s="32">
        <v>31</v>
      </c>
      <c r="E54" s="32">
        <v>14</v>
      </c>
      <c r="F54" s="32">
        <v>0</v>
      </c>
      <c r="G54" s="32">
        <v>0</v>
      </c>
      <c r="H54" s="32">
        <v>0</v>
      </c>
      <c r="I54" s="33">
        <v>281.18</v>
      </c>
      <c r="J54" s="32">
        <v>10</v>
      </c>
      <c r="K54" s="34">
        <f>Table178910111213235787[[#This Row],[On Time Counts]]/45</f>
        <v>0.22222222222222221</v>
      </c>
      <c r="L54" s="35">
        <v>0</v>
      </c>
      <c r="M54" s="36" t="e">
        <f>Table178910111213235787[[#This Row],[Wipers +/-]]/Table178910111213235787[[#This Row],[Comp Sales]]</f>
        <v>#DIV/0!</v>
      </c>
      <c r="N54" s="37"/>
      <c r="O54" s="41">
        <f>Table178910111213235787[[#This Row],[Big 4 Items]]/Table178910111213235787[[#This Row],[Oil +/- ]]</f>
        <v>0</v>
      </c>
      <c r="P54" s="38">
        <f>J54/S54</f>
        <v>0.90909090909090906</v>
      </c>
      <c r="S54" s="6">
        <f t="shared" si="8"/>
        <v>11</v>
      </c>
    </row>
    <row r="55" spans="1:19" ht="15">
      <c r="A55" s="30" t="s">
        <v>26</v>
      </c>
      <c r="B55" s="40">
        <v>15</v>
      </c>
      <c r="C55" s="31"/>
      <c r="D55" s="32"/>
      <c r="E55" s="32">
        <v>8</v>
      </c>
      <c r="F55" s="32"/>
      <c r="G55" s="32"/>
      <c r="H55" s="32"/>
      <c r="I55" s="33">
        <v>30.9</v>
      </c>
      <c r="J55" s="32">
        <v>1</v>
      </c>
      <c r="K55" s="34">
        <f>Table178910111213235787[[#This Row],[On Time Counts]]/45</f>
        <v>2.2222222222222223E-2</v>
      </c>
      <c r="L55" s="35">
        <v>6979.44</v>
      </c>
      <c r="M55" s="36">
        <f>Table178910111213235787[[#This Row],[Wipers +/-]]/Table178910111213235787[[#This Row],[Comp Sales]]</f>
        <v>0</v>
      </c>
      <c r="N55" s="39"/>
      <c r="O55" s="36" t="e">
        <f>Table178910111213235787[[#This Row],[Big 4 Items]]/Table178910111213235787[[#This Row],[Oil +/- ]]</f>
        <v>#DIV/0!</v>
      </c>
      <c r="P55" s="38">
        <f>J55/S55</f>
        <v>9.0909090909090912E-2</v>
      </c>
      <c r="S55" s="6">
        <f t="shared" si="8"/>
        <v>11</v>
      </c>
    </row>
    <row r="56" spans="1:19" ht="15">
      <c r="A56" s="30" t="s">
        <v>26</v>
      </c>
      <c r="B56" s="40">
        <v>28</v>
      </c>
      <c r="C56" s="31">
        <v>-1</v>
      </c>
      <c r="D56" s="32">
        <v>-1</v>
      </c>
      <c r="E56" s="32">
        <v>-66</v>
      </c>
      <c r="F56" s="32">
        <v>24</v>
      </c>
      <c r="G56" s="32">
        <v>10</v>
      </c>
      <c r="H56" s="32">
        <v>-6</v>
      </c>
      <c r="I56" s="33">
        <v>461.01</v>
      </c>
      <c r="J56" s="32">
        <v>9</v>
      </c>
      <c r="K56" s="34">
        <f>Table178910111213235787[[#This Row],[On Time Counts]]/45</f>
        <v>0.2</v>
      </c>
      <c r="L56" s="35">
        <v>6567.35</v>
      </c>
      <c r="M56" s="36">
        <f>Table178910111213235787[[#This Row],[Wipers +/-]]/Table178910111213235787[[#This Row],[Comp Sales]]</f>
        <v>1.522684187686053E-3</v>
      </c>
      <c r="N56" s="39"/>
      <c r="O56" s="36">
        <f>Table178910111213235787[[#This Row],[Big 4 Items]]/Table178910111213235787[[#This Row],[Oil +/- ]]</f>
        <v>0</v>
      </c>
      <c r="P56" s="38">
        <f>J56/S56</f>
        <v>0.81818181818181823</v>
      </c>
      <c r="S56" s="6">
        <f t="shared" si="8"/>
        <v>11</v>
      </c>
    </row>
    <row r="57" spans="1:19" ht="15">
      <c r="A57" s="30" t="s">
        <v>26</v>
      </c>
      <c r="B57" s="40">
        <v>32</v>
      </c>
      <c r="C57" s="31">
        <v>764</v>
      </c>
      <c r="D57" s="32">
        <v>-98</v>
      </c>
      <c r="E57" s="32">
        <v>39</v>
      </c>
      <c r="F57" s="32">
        <v>10</v>
      </c>
      <c r="G57" s="32">
        <v>10</v>
      </c>
      <c r="H57" s="32">
        <v>-1</v>
      </c>
      <c r="I57" s="33">
        <v>5552.77</v>
      </c>
      <c r="J57" s="32">
        <v>10</v>
      </c>
      <c r="K57" s="34">
        <f>Table178910111213235787[[#This Row],[On Time Counts]]/45</f>
        <v>0.22222222222222221</v>
      </c>
      <c r="L57" s="35"/>
      <c r="M57" s="36" t="e">
        <f>Table178910111213235787[[#This Row],[Wipers +/-]]/Table178910111213235787[[#This Row],[Comp Sales]]</f>
        <v>#DIV/0!</v>
      </c>
      <c r="N57" s="39"/>
      <c r="O57" s="36">
        <f>Table178910111213235787[[#This Row],[Big 4 Items]]/Table178910111213235787[[#This Row],[Oil +/- ]]</f>
        <v>0</v>
      </c>
      <c r="P57" s="38">
        <f>J57/S57</f>
        <v>0.90909090909090906</v>
      </c>
      <c r="S57" s="6">
        <f t="shared" si="8"/>
        <v>11</v>
      </c>
    </row>
    <row r="58" spans="1:19" ht="15">
      <c r="A58" s="30" t="s">
        <v>26</v>
      </c>
      <c r="B58" s="40">
        <v>606</v>
      </c>
      <c r="C58" s="31">
        <v>-2</v>
      </c>
      <c r="D58" s="32">
        <v>-2</v>
      </c>
      <c r="E58" s="32">
        <v>6</v>
      </c>
      <c r="F58" s="32">
        <v>0</v>
      </c>
      <c r="G58" s="32">
        <v>1</v>
      </c>
      <c r="H58" s="32">
        <v>0</v>
      </c>
      <c r="I58" s="33">
        <v>14.67</v>
      </c>
      <c r="J58" s="32">
        <v>10</v>
      </c>
      <c r="K58" s="34">
        <f>Table178910111213235787[[#This Row],[On Time Counts]]/45</f>
        <v>0.22222222222222221</v>
      </c>
      <c r="L58" s="35">
        <v>6761.54</v>
      </c>
      <c r="M58" s="36">
        <f>Table178910111213235787[[#This Row],[Wipers +/-]]/Table178910111213235787[[#This Row],[Comp Sales]]</f>
        <v>1.4789530195783801E-4</v>
      </c>
      <c r="N58" s="39"/>
      <c r="O58" s="36">
        <f>Table178910111213235787[[#This Row],[Big 4 Items]]/Table178910111213235787[[#This Row],[Oil +/- ]]</f>
        <v>0</v>
      </c>
      <c r="P58" s="38">
        <f>J58/S58</f>
        <v>0.90909090909090906</v>
      </c>
      <c r="S58" s="6">
        <f t="shared" si="8"/>
        <v>11</v>
      </c>
    </row>
    <row r="59" spans="1:19" ht="15">
      <c r="A59" s="30" t="s">
        <v>26</v>
      </c>
      <c r="B59" s="40">
        <v>999</v>
      </c>
      <c r="C59" s="31">
        <v>0</v>
      </c>
      <c r="D59" s="32">
        <v>0</v>
      </c>
      <c r="E59" s="32">
        <v>0</v>
      </c>
      <c r="F59" s="32">
        <v>0</v>
      </c>
      <c r="G59" s="32">
        <v>0</v>
      </c>
      <c r="H59" s="32">
        <v>0</v>
      </c>
      <c r="I59" s="33">
        <v>0</v>
      </c>
      <c r="J59" s="32">
        <v>0</v>
      </c>
      <c r="K59" s="34">
        <f>Table178910111213235787[[#This Row],[On Time Counts]]/45</f>
        <v>0</v>
      </c>
      <c r="L59" s="35">
        <v>6083.18</v>
      </c>
      <c r="M59" s="36">
        <f>Table178910111213235787[[#This Row],[Wipers +/-]]/Table178910111213235787[[#This Row],[Comp Sales]]</f>
        <v>0</v>
      </c>
      <c r="N59" s="39"/>
      <c r="O59" s="36" t="e">
        <f>Table178910111213235787[[#This Row],[Big 4 Items]]/Table178910111213235787[[#This Row],[Oil +/- ]]</f>
        <v>#DIV/0!</v>
      </c>
      <c r="P59" s="38" t="e">
        <f>J59/S59</f>
        <v>#DIV/0!</v>
      </c>
      <c r="S59" s="6">
        <v>0</v>
      </c>
    </row>
    <row r="60" spans="1:19" ht="15">
      <c r="A60" s="30" t="s">
        <v>27</v>
      </c>
      <c r="B60" s="40">
        <v>8</v>
      </c>
      <c r="C60" s="31">
        <v>44</v>
      </c>
      <c r="D60" s="32">
        <v>-49</v>
      </c>
      <c r="E60" s="32">
        <v>-35</v>
      </c>
      <c r="F60" s="32">
        <v>10</v>
      </c>
      <c r="G60" s="32">
        <v>1</v>
      </c>
      <c r="H60" s="32">
        <v>-3</v>
      </c>
      <c r="I60" s="33">
        <v>39.130000000000003</v>
      </c>
      <c r="J60" s="32">
        <v>5</v>
      </c>
      <c r="K60" s="34">
        <f>Table178910111213235787[[#This Row],[On Time Counts]]/45</f>
        <v>0.1111111111111111</v>
      </c>
      <c r="L60" s="35">
        <v>4849.0200000000004</v>
      </c>
      <c r="M60" s="36">
        <f>Table178910111213235787[[#This Row],[Wipers +/-]]/Table178910111213235787[[#This Row],[Comp Sales]]</f>
        <v>2.062272376686423E-4</v>
      </c>
      <c r="N60" s="39"/>
      <c r="O60" s="36">
        <f>Table178910111213235787[[#This Row],[Big 4 Items]]/Table178910111213235787[[#This Row],[Oil +/- ]]</f>
        <v>0</v>
      </c>
      <c r="P60" s="38">
        <f>J60/S60</f>
        <v>0.45454545454545453</v>
      </c>
      <c r="S60" s="6">
        <f t="shared" si="8"/>
        <v>11</v>
      </c>
    </row>
    <row r="61" spans="1:19" ht="15">
      <c r="A61" s="30" t="s">
        <v>27</v>
      </c>
      <c r="B61" s="40">
        <v>10</v>
      </c>
      <c r="C61" s="31">
        <v>-31</v>
      </c>
      <c r="D61" s="32">
        <v>-31</v>
      </c>
      <c r="E61" s="32">
        <v>-8</v>
      </c>
      <c r="F61" s="32">
        <v>-5781</v>
      </c>
      <c r="G61" s="32">
        <v>3</v>
      </c>
      <c r="H61" s="32"/>
      <c r="I61" s="33">
        <v>-17880.68</v>
      </c>
      <c r="J61" s="32">
        <v>7</v>
      </c>
      <c r="K61" s="34">
        <f>Table178910111213235787[[#This Row],[On Time Counts]]/45</f>
        <v>0.15555555555555556</v>
      </c>
      <c r="L61" s="35">
        <v>6870.99</v>
      </c>
      <c r="M61" s="36">
        <f>Table178910111213235787[[#This Row],[Wipers +/-]]/Table178910111213235787[[#This Row],[Comp Sales]]</f>
        <v>4.3661830391253663E-4</v>
      </c>
      <c r="N61" s="39"/>
      <c r="O61" s="36">
        <f>Table178910111213235787[[#This Row],[Big 4 Items]]/Table178910111213235787[[#This Row],[Oil +/- ]]</f>
        <v>0</v>
      </c>
      <c r="P61" s="38">
        <f>J61/S61</f>
        <v>0.63636363636363635</v>
      </c>
      <c r="S61" s="6">
        <f t="shared" si="8"/>
        <v>11</v>
      </c>
    </row>
    <row r="62" spans="1:19" ht="15">
      <c r="A62" s="30" t="s">
        <v>27</v>
      </c>
      <c r="B62" s="40">
        <v>12</v>
      </c>
      <c r="C62" s="31">
        <v>838</v>
      </c>
      <c r="D62" s="32">
        <v>1064</v>
      </c>
      <c r="E62" s="32">
        <v>500</v>
      </c>
      <c r="F62" s="32"/>
      <c r="G62" s="32">
        <v>-4</v>
      </c>
      <c r="H62" s="32"/>
      <c r="I62" s="33">
        <v>5581.94</v>
      </c>
      <c r="J62" s="32">
        <v>6</v>
      </c>
      <c r="K62" s="34">
        <f>Table178910111213235787[[#This Row],[On Time Counts]]/45</f>
        <v>0.13333333333333333</v>
      </c>
      <c r="L62" s="35">
        <v>6806.79</v>
      </c>
      <c r="M62" s="36">
        <f>Table178910111213235787[[#This Row],[Wipers +/-]]/Table178910111213235787[[#This Row],[Comp Sales]]</f>
        <v>-5.8764850979683525E-4</v>
      </c>
      <c r="N62" s="39"/>
      <c r="O62" s="36">
        <f>Table178910111213235787[[#This Row],[Big 4 Items]]/Table178910111213235787[[#This Row],[Oil +/- ]]</f>
        <v>0</v>
      </c>
      <c r="P62" s="38">
        <f>J62/S62</f>
        <v>0.54545454545454541</v>
      </c>
      <c r="S62" s="6">
        <f t="shared" si="8"/>
        <v>11</v>
      </c>
    </row>
    <row r="63" spans="1:19" ht="15">
      <c r="A63" s="30" t="s">
        <v>27</v>
      </c>
      <c r="B63" s="40">
        <v>13</v>
      </c>
      <c r="C63" s="31">
        <v>790</v>
      </c>
      <c r="D63" s="32">
        <v>790</v>
      </c>
      <c r="E63" s="32">
        <v>-1</v>
      </c>
      <c r="F63" s="32">
        <v>-4</v>
      </c>
      <c r="G63" s="32">
        <v>1</v>
      </c>
      <c r="H63" s="32"/>
      <c r="I63" s="33">
        <v>2344.14</v>
      </c>
      <c r="J63" s="32">
        <v>10</v>
      </c>
      <c r="K63" s="34">
        <f>Table178910111213235787[[#This Row],[On Time Counts]]/45</f>
        <v>0.22222222222222221</v>
      </c>
      <c r="L63" s="35">
        <v>5842.02</v>
      </c>
      <c r="M63" s="36">
        <f>Table178910111213235787[[#This Row],[Wipers +/-]]/Table178910111213235787[[#This Row],[Comp Sales]]</f>
        <v>1.7117366938148104E-4</v>
      </c>
      <c r="N63" s="39"/>
      <c r="O63" s="36">
        <f>Table178910111213235787[[#This Row],[Big 4 Items]]/Table178910111213235787[[#This Row],[Oil +/- ]]</f>
        <v>0</v>
      </c>
      <c r="P63" s="38">
        <f>J63/S63</f>
        <v>0.90909090909090906</v>
      </c>
      <c r="S63" s="6">
        <f t="shared" si="8"/>
        <v>11</v>
      </c>
    </row>
    <row r="64" spans="1:19" ht="15">
      <c r="A64" s="30" t="s">
        <v>27</v>
      </c>
      <c r="B64" s="40">
        <v>31</v>
      </c>
      <c r="C64" s="31">
        <v>38</v>
      </c>
      <c r="D64" s="32">
        <v>20</v>
      </c>
      <c r="E64" s="32">
        <v>5</v>
      </c>
      <c r="F64" s="32">
        <v>16</v>
      </c>
      <c r="G64" s="32">
        <v>-17</v>
      </c>
      <c r="H64" s="32">
        <v>0</v>
      </c>
      <c r="I64" s="33">
        <v>60.42</v>
      </c>
      <c r="J64" s="32">
        <v>11</v>
      </c>
      <c r="K64" s="34">
        <f>Table178910111213235787[[#This Row],[On Time Counts]]/45</f>
        <v>0.24444444444444444</v>
      </c>
      <c r="L64" s="35">
        <v>7096.63</v>
      </c>
      <c r="M64" s="36">
        <f>Table178910111213235787[[#This Row],[Wipers +/-]]/Table178910111213235787[[#This Row],[Comp Sales]]</f>
        <v>-2.3955032177244693E-3</v>
      </c>
      <c r="N64" s="39"/>
      <c r="O64" s="36">
        <f>Table178910111213235787[[#This Row],[Big 4 Items]]/Table178910111213235787[[#This Row],[Oil +/- ]]</f>
        <v>0</v>
      </c>
      <c r="P64" s="38">
        <f>J64/S64</f>
        <v>1</v>
      </c>
      <c r="S64" s="6">
        <f t="shared" si="8"/>
        <v>11</v>
      </c>
    </row>
    <row r="65" spans="1:19" ht="15">
      <c r="A65" s="30" t="s">
        <v>27</v>
      </c>
      <c r="B65" s="40">
        <v>92</v>
      </c>
      <c r="C65" s="31">
        <v>-311</v>
      </c>
      <c r="D65" s="32">
        <v>-73</v>
      </c>
      <c r="E65" s="32">
        <v>17</v>
      </c>
      <c r="F65" s="32">
        <v>-2</v>
      </c>
      <c r="G65" s="32">
        <v>-2</v>
      </c>
      <c r="H65" s="32">
        <v>4</v>
      </c>
      <c r="I65" s="33">
        <v>155</v>
      </c>
      <c r="J65" s="32">
        <v>10</v>
      </c>
      <c r="K65" s="34">
        <f>Table178910111213235787[[#This Row],[On Time Counts]]/45</f>
        <v>0.22222222222222221</v>
      </c>
      <c r="L65" s="35">
        <v>6662.04</v>
      </c>
      <c r="M65" s="36">
        <f>Table178910111213235787[[#This Row],[Wipers +/-]]/Table178910111213235787[[#This Row],[Comp Sales]]</f>
        <v>-3.0020834459114625E-4</v>
      </c>
      <c r="N65" s="39"/>
      <c r="O65" s="36">
        <f>Table178910111213235787[[#This Row],[Big 4 Items]]/Table178910111213235787[[#This Row],[Oil +/- ]]</f>
        <v>0</v>
      </c>
      <c r="P65" s="38">
        <f>J65/S65</f>
        <v>0.90909090909090906</v>
      </c>
      <c r="S65" s="6">
        <f t="shared" si="8"/>
        <v>11</v>
      </c>
    </row>
    <row r="66" spans="1:19" ht="15">
      <c r="A66" s="30" t="s">
        <v>27</v>
      </c>
      <c r="B66" s="40">
        <v>116</v>
      </c>
      <c r="C66" s="31">
        <v>3508</v>
      </c>
      <c r="D66" s="32">
        <v>3508</v>
      </c>
      <c r="E66" s="32">
        <v>12</v>
      </c>
      <c r="F66" s="32">
        <v>-1</v>
      </c>
      <c r="G66" s="32">
        <v>-3</v>
      </c>
      <c r="H66" s="32"/>
      <c r="I66" s="33">
        <v>10695.7</v>
      </c>
      <c r="J66" s="32">
        <v>9</v>
      </c>
      <c r="K66" s="34">
        <f>Table178910111213235787[[#This Row],[On Time Counts]]/45</f>
        <v>0.2</v>
      </c>
      <c r="L66" s="35">
        <v>2791.49</v>
      </c>
      <c r="M66" s="36">
        <f>Table178910111213235787[[#This Row],[Wipers +/-]]/Table178910111213235787[[#This Row],[Comp Sales]]</f>
        <v>-1.0746948762130619E-3</v>
      </c>
      <c r="N66" s="39"/>
      <c r="O66" s="36">
        <f>Table178910111213235787[[#This Row],[Big 4 Items]]/Table178910111213235787[[#This Row],[Oil +/- ]]</f>
        <v>0</v>
      </c>
      <c r="P66" s="38">
        <f>J66/S66</f>
        <v>0.81818181818181823</v>
      </c>
      <c r="S66" s="6">
        <f t="shared" si="8"/>
        <v>11</v>
      </c>
    </row>
    <row r="67" spans="1:19" ht="15">
      <c r="A67" s="44" t="s">
        <v>27</v>
      </c>
      <c r="B67" s="45">
        <v>870</v>
      </c>
      <c r="C67" s="31">
        <v>-84</v>
      </c>
      <c r="D67" s="32">
        <v>-84</v>
      </c>
      <c r="E67" s="32">
        <v>2</v>
      </c>
      <c r="F67" s="32">
        <v>-3</v>
      </c>
      <c r="G67" s="32">
        <v>-1</v>
      </c>
      <c r="H67" s="32">
        <v>0</v>
      </c>
      <c r="I67" s="33">
        <v>-179.73</v>
      </c>
      <c r="J67" s="32">
        <v>9</v>
      </c>
      <c r="K67" s="46">
        <f>Table178910111213235787[[#This Row],[On Time Counts]]/45</f>
        <v>0.2</v>
      </c>
      <c r="L67" s="47"/>
      <c r="M67" s="41" t="e">
        <f>Table178910111213235787[[#This Row],[Wipers +/-]]/Table178910111213235787[[#This Row],[Comp Sales]]</f>
        <v>#DIV/0!</v>
      </c>
      <c r="N67" s="48"/>
      <c r="O67" s="41">
        <f>Table178910111213235787[[#This Row],[Big 4 Items]]/Table178910111213235787[[#This Row],[Oil +/- ]]</f>
        <v>0</v>
      </c>
      <c r="P67" s="38">
        <f>J67/S67</f>
        <v>0.81818181818181823</v>
      </c>
      <c r="S67" s="6">
        <f t="shared" si="8"/>
        <v>11</v>
      </c>
    </row>
    <row r="68" spans="1:19" ht="15">
      <c r="A68" s="30" t="s">
        <v>27</v>
      </c>
      <c r="B68" s="40">
        <v>3004</v>
      </c>
      <c r="C68" s="31">
        <v>44</v>
      </c>
      <c r="D68" s="32">
        <v>54</v>
      </c>
      <c r="E68" s="50">
        <v>-2</v>
      </c>
      <c r="F68" s="50">
        <v>-1</v>
      </c>
      <c r="G68" s="32"/>
      <c r="H68" s="50">
        <v>6</v>
      </c>
      <c r="I68" s="51">
        <v>421.01</v>
      </c>
      <c r="J68" s="50">
        <v>7</v>
      </c>
      <c r="K68" s="34">
        <f>Table178910111213235787[[#This Row],[On Time Counts]]/45</f>
        <v>0.15555555555555556</v>
      </c>
      <c r="L68" s="35"/>
      <c r="M68" s="36" t="e">
        <f>Table178910111213235787[[#This Row],[Wipers +/-]]/Table178910111213235787[[#This Row],[Comp Sales]]</f>
        <v>#DIV/0!</v>
      </c>
      <c r="N68" s="39"/>
      <c r="O68" s="36">
        <f>Table178910111213235787[[#This Row],[Big 4 Items]]/Table178910111213235787[[#This Row],[Oil +/- ]]</f>
        <v>0</v>
      </c>
      <c r="P68" s="38">
        <f>J68/S68</f>
        <v>0.63636363636363635</v>
      </c>
      <c r="S68" s="6">
        <f t="shared" si="8"/>
        <v>11</v>
      </c>
    </row>
    <row r="274" spans="1:2" hidden="1"/>
    <row r="275" spans="1:2" hidden="1"/>
    <row r="276" spans="1:2" hidden="1"/>
    <row r="277" spans="1:2" hidden="1"/>
    <row r="278" spans="1:2" hidden="1"/>
    <row r="279" spans="1:2" hidden="1"/>
    <row r="280" spans="1:2" hidden="1"/>
    <row r="281" spans="1:2" hidden="1"/>
    <row r="282" spans="1:2" hidden="1"/>
    <row r="283" spans="1:2" hidden="1"/>
    <row r="284" spans="1:2" hidden="1">
      <c r="A284" s="42">
        <v>0.01</v>
      </c>
      <c r="B284" s="42">
        <v>-0.01</v>
      </c>
    </row>
    <row r="285" spans="1:2" hidden="1">
      <c r="A285" s="43">
        <f>A284+1%</f>
        <v>0.02</v>
      </c>
      <c r="B285" s="42">
        <f>B284-1%</f>
        <v>-0.02</v>
      </c>
    </row>
    <row r="286" spans="1:2" hidden="1">
      <c r="A286" s="43">
        <f t="shared" ref="A286:A349" si="9">A285+1%</f>
        <v>0.03</v>
      </c>
      <c r="B286" s="42">
        <f t="shared" ref="B286:B349" si="10">B285-1%</f>
        <v>-0.03</v>
      </c>
    </row>
    <row r="287" spans="1:2" hidden="1">
      <c r="A287" s="43">
        <f t="shared" si="9"/>
        <v>0.04</v>
      </c>
      <c r="B287" s="42">
        <f t="shared" si="10"/>
        <v>-0.04</v>
      </c>
    </row>
    <row r="288" spans="1:2" hidden="1">
      <c r="A288" s="43">
        <f t="shared" si="9"/>
        <v>0.05</v>
      </c>
      <c r="B288" s="42">
        <f t="shared" si="10"/>
        <v>-0.05</v>
      </c>
    </row>
    <row r="289" spans="1:2" hidden="1">
      <c r="A289" s="43">
        <f t="shared" si="9"/>
        <v>6.0000000000000005E-2</v>
      </c>
      <c r="B289" s="42">
        <f t="shared" si="10"/>
        <v>-6.0000000000000005E-2</v>
      </c>
    </row>
    <row r="290" spans="1:2" hidden="1">
      <c r="A290" s="43">
        <f t="shared" si="9"/>
        <v>7.0000000000000007E-2</v>
      </c>
      <c r="B290" s="42">
        <f t="shared" si="10"/>
        <v>-7.0000000000000007E-2</v>
      </c>
    </row>
    <row r="291" spans="1:2" hidden="1">
      <c r="A291" s="43">
        <f t="shared" si="9"/>
        <v>0.08</v>
      </c>
      <c r="B291" s="42">
        <f t="shared" si="10"/>
        <v>-0.08</v>
      </c>
    </row>
    <row r="292" spans="1:2" hidden="1">
      <c r="A292" s="43">
        <f t="shared" si="9"/>
        <v>0.09</v>
      </c>
      <c r="B292" s="42">
        <f t="shared" si="10"/>
        <v>-0.09</v>
      </c>
    </row>
    <row r="293" spans="1:2" hidden="1">
      <c r="A293" s="43">
        <f t="shared" si="9"/>
        <v>9.9999999999999992E-2</v>
      </c>
      <c r="B293" s="42">
        <f t="shared" si="10"/>
        <v>-9.9999999999999992E-2</v>
      </c>
    </row>
    <row r="294" spans="1:2" hidden="1">
      <c r="A294" s="43">
        <f t="shared" si="9"/>
        <v>0.10999999999999999</v>
      </c>
      <c r="B294" s="42">
        <f t="shared" si="10"/>
        <v>-0.10999999999999999</v>
      </c>
    </row>
    <row r="295" spans="1:2" hidden="1">
      <c r="A295" s="43">
        <f t="shared" si="9"/>
        <v>0.11999999999999998</v>
      </c>
      <c r="B295" s="42">
        <f t="shared" si="10"/>
        <v>-0.11999999999999998</v>
      </c>
    </row>
    <row r="296" spans="1:2" hidden="1">
      <c r="A296" s="43">
        <f t="shared" si="9"/>
        <v>0.12999999999999998</v>
      </c>
      <c r="B296" s="42">
        <f t="shared" si="10"/>
        <v>-0.12999999999999998</v>
      </c>
    </row>
    <row r="297" spans="1:2" hidden="1">
      <c r="A297" s="43">
        <f t="shared" si="9"/>
        <v>0.13999999999999999</v>
      </c>
      <c r="B297" s="42">
        <f t="shared" si="10"/>
        <v>-0.13999999999999999</v>
      </c>
    </row>
    <row r="298" spans="1:2" hidden="1">
      <c r="A298" s="43">
        <f t="shared" si="9"/>
        <v>0.15</v>
      </c>
      <c r="B298" s="42">
        <f t="shared" si="10"/>
        <v>-0.15</v>
      </c>
    </row>
    <row r="299" spans="1:2" hidden="1">
      <c r="A299" s="43">
        <f t="shared" si="9"/>
        <v>0.16</v>
      </c>
      <c r="B299" s="42">
        <f t="shared" si="10"/>
        <v>-0.16</v>
      </c>
    </row>
    <row r="300" spans="1:2" hidden="1">
      <c r="A300" s="43">
        <f t="shared" si="9"/>
        <v>0.17</v>
      </c>
      <c r="B300" s="42">
        <f t="shared" si="10"/>
        <v>-0.17</v>
      </c>
    </row>
    <row r="301" spans="1:2" hidden="1">
      <c r="A301" s="43">
        <f t="shared" si="9"/>
        <v>0.18000000000000002</v>
      </c>
      <c r="B301" s="42">
        <f t="shared" si="10"/>
        <v>-0.18000000000000002</v>
      </c>
    </row>
    <row r="302" spans="1:2" hidden="1">
      <c r="A302" s="43">
        <f t="shared" si="9"/>
        <v>0.19000000000000003</v>
      </c>
      <c r="B302" s="42">
        <f t="shared" si="10"/>
        <v>-0.19000000000000003</v>
      </c>
    </row>
    <row r="303" spans="1:2" hidden="1">
      <c r="A303" s="43">
        <f t="shared" si="9"/>
        <v>0.20000000000000004</v>
      </c>
      <c r="B303" s="42">
        <f t="shared" si="10"/>
        <v>-0.20000000000000004</v>
      </c>
    </row>
    <row r="304" spans="1:2" hidden="1">
      <c r="A304" s="43">
        <f t="shared" si="9"/>
        <v>0.21000000000000005</v>
      </c>
      <c r="B304" s="42">
        <f t="shared" si="10"/>
        <v>-0.21000000000000005</v>
      </c>
    </row>
    <row r="305" spans="1:2" hidden="1">
      <c r="A305" s="43">
        <f t="shared" si="9"/>
        <v>0.22000000000000006</v>
      </c>
      <c r="B305" s="42">
        <f t="shared" si="10"/>
        <v>-0.22000000000000006</v>
      </c>
    </row>
    <row r="306" spans="1:2" hidden="1">
      <c r="A306" s="43">
        <f t="shared" si="9"/>
        <v>0.23000000000000007</v>
      </c>
      <c r="B306" s="42">
        <f t="shared" si="10"/>
        <v>-0.23000000000000007</v>
      </c>
    </row>
    <row r="307" spans="1:2" hidden="1">
      <c r="A307" s="43">
        <f t="shared" si="9"/>
        <v>0.24000000000000007</v>
      </c>
      <c r="B307" s="42">
        <f t="shared" si="10"/>
        <v>-0.24000000000000007</v>
      </c>
    </row>
    <row r="308" spans="1:2" hidden="1">
      <c r="A308" s="43">
        <f t="shared" si="9"/>
        <v>0.25000000000000006</v>
      </c>
      <c r="B308" s="42">
        <f t="shared" si="10"/>
        <v>-0.25000000000000006</v>
      </c>
    </row>
    <row r="309" spans="1:2" hidden="1">
      <c r="A309" s="43">
        <f t="shared" si="9"/>
        <v>0.26000000000000006</v>
      </c>
      <c r="B309" s="42">
        <f t="shared" si="10"/>
        <v>-0.26000000000000006</v>
      </c>
    </row>
    <row r="310" spans="1:2" hidden="1">
      <c r="A310" s="43">
        <f t="shared" si="9"/>
        <v>0.27000000000000007</v>
      </c>
      <c r="B310" s="42">
        <f t="shared" si="10"/>
        <v>-0.27000000000000007</v>
      </c>
    </row>
    <row r="311" spans="1:2" hidden="1">
      <c r="A311" s="43">
        <f t="shared" si="9"/>
        <v>0.28000000000000008</v>
      </c>
      <c r="B311" s="42">
        <f t="shared" si="10"/>
        <v>-0.28000000000000008</v>
      </c>
    </row>
    <row r="312" spans="1:2" hidden="1">
      <c r="A312" s="43">
        <f t="shared" si="9"/>
        <v>0.29000000000000009</v>
      </c>
      <c r="B312" s="42">
        <f t="shared" si="10"/>
        <v>-0.29000000000000009</v>
      </c>
    </row>
    <row r="313" spans="1:2" hidden="1">
      <c r="A313" s="43">
        <f t="shared" si="9"/>
        <v>0.3000000000000001</v>
      </c>
      <c r="B313" s="42">
        <f t="shared" si="10"/>
        <v>-0.3000000000000001</v>
      </c>
    </row>
    <row r="314" spans="1:2" hidden="1">
      <c r="A314" s="43">
        <f t="shared" si="9"/>
        <v>0.31000000000000011</v>
      </c>
      <c r="B314" s="42">
        <f t="shared" si="10"/>
        <v>-0.31000000000000011</v>
      </c>
    </row>
    <row r="315" spans="1:2" hidden="1">
      <c r="A315" s="43">
        <f t="shared" si="9"/>
        <v>0.32000000000000012</v>
      </c>
      <c r="B315" s="42">
        <f t="shared" si="10"/>
        <v>-0.32000000000000012</v>
      </c>
    </row>
    <row r="316" spans="1:2" hidden="1">
      <c r="A316" s="43">
        <f t="shared" si="9"/>
        <v>0.33000000000000013</v>
      </c>
      <c r="B316" s="42">
        <f t="shared" si="10"/>
        <v>-0.33000000000000013</v>
      </c>
    </row>
    <row r="317" spans="1:2" hidden="1">
      <c r="A317" s="43">
        <f t="shared" si="9"/>
        <v>0.34000000000000014</v>
      </c>
      <c r="B317" s="42">
        <f t="shared" si="10"/>
        <v>-0.34000000000000014</v>
      </c>
    </row>
    <row r="318" spans="1:2" hidden="1">
      <c r="A318" s="43">
        <f t="shared" si="9"/>
        <v>0.35000000000000014</v>
      </c>
      <c r="B318" s="42">
        <f t="shared" si="10"/>
        <v>-0.35000000000000014</v>
      </c>
    </row>
    <row r="319" spans="1:2" hidden="1">
      <c r="A319" s="43">
        <f t="shared" si="9"/>
        <v>0.36000000000000015</v>
      </c>
      <c r="B319" s="42">
        <f t="shared" si="10"/>
        <v>-0.36000000000000015</v>
      </c>
    </row>
    <row r="320" spans="1:2" hidden="1">
      <c r="A320" s="43">
        <f t="shared" si="9"/>
        <v>0.37000000000000016</v>
      </c>
      <c r="B320" s="42">
        <f t="shared" si="10"/>
        <v>-0.37000000000000016</v>
      </c>
    </row>
    <row r="321" spans="1:2" hidden="1">
      <c r="A321" s="43">
        <f t="shared" si="9"/>
        <v>0.38000000000000017</v>
      </c>
      <c r="B321" s="42">
        <f t="shared" si="10"/>
        <v>-0.38000000000000017</v>
      </c>
    </row>
    <row r="322" spans="1:2" hidden="1">
      <c r="A322" s="43">
        <f t="shared" si="9"/>
        <v>0.39000000000000018</v>
      </c>
      <c r="B322" s="42">
        <f t="shared" si="10"/>
        <v>-0.39000000000000018</v>
      </c>
    </row>
    <row r="323" spans="1:2" hidden="1">
      <c r="A323" s="43">
        <f t="shared" si="9"/>
        <v>0.40000000000000019</v>
      </c>
      <c r="B323" s="42">
        <f t="shared" si="10"/>
        <v>-0.40000000000000019</v>
      </c>
    </row>
    <row r="324" spans="1:2" hidden="1">
      <c r="A324" s="43">
        <f t="shared" si="9"/>
        <v>0.4100000000000002</v>
      </c>
      <c r="B324" s="42">
        <f t="shared" si="10"/>
        <v>-0.4100000000000002</v>
      </c>
    </row>
    <row r="325" spans="1:2" hidden="1">
      <c r="A325" s="43">
        <f t="shared" si="9"/>
        <v>0.42000000000000021</v>
      </c>
      <c r="B325" s="42">
        <f t="shared" si="10"/>
        <v>-0.42000000000000021</v>
      </c>
    </row>
    <row r="326" spans="1:2" hidden="1">
      <c r="A326" s="43">
        <f t="shared" si="9"/>
        <v>0.43000000000000022</v>
      </c>
      <c r="B326" s="42">
        <f t="shared" si="10"/>
        <v>-0.43000000000000022</v>
      </c>
    </row>
    <row r="327" spans="1:2" hidden="1">
      <c r="A327" s="43">
        <f t="shared" si="9"/>
        <v>0.44000000000000022</v>
      </c>
      <c r="B327" s="42">
        <f t="shared" si="10"/>
        <v>-0.44000000000000022</v>
      </c>
    </row>
    <row r="328" spans="1:2" hidden="1">
      <c r="A328" s="43">
        <f t="shared" si="9"/>
        <v>0.45000000000000023</v>
      </c>
      <c r="B328" s="42">
        <f t="shared" si="10"/>
        <v>-0.45000000000000023</v>
      </c>
    </row>
    <row r="329" spans="1:2" hidden="1">
      <c r="A329" s="43">
        <f t="shared" si="9"/>
        <v>0.46000000000000024</v>
      </c>
      <c r="B329" s="42">
        <f t="shared" si="10"/>
        <v>-0.46000000000000024</v>
      </c>
    </row>
    <row r="330" spans="1:2" hidden="1">
      <c r="A330" s="43">
        <f t="shared" si="9"/>
        <v>0.47000000000000025</v>
      </c>
      <c r="B330" s="42">
        <f t="shared" si="10"/>
        <v>-0.47000000000000025</v>
      </c>
    </row>
    <row r="331" spans="1:2" hidden="1">
      <c r="A331" s="43">
        <f t="shared" si="9"/>
        <v>0.48000000000000026</v>
      </c>
      <c r="B331" s="42">
        <f t="shared" si="10"/>
        <v>-0.48000000000000026</v>
      </c>
    </row>
    <row r="332" spans="1:2" hidden="1">
      <c r="A332" s="43">
        <f t="shared" si="9"/>
        <v>0.49000000000000027</v>
      </c>
      <c r="B332" s="42">
        <f t="shared" si="10"/>
        <v>-0.49000000000000027</v>
      </c>
    </row>
    <row r="333" spans="1:2" hidden="1">
      <c r="A333" s="43">
        <f t="shared" si="9"/>
        <v>0.50000000000000022</v>
      </c>
      <c r="B333" s="42">
        <f t="shared" si="10"/>
        <v>-0.50000000000000022</v>
      </c>
    </row>
    <row r="334" spans="1:2" hidden="1">
      <c r="A334" s="43">
        <f t="shared" si="9"/>
        <v>0.51000000000000023</v>
      </c>
      <c r="B334" s="42">
        <f t="shared" si="10"/>
        <v>-0.51000000000000023</v>
      </c>
    </row>
    <row r="335" spans="1:2" hidden="1">
      <c r="A335" s="43">
        <f t="shared" si="9"/>
        <v>0.52000000000000024</v>
      </c>
      <c r="B335" s="42">
        <f t="shared" si="10"/>
        <v>-0.52000000000000024</v>
      </c>
    </row>
    <row r="336" spans="1:2" hidden="1">
      <c r="A336" s="43">
        <f t="shared" si="9"/>
        <v>0.53000000000000025</v>
      </c>
      <c r="B336" s="42">
        <f t="shared" si="10"/>
        <v>-0.53000000000000025</v>
      </c>
    </row>
    <row r="337" spans="1:2" hidden="1">
      <c r="A337" s="43">
        <f t="shared" si="9"/>
        <v>0.54000000000000026</v>
      </c>
      <c r="B337" s="42">
        <f t="shared" si="10"/>
        <v>-0.54000000000000026</v>
      </c>
    </row>
    <row r="338" spans="1:2" hidden="1">
      <c r="A338" s="43">
        <f t="shared" si="9"/>
        <v>0.55000000000000027</v>
      </c>
      <c r="B338" s="42">
        <f t="shared" si="10"/>
        <v>-0.55000000000000027</v>
      </c>
    </row>
    <row r="339" spans="1:2" hidden="1">
      <c r="A339" s="43">
        <f t="shared" si="9"/>
        <v>0.56000000000000028</v>
      </c>
      <c r="B339" s="42">
        <f t="shared" si="10"/>
        <v>-0.56000000000000028</v>
      </c>
    </row>
    <row r="340" spans="1:2" hidden="1">
      <c r="A340" s="43">
        <f t="shared" si="9"/>
        <v>0.57000000000000028</v>
      </c>
      <c r="B340" s="42">
        <f t="shared" si="10"/>
        <v>-0.57000000000000028</v>
      </c>
    </row>
    <row r="341" spans="1:2" hidden="1">
      <c r="A341" s="43">
        <f t="shared" si="9"/>
        <v>0.58000000000000029</v>
      </c>
      <c r="B341" s="42">
        <f t="shared" si="10"/>
        <v>-0.58000000000000029</v>
      </c>
    </row>
    <row r="342" spans="1:2" hidden="1">
      <c r="A342" s="43">
        <f t="shared" si="9"/>
        <v>0.5900000000000003</v>
      </c>
      <c r="B342" s="42">
        <f t="shared" si="10"/>
        <v>-0.5900000000000003</v>
      </c>
    </row>
    <row r="343" spans="1:2" hidden="1">
      <c r="A343" s="43">
        <f t="shared" si="9"/>
        <v>0.60000000000000031</v>
      </c>
      <c r="B343" s="42">
        <f t="shared" si="10"/>
        <v>-0.60000000000000031</v>
      </c>
    </row>
    <row r="344" spans="1:2" hidden="1">
      <c r="A344" s="43">
        <f t="shared" si="9"/>
        <v>0.61000000000000032</v>
      </c>
      <c r="B344" s="42">
        <f t="shared" si="10"/>
        <v>-0.61000000000000032</v>
      </c>
    </row>
    <row r="345" spans="1:2" hidden="1">
      <c r="A345" s="43">
        <f t="shared" si="9"/>
        <v>0.62000000000000033</v>
      </c>
      <c r="B345" s="42">
        <f t="shared" si="10"/>
        <v>-0.62000000000000033</v>
      </c>
    </row>
    <row r="346" spans="1:2" hidden="1">
      <c r="A346" s="43">
        <f t="shared" si="9"/>
        <v>0.63000000000000034</v>
      </c>
      <c r="B346" s="42">
        <f t="shared" si="10"/>
        <v>-0.63000000000000034</v>
      </c>
    </row>
    <row r="347" spans="1:2" hidden="1">
      <c r="A347" s="43">
        <f t="shared" si="9"/>
        <v>0.64000000000000035</v>
      </c>
      <c r="B347" s="42">
        <f t="shared" si="10"/>
        <v>-0.64000000000000035</v>
      </c>
    </row>
    <row r="348" spans="1:2" hidden="1">
      <c r="A348" s="43">
        <f t="shared" si="9"/>
        <v>0.65000000000000036</v>
      </c>
      <c r="B348" s="42">
        <f t="shared" si="10"/>
        <v>-0.65000000000000036</v>
      </c>
    </row>
    <row r="349" spans="1:2" hidden="1">
      <c r="A349" s="43">
        <f t="shared" si="9"/>
        <v>0.66000000000000036</v>
      </c>
      <c r="B349" s="42">
        <f t="shared" si="10"/>
        <v>-0.66000000000000036</v>
      </c>
    </row>
    <row r="350" spans="1:2" hidden="1">
      <c r="A350" s="43">
        <f t="shared" ref="A350:A383" si="11">A349+1%</f>
        <v>0.67000000000000037</v>
      </c>
      <c r="B350" s="42">
        <f t="shared" ref="B350:B383" si="12">B349-1%</f>
        <v>-0.67000000000000037</v>
      </c>
    </row>
    <row r="351" spans="1:2" hidden="1">
      <c r="A351" s="43">
        <f t="shared" si="11"/>
        <v>0.68000000000000038</v>
      </c>
      <c r="B351" s="42">
        <f t="shared" si="12"/>
        <v>-0.68000000000000038</v>
      </c>
    </row>
    <row r="352" spans="1:2" hidden="1">
      <c r="A352" s="43">
        <f t="shared" si="11"/>
        <v>0.69000000000000039</v>
      </c>
      <c r="B352" s="42">
        <f t="shared" si="12"/>
        <v>-0.69000000000000039</v>
      </c>
    </row>
    <row r="353" spans="1:2" hidden="1">
      <c r="A353" s="43">
        <f t="shared" si="11"/>
        <v>0.7000000000000004</v>
      </c>
      <c r="B353" s="42">
        <f t="shared" si="12"/>
        <v>-0.7000000000000004</v>
      </c>
    </row>
    <row r="354" spans="1:2" hidden="1">
      <c r="A354" s="43">
        <f t="shared" si="11"/>
        <v>0.71000000000000041</v>
      </c>
      <c r="B354" s="42">
        <f t="shared" si="12"/>
        <v>-0.71000000000000041</v>
      </c>
    </row>
    <row r="355" spans="1:2" hidden="1">
      <c r="A355" s="43">
        <f t="shared" si="11"/>
        <v>0.72000000000000042</v>
      </c>
      <c r="B355" s="42">
        <f t="shared" si="12"/>
        <v>-0.72000000000000042</v>
      </c>
    </row>
    <row r="356" spans="1:2" hidden="1">
      <c r="A356" s="43">
        <f t="shared" si="11"/>
        <v>0.73000000000000043</v>
      </c>
      <c r="B356" s="42">
        <f t="shared" si="12"/>
        <v>-0.73000000000000043</v>
      </c>
    </row>
    <row r="357" spans="1:2" hidden="1">
      <c r="A357" s="43">
        <f t="shared" si="11"/>
        <v>0.74000000000000044</v>
      </c>
      <c r="B357" s="42">
        <f t="shared" si="12"/>
        <v>-0.74000000000000044</v>
      </c>
    </row>
    <row r="358" spans="1:2" hidden="1">
      <c r="A358" s="43">
        <f t="shared" si="11"/>
        <v>0.75000000000000044</v>
      </c>
      <c r="B358" s="42">
        <f t="shared" si="12"/>
        <v>-0.75000000000000044</v>
      </c>
    </row>
    <row r="359" spans="1:2" hidden="1">
      <c r="A359" s="43">
        <f t="shared" si="11"/>
        <v>0.76000000000000045</v>
      </c>
      <c r="B359" s="42">
        <f t="shared" si="12"/>
        <v>-0.76000000000000045</v>
      </c>
    </row>
    <row r="360" spans="1:2" hidden="1">
      <c r="A360" s="43">
        <f t="shared" si="11"/>
        <v>0.77000000000000046</v>
      </c>
      <c r="B360" s="42">
        <f t="shared" si="12"/>
        <v>-0.77000000000000046</v>
      </c>
    </row>
    <row r="361" spans="1:2" hidden="1">
      <c r="A361" s="43">
        <f t="shared" si="11"/>
        <v>0.78000000000000047</v>
      </c>
      <c r="B361" s="42">
        <f t="shared" si="12"/>
        <v>-0.78000000000000047</v>
      </c>
    </row>
    <row r="362" spans="1:2" hidden="1">
      <c r="A362" s="43">
        <f t="shared" si="11"/>
        <v>0.79000000000000048</v>
      </c>
      <c r="B362" s="42">
        <f t="shared" si="12"/>
        <v>-0.79000000000000048</v>
      </c>
    </row>
    <row r="363" spans="1:2" hidden="1">
      <c r="A363" s="43">
        <f t="shared" si="11"/>
        <v>0.80000000000000049</v>
      </c>
      <c r="B363" s="42">
        <f t="shared" si="12"/>
        <v>-0.80000000000000049</v>
      </c>
    </row>
    <row r="364" spans="1:2" hidden="1">
      <c r="A364" s="43">
        <f t="shared" si="11"/>
        <v>0.8100000000000005</v>
      </c>
      <c r="B364" s="42">
        <f t="shared" si="12"/>
        <v>-0.8100000000000005</v>
      </c>
    </row>
    <row r="365" spans="1:2" hidden="1">
      <c r="A365" s="43">
        <f t="shared" si="11"/>
        <v>0.82000000000000051</v>
      </c>
      <c r="B365" s="42">
        <f t="shared" si="12"/>
        <v>-0.82000000000000051</v>
      </c>
    </row>
    <row r="366" spans="1:2" hidden="1">
      <c r="A366" s="43">
        <f t="shared" si="11"/>
        <v>0.83000000000000052</v>
      </c>
      <c r="B366" s="42">
        <f t="shared" si="12"/>
        <v>-0.83000000000000052</v>
      </c>
    </row>
    <row r="367" spans="1:2" hidden="1">
      <c r="A367" s="43">
        <f t="shared" si="11"/>
        <v>0.84000000000000052</v>
      </c>
      <c r="B367" s="42">
        <f t="shared" si="12"/>
        <v>-0.84000000000000052</v>
      </c>
    </row>
    <row r="368" spans="1:2" hidden="1">
      <c r="A368" s="43">
        <f t="shared" si="11"/>
        <v>0.85000000000000053</v>
      </c>
      <c r="B368" s="42">
        <f t="shared" si="12"/>
        <v>-0.85000000000000053</v>
      </c>
    </row>
    <row r="369" spans="1:2" hidden="1">
      <c r="A369" s="43">
        <f t="shared" si="11"/>
        <v>0.86000000000000054</v>
      </c>
      <c r="B369" s="42">
        <f t="shared" si="12"/>
        <v>-0.86000000000000054</v>
      </c>
    </row>
    <row r="370" spans="1:2" hidden="1">
      <c r="A370" s="43">
        <f t="shared" si="11"/>
        <v>0.87000000000000055</v>
      </c>
      <c r="B370" s="42">
        <f t="shared" si="12"/>
        <v>-0.87000000000000055</v>
      </c>
    </row>
    <row r="371" spans="1:2" hidden="1">
      <c r="A371" s="43">
        <f t="shared" si="11"/>
        <v>0.88000000000000056</v>
      </c>
      <c r="B371" s="42">
        <f t="shared" si="12"/>
        <v>-0.88000000000000056</v>
      </c>
    </row>
    <row r="372" spans="1:2" hidden="1">
      <c r="A372" s="43">
        <f t="shared" si="11"/>
        <v>0.89000000000000057</v>
      </c>
      <c r="B372" s="42">
        <f t="shared" si="12"/>
        <v>-0.89000000000000057</v>
      </c>
    </row>
    <row r="373" spans="1:2" hidden="1">
      <c r="A373" s="43">
        <f t="shared" si="11"/>
        <v>0.90000000000000058</v>
      </c>
      <c r="B373" s="42">
        <f t="shared" si="12"/>
        <v>-0.90000000000000058</v>
      </c>
    </row>
    <row r="374" spans="1:2">
      <c r="A374" s="43">
        <f t="shared" si="11"/>
        <v>0.91000000000000059</v>
      </c>
      <c r="B374" s="42">
        <f t="shared" si="12"/>
        <v>-0.91000000000000059</v>
      </c>
    </row>
    <row r="375" spans="1:2">
      <c r="A375" s="43">
        <f t="shared" si="11"/>
        <v>0.9200000000000006</v>
      </c>
      <c r="B375" s="42">
        <f t="shared" si="12"/>
        <v>-0.9200000000000006</v>
      </c>
    </row>
    <row r="376" spans="1:2">
      <c r="A376" s="43">
        <f t="shared" si="11"/>
        <v>0.9300000000000006</v>
      </c>
      <c r="B376" s="42">
        <f t="shared" si="12"/>
        <v>-0.9300000000000006</v>
      </c>
    </row>
    <row r="377" spans="1:2">
      <c r="A377" s="43">
        <f t="shared" si="11"/>
        <v>0.94000000000000061</v>
      </c>
      <c r="B377" s="42">
        <f t="shared" si="12"/>
        <v>-0.94000000000000061</v>
      </c>
    </row>
    <row r="378" spans="1:2">
      <c r="A378" s="43">
        <f t="shared" si="11"/>
        <v>0.95000000000000062</v>
      </c>
      <c r="B378" s="42">
        <f t="shared" si="12"/>
        <v>-0.95000000000000062</v>
      </c>
    </row>
    <row r="379" spans="1:2">
      <c r="A379" s="43">
        <f t="shared" si="11"/>
        <v>0.96000000000000063</v>
      </c>
      <c r="B379" s="42">
        <f t="shared" si="12"/>
        <v>-0.96000000000000063</v>
      </c>
    </row>
    <row r="380" spans="1:2">
      <c r="A380" s="43">
        <f t="shared" si="11"/>
        <v>0.97000000000000064</v>
      </c>
      <c r="B380" s="42">
        <f t="shared" si="12"/>
        <v>-0.97000000000000064</v>
      </c>
    </row>
    <row r="381" spans="1:2">
      <c r="A381" s="43">
        <f t="shared" si="11"/>
        <v>0.98000000000000065</v>
      </c>
      <c r="B381" s="42">
        <f t="shared" si="12"/>
        <v>-0.98000000000000065</v>
      </c>
    </row>
    <row r="382" spans="1:2">
      <c r="A382" s="43">
        <f t="shared" si="11"/>
        <v>0.99000000000000066</v>
      </c>
      <c r="B382" s="42">
        <f t="shared" si="12"/>
        <v>-0.99000000000000066</v>
      </c>
    </row>
    <row r="383" spans="1:2">
      <c r="A383" s="43">
        <f t="shared" si="11"/>
        <v>1.0000000000000007</v>
      </c>
      <c r="B383" s="42">
        <f t="shared" si="12"/>
        <v>-1.0000000000000007</v>
      </c>
    </row>
  </sheetData>
  <sheetProtection selectLockedCells="1" autoFilter="0" pivotTables="0"/>
  <conditionalFormatting sqref="A67 A168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84:A383 J9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84:B383 M9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84:B383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2:J68">
    <cfRule type="containsBlanks" dxfId="150" priority="10">
      <formula>LEN(TRIM(C12))=0</formula>
    </cfRule>
  </conditionalFormatting>
  <conditionalFormatting sqref="D12:D68">
    <cfRule type="cellIs" dxfId="149" priority="8" operator="lessThan">
      <formula>-200</formula>
    </cfRule>
    <cfRule type="cellIs" dxfId="148" priority="9" operator="greaterThan">
      <formula>200</formula>
    </cfRule>
  </conditionalFormatting>
  <conditionalFormatting sqref="E12:G68">
    <cfRule type="cellIs" dxfId="147" priority="6" operator="lessThan">
      <formula>-6</formula>
    </cfRule>
    <cfRule type="cellIs" dxfId="146" priority="7" operator="greaterThan">
      <formula>6</formula>
    </cfRule>
  </conditionalFormatting>
  <conditionalFormatting sqref="H12:H68">
    <cfRule type="cellIs" dxfId="145" priority="4" operator="lessThan">
      <formula>-3</formula>
    </cfRule>
    <cfRule type="cellIs" dxfId="144" priority="5" operator="greaterThan">
      <formula>3</formula>
    </cfRule>
  </conditionalFormatting>
  <conditionalFormatting sqref="I12:I68">
    <cfRule type="cellIs" dxfId="143" priority="2" operator="lessThan">
      <formula>-1000</formula>
    </cfRule>
    <cfRule type="cellIs" dxfId="142" priority="3" operator="greaterThan">
      <formula>1000</formula>
    </cfRule>
  </conditionalFormatting>
  <conditionalFormatting sqref="J2:J8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:M8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:N9">
    <cfRule type="cellIs" dxfId="141" priority="24" operator="lessThan">
      <formula>0.516</formula>
    </cfRule>
    <cfRule type="cellIs" dxfId="140" priority="25" operator="greaterThan">
      <formula>0.516</formula>
    </cfRule>
  </conditionalFormatting>
  <conditionalFormatting sqref="O2:O9">
    <cfRule type="cellIs" dxfId="139" priority="22" operator="lessThan">
      <formula>0.0659</formula>
    </cfRule>
    <cfRule type="cellIs" dxfId="138" priority="23" operator="greaterThan">
      <formula>0.0659</formula>
    </cfRule>
  </conditionalFormatting>
  <conditionalFormatting sqref="P12:P6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0490C-FA91-4590-A197-DC8EA6B4F6AD}">
  <dimension ref="A1:T383"/>
  <sheetViews>
    <sheetView tabSelected="1" zoomScale="84" zoomScaleNormal="100" workbookViewId="0">
      <selection activeCell="S60" sqref="S60"/>
    </sheetView>
  </sheetViews>
  <sheetFormatPr defaultColWidth="9.140625" defaultRowHeight="12.75"/>
  <cols>
    <col min="1" max="1" width="25.28515625" style="6" bestFit="1" customWidth="1"/>
    <col min="2" max="2" width="22" style="6" bestFit="1" customWidth="1"/>
    <col min="3" max="3" width="18.85546875" style="6" bestFit="1" customWidth="1"/>
    <col min="4" max="4" width="22.5703125" style="6" bestFit="1" customWidth="1"/>
    <col min="5" max="5" width="18" style="6" bestFit="1" customWidth="1"/>
    <col min="6" max="6" width="17.85546875" style="6" bestFit="1" customWidth="1"/>
    <col min="7" max="7" width="27" style="6" bestFit="1" customWidth="1"/>
    <col min="8" max="8" width="26.7109375" style="6" bestFit="1" customWidth="1"/>
    <col min="9" max="10" width="24" style="6" bestFit="1" customWidth="1"/>
    <col min="11" max="11" width="22.5703125" style="6" hidden="1" customWidth="1"/>
    <col min="12" max="12" width="25" style="6" hidden="1" customWidth="1"/>
    <col min="13" max="13" width="13.28515625" style="6" hidden="1" customWidth="1"/>
    <col min="14" max="14" width="7.85546875" style="6" hidden="1" customWidth="1"/>
    <col min="15" max="15" width="11.140625" style="6" hidden="1" customWidth="1"/>
    <col min="16" max="16" width="11.140625" style="6" bestFit="1" customWidth="1"/>
    <col min="17" max="17" width="9.140625" style="6"/>
    <col min="18" max="18" width="16.28515625" style="6" hidden="1" customWidth="1"/>
    <col min="19" max="19" width="16.7109375" style="6" bestFit="1" customWidth="1"/>
    <col min="20" max="20" width="3.140625" style="6" bestFit="1" customWidth="1"/>
    <col min="21" max="16384" width="9.140625" style="6"/>
  </cols>
  <sheetData>
    <row r="1" spans="1:20" ht="18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4"/>
      <c r="L1" s="5" t="s">
        <v>10</v>
      </c>
      <c r="M1" s="2" t="s">
        <v>11</v>
      </c>
      <c r="N1" s="2" t="s">
        <v>12</v>
      </c>
      <c r="O1" s="3" t="s">
        <v>13</v>
      </c>
      <c r="S1" s="6" t="s">
        <v>14</v>
      </c>
      <c r="T1" s="49">
        <v>11</v>
      </c>
    </row>
    <row r="2" spans="1:20" ht="18">
      <c r="A2" s="7" t="str">
        <f>A12</f>
        <v>Baton Rouge North</v>
      </c>
      <c r="B2" s="8">
        <f>SUM(C12:C19)</f>
        <v>1401.18</v>
      </c>
      <c r="C2" s="8">
        <f t="shared" ref="C2:I2" si="0">SUM(D12:D19)</f>
        <v>1354.18</v>
      </c>
      <c r="D2" s="8">
        <f t="shared" si="0"/>
        <v>135</v>
      </c>
      <c r="E2" s="8">
        <f t="shared" si="0"/>
        <v>0</v>
      </c>
      <c r="F2" s="8">
        <f t="shared" si="0"/>
        <v>41</v>
      </c>
      <c r="G2" s="8">
        <f t="shared" si="0"/>
        <v>13</v>
      </c>
      <c r="H2" s="9">
        <f>SUM(I12:I19)</f>
        <v>3750.2560000000003</v>
      </c>
      <c r="I2" s="8">
        <f t="shared" si="0"/>
        <v>25</v>
      </c>
      <c r="J2" s="10">
        <f>I2/SUM(S12:S19)</f>
        <v>0.37878787878787878</v>
      </c>
      <c r="K2" s="11"/>
      <c r="L2" s="12">
        <f>SUM(L12:L12)</f>
        <v>4238.9799999999996</v>
      </c>
      <c r="M2" s="13">
        <f>((F2-G12)/L2)-100%</f>
        <v>-0.99032786189130406</v>
      </c>
      <c r="N2" s="13">
        <f>SUM(N12:N12)/C2</f>
        <v>0</v>
      </c>
      <c r="O2" s="14">
        <f>SUM(P12:P12)/C2</f>
        <v>0</v>
      </c>
    </row>
    <row r="3" spans="1:20" ht="18">
      <c r="A3" s="7" t="str">
        <f>A20</f>
        <v>Baton Rouge South</v>
      </c>
      <c r="B3" s="8">
        <f>SUM(C20:C26)</f>
        <v>4091.4599999999996</v>
      </c>
      <c r="C3" s="8">
        <f t="shared" ref="C3:I3" si="1">SUM(D20:D26)</f>
        <v>4253.4599999999991</v>
      </c>
      <c r="D3" s="15">
        <f t="shared" si="1"/>
        <v>1062</v>
      </c>
      <c r="E3" s="15">
        <f t="shared" si="1"/>
        <v>-57</v>
      </c>
      <c r="F3" s="15">
        <f t="shared" si="1"/>
        <v>212</v>
      </c>
      <c r="G3" s="15">
        <f t="shared" si="1"/>
        <v>182</v>
      </c>
      <c r="H3" s="9">
        <f t="shared" si="1"/>
        <v>14837.199700000001</v>
      </c>
      <c r="I3" s="8">
        <f t="shared" si="1"/>
        <v>46</v>
      </c>
      <c r="J3" s="10">
        <f>I3/SUM(S20:S26)</f>
        <v>0.59740259740259738</v>
      </c>
      <c r="K3" s="11"/>
      <c r="L3" s="12">
        <f>SUM(L13:L13)</f>
        <v>5844.34</v>
      </c>
      <c r="M3" s="13">
        <f>((F3-G13)/L3)-100%</f>
        <v>-0.97313640205737517</v>
      </c>
      <c r="N3" s="13">
        <f>SUM(N13:N13)/C3</f>
        <v>0</v>
      </c>
      <c r="O3" s="14">
        <f>SUM(P13:P13)/C3</f>
        <v>1.4961081951249958E-4</v>
      </c>
    </row>
    <row r="4" spans="1:20" ht="18">
      <c r="A4" s="7" t="str">
        <f>A27</f>
        <v>Gulf Coast North</v>
      </c>
      <c r="B4" s="8">
        <f>SUM(C27:C35)</f>
        <v>308</v>
      </c>
      <c r="C4" s="8">
        <f t="shared" ref="C4:I4" si="2">SUM(D27:D35)</f>
        <v>-68</v>
      </c>
      <c r="D4" s="8">
        <f t="shared" si="2"/>
        <v>381</v>
      </c>
      <c r="E4" s="8">
        <f t="shared" si="2"/>
        <v>8</v>
      </c>
      <c r="F4" s="8">
        <f t="shared" si="2"/>
        <v>0</v>
      </c>
      <c r="G4" s="8">
        <f t="shared" si="2"/>
        <v>6</v>
      </c>
      <c r="H4" s="9">
        <f t="shared" si="2"/>
        <v>2246.9499999999998</v>
      </c>
      <c r="I4" s="8">
        <f t="shared" si="2"/>
        <v>52</v>
      </c>
      <c r="J4" s="10">
        <f>I4/SUM(S27:S35)</f>
        <v>0.5252525252525253</v>
      </c>
      <c r="K4" s="11"/>
      <c r="L4" s="12">
        <f>SUM(L14:L23)</f>
        <v>52541.38</v>
      </c>
      <c r="M4" s="13">
        <f>(F4/L4)-100%</f>
        <v>-1</v>
      </c>
      <c r="N4" s="13">
        <f>SUM(N14:N23)/C4</f>
        <v>0</v>
      </c>
      <c r="O4" s="14" t="e">
        <f>SUM(P14:P23)/C4</f>
        <v>#DIV/0!</v>
      </c>
    </row>
    <row r="5" spans="1:20" ht="18">
      <c r="A5" s="7" t="str">
        <f>A36</f>
        <v>Gulf Coast West</v>
      </c>
      <c r="B5" s="8">
        <f>SUM(C36:C42)</f>
        <v>782</v>
      </c>
      <c r="C5" s="8">
        <f t="shared" ref="C5:I5" si="3">SUM(D36:D42)</f>
        <v>873</v>
      </c>
      <c r="D5" s="8">
        <f t="shared" si="3"/>
        <v>-2</v>
      </c>
      <c r="E5" s="8">
        <f t="shared" si="3"/>
        <v>32</v>
      </c>
      <c r="F5" s="8">
        <f t="shared" si="3"/>
        <v>71</v>
      </c>
      <c r="G5" s="8">
        <f t="shared" si="3"/>
        <v>28</v>
      </c>
      <c r="H5" s="9">
        <f t="shared" si="3"/>
        <v>3679.8200000000006</v>
      </c>
      <c r="I5" s="8">
        <f t="shared" si="3"/>
        <v>45</v>
      </c>
      <c r="J5" s="10">
        <f>I5/SUM(S36:S42)</f>
        <v>0.58441558441558439</v>
      </c>
      <c r="K5" s="11"/>
      <c r="L5" s="12">
        <f>SUM(L24:L36)</f>
        <v>80972.98000000001</v>
      </c>
      <c r="M5" s="13">
        <f>((F5-G34-G35-G36)/L5)-100%</f>
        <v>-0.99912316429505255</v>
      </c>
      <c r="N5" s="13">
        <f>SUM(N24:N36)/C5</f>
        <v>0</v>
      </c>
      <c r="O5" s="14">
        <f>SUM(P24:P36)/C5</f>
        <v>8.5389982297198776E-3</v>
      </c>
    </row>
    <row r="6" spans="1:20" ht="18">
      <c r="A6" s="7" t="str">
        <f>A43</f>
        <v>Lafayette</v>
      </c>
      <c r="B6" s="8">
        <f>SUM(C43:C50)</f>
        <v>1827</v>
      </c>
      <c r="C6" s="8">
        <f t="shared" ref="C6:I6" si="4">SUM(D43:D50)</f>
        <v>1063</v>
      </c>
      <c r="D6" s="8">
        <f t="shared" si="4"/>
        <v>107</v>
      </c>
      <c r="E6" s="8">
        <f t="shared" si="4"/>
        <v>14</v>
      </c>
      <c r="F6" s="8">
        <f t="shared" si="4"/>
        <v>11</v>
      </c>
      <c r="G6" s="8">
        <f t="shared" si="4"/>
        <v>-19</v>
      </c>
      <c r="H6" s="9">
        <f t="shared" si="4"/>
        <v>4548.93</v>
      </c>
      <c r="I6" s="8">
        <f t="shared" si="4"/>
        <v>72</v>
      </c>
      <c r="J6" s="10">
        <f>I6/SUM(S43:S50)</f>
        <v>0.81818181818181823</v>
      </c>
      <c r="K6" s="11"/>
      <c r="L6" s="12"/>
      <c r="M6" s="13"/>
      <c r="N6" s="13"/>
      <c r="O6" s="14"/>
    </row>
    <row r="7" spans="1:20" ht="18">
      <c r="A7" s="7" t="str">
        <f>A51</f>
        <v>NOLA North</v>
      </c>
      <c r="B7" s="8">
        <f>SUM(C51:C59)</f>
        <v>3446</v>
      </c>
      <c r="C7" s="8">
        <f t="shared" ref="C7:I7" si="5">SUM(D51:D59)</f>
        <v>863</v>
      </c>
      <c r="D7" s="8">
        <f t="shared" si="5"/>
        <v>49</v>
      </c>
      <c r="E7" s="8">
        <f t="shared" si="5"/>
        <v>-11</v>
      </c>
      <c r="F7" s="8">
        <f t="shared" si="5"/>
        <v>2</v>
      </c>
      <c r="G7" s="8">
        <f t="shared" si="5"/>
        <v>14</v>
      </c>
      <c r="H7" s="9">
        <f t="shared" si="5"/>
        <v>6704.25</v>
      </c>
      <c r="I7" s="8">
        <f t="shared" si="5"/>
        <v>74</v>
      </c>
      <c r="J7" s="10">
        <f>I7/SUM(S51:S59)</f>
        <v>0.84090909090909094</v>
      </c>
      <c r="K7" s="11"/>
      <c r="L7" s="12">
        <f>SUM(L37:L45)</f>
        <v>38554.76</v>
      </c>
      <c r="M7" s="13">
        <f>(F7/L7)-100%</f>
        <v>-0.99994812573077874</v>
      </c>
      <c r="N7" s="13">
        <f>SUM(N37:N45)/C7</f>
        <v>0</v>
      </c>
      <c r="O7" s="14">
        <f>SUM(P37:P45)/C7</f>
        <v>7.1631728642157378E-3</v>
      </c>
    </row>
    <row r="8" spans="1:20" ht="18">
      <c r="A8" s="16" t="str">
        <f>A60</f>
        <v>NOLA South</v>
      </c>
      <c r="B8" s="17">
        <f>SUM(C60:C68)</f>
        <v>3798</v>
      </c>
      <c r="C8" s="17">
        <f t="shared" ref="C8:I8" si="6">SUM(D60:D68)</f>
        <v>2817</v>
      </c>
      <c r="D8" s="17">
        <f t="shared" si="6"/>
        <v>136</v>
      </c>
      <c r="E8" s="17">
        <f t="shared" si="6"/>
        <v>-21</v>
      </c>
      <c r="F8" s="17">
        <f t="shared" si="6"/>
        <v>-21</v>
      </c>
      <c r="G8" s="17">
        <f t="shared" si="6"/>
        <v>31</v>
      </c>
      <c r="H8" s="18">
        <f t="shared" si="6"/>
        <v>14680.57</v>
      </c>
      <c r="I8" s="17">
        <f t="shared" si="6"/>
        <v>60</v>
      </c>
      <c r="J8" s="19">
        <f>I8/SUM(S60:S68)</f>
        <v>0.60606060606060608</v>
      </c>
      <c r="K8" s="11"/>
      <c r="L8" s="12">
        <f>SUM(L46:L54)</f>
        <v>19465.43</v>
      </c>
      <c r="M8" s="13">
        <f>((F8-G54)/L8)-100%</f>
        <v>-1.0009247162790651</v>
      </c>
      <c r="N8" s="13">
        <f>SUM(N46:N54)/C8</f>
        <v>3.5498757543485978E-4</v>
      </c>
      <c r="O8" s="14">
        <f>SUM(P46:P54)/C8</f>
        <v>2.7108142124116566E-3</v>
      </c>
    </row>
    <row r="9" spans="1:20" ht="18">
      <c r="A9" s="20" t="s">
        <v>15</v>
      </c>
      <c r="B9" s="21">
        <f>SUM(B2:B8)</f>
        <v>15653.64</v>
      </c>
      <c r="C9" s="21">
        <f t="shared" ref="C9:I9" si="7">SUM(C2:C8)</f>
        <v>11155.64</v>
      </c>
      <c r="D9" s="22">
        <f t="shared" si="7"/>
        <v>1868</v>
      </c>
      <c r="E9" s="22">
        <f t="shared" si="7"/>
        <v>-35</v>
      </c>
      <c r="F9" s="22">
        <f t="shared" si="7"/>
        <v>316</v>
      </c>
      <c r="G9" s="22">
        <f t="shared" si="7"/>
        <v>255</v>
      </c>
      <c r="H9" s="23">
        <f>SUM(H2:H8)</f>
        <v>50447.975700000003</v>
      </c>
      <c r="I9" s="21">
        <f>SUM(I2:I8)</f>
        <v>374</v>
      </c>
      <c r="J9" s="24">
        <f>I9/SUM(S12:S68)</f>
        <v>0.62962962962962965</v>
      </c>
      <c r="K9" s="25"/>
      <c r="L9" s="26">
        <f>SUM(L2:L8)</f>
        <v>201617.87</v>
      </c>
      <c r="M9" s="27">
        <f>((F9-G12-G13-G34-G35-G36-G54)/L9)-100%</f>
        <v>-0.99869059225752166</v>
      </c>
      <c r="N9" s="27" cm="1">
        <f t="array" ref="N9">SUM(Table178910111213235783[Big 4 Items]/C9)</f>
        <v>8.9640755707426923E-5</v>
      </c>
      <c r="O9" s="28" t="e">
        <f>SUM(Table178910111213235783[Count Compliance2])/C9</f>
        <v>#DIV/0!</v>
      </c>
    </row>
    <row r="11" spans="1:20">
      <c r="A11" s="6" t="s">
        <v>0</v>
      </c>
      <c r="B11" s="6" t="s">
        <v>16</v>
      </c>
      <c r="C11" s="6" t="s">
        <v>1</v>
      </c>
      <c r="D11" s="6" t="s">
        <v>17</v>
      </c>
      <c r="E11" s="6" t="s">
        <v>3</v>
      </c>
      <c r="F11" s="6" t="s">
        <v>4</v>
      </c>
      <c r="G11" s="6" t="s">
        <v>5</v>
      </c>
      <c r="H11" s="6" t="s">
        <v>6</v>
      </c>
      <c r="I11" s="6" t="s">
        <v>7</v>
      </c>
      <c r="J11" s="6" t="s">
        <v>8</v>
      </c>
      <c r="K11" s="6" t="s">
        <v>9</v>
      </c>
      <c r="L11" s="6" t="s">
        <v>10</v>
      </c>
      <c r="M11" s="6" t="s">
        <v>18</v>
      </c>
      <c r="N11" s="6" t="s">
        <v>19</v>
      </c>
      <c r="O11" s="6" t="s">
        <v>12</v>
      </c>
      <c r="P11" s="6" t="s">
        <v>20</v>
      </c>
    </row>
    <row r="12" spans="1:20" ht="15" hidden="1">
      <c r="A12" s="29" t="s">
        <v>21</v>
      </c>
      <c r="B12" s="30">
        <v>17</v>
      </c>
      <c r="C12" s="31"/>
      <c r="D12" s="32"/>
      <c r="E12" s="32"/>
      <c r="F12" s="32"/>
      <c r="G12" s="32"/>
      <c r="H12" s="32"/>
      <c r="I12" s="33"/>
      <c r="J12" s="32"/>
      <c r="K12" s="34">
        <f>Table178910111213235783[[#This Row],[On Time Counts]]/45</f>
        <v>0</v>
      </c>
      <c r="L12" s="35">
        <v>4238.9799999999996</v>
      </c>
      <c r="M12" s="36">
        <f>Table178910111213235783[[#This Row],[Wipers +/-]]/Table178910111213235783[[#This Row],[Comp Sales]]</f>
        <v>0</v>
      </c>
      <c r="N12" s="37">
        <v>0</v>
      </c>
      <c r="O12" s="36" t="e">
        <f>Table178910111213235783[[#This Row],[Big 4 Items]]/Table178910111213235783[[#This Row],[Oil +/- ]]</f>
        <v>#DIV/0!</v>
      </c>
      <c r="P12" s="38">
        <f>J12/S12</f>
        <v>0</v>
      </c>
      <c r="S12" s="6">
        <f>$T$1</f>
        <v>11</v>
      </c>
    </row>
    <row r="13" spans="1:20" ht="15" hidden="1">
      <c r="A13" s="29" t="s">
        <v>21</v>
      </c>
      <c r="B13" s="30">
        <v>22</v>
      </c>
      <c r="C13" s="31">
        <v>2.64</v>
      </c>
      <c r="D13" s="32">
        <v>2.64</v>
      </c>
      <c r="E13" s="32">
        <v>0</v>
      </c>
      <c r="F13" s="32">
        <v>1</v>
      </c>
      <c r="G13" s="32">
        <v>55</v>
      </c>
      <c r="H13" s="32">
        <v>21</v>
      </c>
      <c r="I13" s="33">
        <v>259.86540000000002</v>
      </c>
      <c r="J13" s="32">
        <v>7</v>
      </c>
      <c r="K13" s="34">
        <f>Table178910111213235783[[#This Row],[On Time Counts]]/45</f>
        <v>0.15555555555555556</v>
      </c>
      <c r="L13" s="35">
        <v>5844.34</v>
      </c>
      <c r="M13" s="36">
        <f>Table178910111213235783[[#This Row],[Wipers +/-]]/Table178910111213235783[[#This Row],[Comp Sales]]</f>
        <v>9.4108145658876787E-3</v>
      </c>
      <c r="N13" s="37">
        <v>0</v>
      </c>
      <c r="O13" s="36">
        <f>Table178910111213235783[[#This Row],[Big 4 Items]]/Table178910111213235783[[#This Row],[Oil +/- ]]</f>
        <v>0</v>
      </c>
      <c r="P13" s="38">
        <f>J13/S13</f>
        <v>0.63636363636363635</v>
      </c>
      <c r="S13" s="6">
        <f t="shared" ref="S13:S68" si="8">$T$1</f>
        <v>11</v>
      </c>
    </row>
    <row r="14" spans="1:20" ht="15" hidden="1">
      <c r="A14" s="29" t="s">
        <v>21</v>
      </c>
      <c r="B14" s="30">
        <v>641</v>
      </c>
      <c r="C14" s="31">
        <v>-88.68</v>
      </c>
      <c r="D14" s="32">
        <v>-88.68</v>
      </c>
      <c r="E14" s="32">
        <v>135</v>
      </c>
      <c r="F14" s="32">
        <v>-1</v>
      </c>
      <c r="G14" s="32">
        <v>-15</v>
      </c>
      <c r="H14" s="32">
        <v>-1</v>
      </c>
      <c r="I14" s="33">
        <v>-189.68780000000001</v>
      </c>
      <c r="J14" s="32">
        <v>9</v>
      </c>
      <c r="K14" s="34">
        <f>Table178910111213235783[[#This Row],[On Time Counts]]/45</f>
        <v>0.2</v>
      </c>
      <c r="L14" s="35">
        <v>3219.34</v>
      </c>
      <c r="M14" s="36">
        <f>Table178910111213235783[[#This Row],[Wipers +/-]]/Table178910111213235783[[#This Row],[Comp Sales]]</f>
        <v>-4.6593401131909025E-3</v>
      </c>
      <c r="N14" s="37">
        <v>0</v>
      </c>
      <c r="O14" s="36">
        <f>Table178910111213235783[[#This Row],[Big 4 Items]]/Table178910111213235783[[#This Row],[Oil +/- ]]</f>
        <v>0</v>
      </c>
      <c r="P14" s="38">
        <f>J14/S14</f>
        <v>0.81818181818181823</v>
      </c>
      <c r="S14" s="6">
        <f t="shared" si="8"/>
        <v>11</v>
      </c>
    </row>
    <row r="15" spans="1:20" ht="15" hidden="1">
      <c r="A15" s="29" t="s">
        <v>21</v>
      </c>
      <c r="B15" s="30">
        <v>717</v>
      </c>
      <c r="C15" s="31">
        <v>746.7</v>
      </c>
      <c r="D15" s="32">
        <v>746.7</v>
      </c>
      <c r="E15" s="32"/>
      <c r="F15" s="32"/>
      <c r="G15" s="32"/>
      <c r="H15" s="32">
        <v>-8</v>
      </c>
      <c r="I15" s="33">
        <v>2370.9810000000002</v>
      </c>
      <c r="J15" s="32">
        <v>2</v>
      </c>
      <c r="K15" s="34">
        <f>Table178910111213235783[[#This Row],[On Time Counts]]/45</f>
        <v>4.4444444444444446E-2</v>
      </c>
      <c r="L15" s="35">
        <v>8034.77</v>
      </c>
      <c r="M15" s="36">
        <f>Table178910111213235783[[#This Row],[Wipers +/-]]/Table178910111213235783[[#This Row],[Comp Sales]]</f>
        <v>0</v>
      </c>
      <c r="N15" s="37">
        <v>0</v>
      </c>
      <c r="O15" s="36">
        <f>Table178910111213235783[[#This Row],[Big 4 Items]]/Table178910111213235783[[#This Row],[Oil +/- ]]</f>
        <v>0</v>
      </c>
      <c r="P15" s="38">
        <f>J15/S15</f>
        <v>0.18181818181818182</v>
      </c>
      <c r="S15" s="6">
        <f t="shared" si="8"/>
        <v>11</v>
      </c>
    </row>
    <row r="16" spans="1:20" ht="15" hidden="1">
      <c r="A16" s="29" t="s">
        <v>21</v>
      </c>
      <c r="B16" s="30">
        <v>843</v>
      </c>
      <c r="C16" s="31">
        <v>133.52000000000001</v>
      </c>
      <c r="D16" s="32">
        <v>86.52</v>
      </c>
      <c r="E16" s="32"/>
      <c r="F16" s="32"/>
      <c r="G16" s="32"/>
      <c r="H16" s="32"/>
      <c r="I16" s="33">
        <v>234.13740000000001</v>
      </c>
      <c r="J16" s="32">
        <v>1</v>
      </c>
      <c r="K16" s="34">
        <f>Table178910111213235783[[#This Row],[On Time Counts]]/45</f>
        <v>2.2222222222222223E-2</v>
      </c>
      <c r="L16" s="35">
        <v>6497.34</v>
      </c>
      <c r="M16" s="36">
        <f>Table178910111213235783[[#This Row],[Wipers +/-]]/Table178910111213235783[[#This Row],[Comp Sales]]</f>
        <v>0</v>
      </c>
      <c r="N16" s="37">
        <v>0</v>
      </c>
      <c r="O16" s="36">
        <f>Table178910111213235783[[#This Row],[Big 4 Items]]/Table178910111213235783[[#This Row],[Oil +/- ]]</f>
        <v>0</v>
      </c>
      <c r="P16" s="38">
        <f>J16/S16</f>
        <v>9.0909090909090912E-2</v>
      </c>
      <c r="S16" s="6">
        <f t="shared" si="8"/>
        <v>11</v>
      </c>
    </row>
    <row r="17" spans="1:19" ht="15" hidden="1">
      <c r="A17" s="29" t="s">
        <v>21</v>
      </c>
      <c r="B17" s="40">
        <v>881</v>
      </c>
      <c r="C17" s="31">
        <v>607</v>
      </c>
      <c r="D17" s="32">
        <v>607</v>
      </c>
      <c r="E17" s="32"/>
      <c r="F17" s="32"/>
      <c r="G17" s="32">
        <v>1</v>
      </c>
      <c r="H17" s="32">
        <v>1</v>
      </c>
      <c r="I17" s="33">
        <v>1074.96</v>
      </c>
      <c r="J17" s="32">
        <v>6</v>
      </c>
      <c r="K17" s="34">
        <f>Table178910111213235783[[#This Row],[On Time Counts]]/45</f>
        <v>0.13333333333333333</v>
      </c>
      <c r="L17" s="35"/>
      <c r="M17" s="36" t="e">
        <f>Table178910111213235783[[#This Row],[Wipers +/-]]/Table178910111213235783[[#This Row],[Comp Sales]]</f>
        <v>#DIV/0!</v>
      </c>
      <c r="N17" s="39"/>
      <c r="O17" s="36">
        <f>Table178910111213235783[[#This Row],[Big 4 Items]]/Table178910111213235783[[#This Row],[Oil +/- ]]</f>
        <v>0</v>
      </c>
      <c r="P17" s="38">
        <f>J17/S17</f>
        <v>0.54545454545454541</v>
      </c>
      <c r="S17" s="6">
        <f t="shared" si="8"/>
        <v>11</v>
      </c>
    </row>
    <row r="18" spans="1:19" ht="15" hidden="1">
      <c r="A18" s="29" t="s">
        <v>21</v>
      </c>
      <c r="B18" s="30">
        <v>953</v>
      </c>
      <c r="C18" s="31">
        <v>0</v>
      </c>
      <c r="D18" s="32">
        <v>0</v>
      </c>
      <c r="E18" s="32">
        <v>0</v>
      </c>
      <c r="F18" s="32">
        <v>0</v>
      </c>
      <c r="G18" s="32">
        <v>0</v>
      </c>
      <c r="H18" s="32">
        <v>0</v>
      </c>
      <c r="I18" s="33">
        <v>0</v>
      </c>
      <c r="J18" s="32">
        <v>0</v>
      </c>
      <c r="K18" s="34">
        <f>Table178910111213235783[[#This Row],[On Time Counts]]/45</f>
        <v>0</v>
      </c>
      <c r="L18" s="35">
        <v>7185.39</v>
      </c>
      <c r="M18" s="36">
        <f>Table178910111213235783[[#This Row],[Wipers +/-]]/Table178910111213235783[[#This Row],[Comp Sales]]</f>
        <v>0</v>
      </c>
      <c r="N18" s="37">
        <v>0</v>
      </c>
      <c r="O18" s="36" t="e">
        <f>Table178910111213235783[[#This Row],[Big 4 Items]]/Table178910111213235783[[#This Row],[Oil +/- ]]</f>
        <v>#DIV/0!</v>
      </c>
      <c r="P18" s="38" t="e">
        <f>J18/S18</f>
        <v>#DIV/0!</v>
      </c>
      <c r="S18" s="6">
        <v>0</v>
      </c>
    </row>
    <row r="19" spans="1:19" ht="15" hidden="1">
      <c r="A19" s="29" t="s">
        <v>21</v>
      </c>
      <c r="B19" s="30">
        <v>3040</v>
      </c>
      <c r="C19" s="31">
        <v>0</v>
      </c>
      <c r="D19" s="32">
        <v>0</v>
      </c>
      <c r="E19" s="32">
        <v>0</v>
      </c>
      <c r="F19" s="32">
        <v>0</v>
      </c>
      <c r="G19" s="32">
        <v>0</v>
      </c>
      <c r="H19" s="32">
        <v>0</v>
      </c>
      <c r="I19" s="33">
        <v>0</v>
      </c>
      <c r="J19" s="32">
        <v>0</v>
      </c>
      <c r="K19" s="34">
        <f>Table178910111213235783[[#This Row],[On Time Counts]]/45</f>
        <v>0</v>
      </c>
      <c r="L19" s="35">
        <v>6083.18</v>
      </c>
      <c r="M19" s="36">
        <f>Table178910111213235783[[#This Row],[Wipers +/-]]/Table178910111213235783[[#This Row],[Comp Sales]]</f>
        <v>0</v>
      </c>
      <c r="N19" s="37">
        <v>0</v>
      </c>
      <c r="O19" s="36" t="e">
        <f>Table178910111213235783[[#This Row],[Big 4 Items]]/Table178910111213235783[[#This Row],[Oil +/- ]]</f>
        <v>#DIV/0!</v>
      </c>
      <c r="P19" s="38" t="e">
        <f>J19/S19</f>
        <v>#DIV/0!</v>
      </c>
      <c r="S19" s="6">
        <v>0</v>
      </c>
    </row>
    <row r="20" spans="1:19" ht="15" hidden="1">
      <c r="A20" s="29" t="s">
        <v>22</v>
      </c>
      <c r="B20" s="30">
        <v>18</v>
      </c>
      <c r="C20" s="31">
        <v>453.74</v>
      </c>
      <c r="D20" s="32">
        <v>554.74</v>
      </c>
      <c r="E20" s="32">
        <v>328</v>
      </c>
      <c r="F20" s="32">
        <v>35</v>
      </c>
      <c r="G20" s="32">
        <v>27</v>
      </c>
      <c r="H20" s="32">
        <v>161</v>
      </c>
      <c r="I20" s="33">
        <v>968.97040000000004</v>
      </c>
      <c r="J20" s="32">
        <v>8</v>
      </c>
      <c r="K20" s="34">
        <f>Table178910111213235783[[#This Row],[On Time Counts]]/45</f>
        <v>0.17777777777777778</v>
      </c>
      <c r="L20" s="35">
        <v>4849.0200000000004</v>
      </c>
      <c r="M20" s="36">
        <f>Table178910111213235783[[#This Row],[Wipers +/-]]/Table178910111213235783[[#This Row],[Comp Sales]]</f>
        <v>5.5681354170533425E-3</v>
      </c>
      <c r="N20" s="37">
        <v>0</v>
      </c>
      <c r="O20" s="36">
        <f>Table178910111213235783[[#This Row],[Big 4 Items]]/Table178910111213235783[[#This Row],[Oil +/- ]]</f>
        <v>0</v>
      </c>
      <c r="P20" s="38">
        <f>J20/S20</f>
        <v>0.72727272727272729</v>
      </c>
      <c r="S20" s="6">
        <f t="shared" si="8"/>
        <v>11</v>
      </c>
    </row>
    <row r="21" spans="1:19" ht="15" hidden="1">
      <c r="A21" s="29" t="s">
        <v>22</v>
      </c>
      <c r="B21" s="30">
        <v>19</v>
      </c>
      <c r="C21" s="31">
        <v>1070.6199999999999</v>
      </c>
      <c r="D21" s="32">
        <v>1070.6199999999999</v>
      </c>
      <c r="E21" s="32">
        <v>120</v>
      </c>
      <c r="F21" s="32">
        <v>-89</v>
      </c>
      <c r="G21" s="32"/>
      <c r="H21" s="32"/>
      <c r="I21" s="33">
        <v>5508.2060000000001</v>
      </c>
      <c r="J21" s="32">
        <v>4</v>
      </c>
      <c r="K21" s="34">
        <f>Table178910111213235783[[#This Row],[On Time Counts]]/45</f>
        <v>8.8888888888888892E-2</v>
      </c>
      <c r="L21" s="35">
        <v>2994.56</v>
      </c>
      <c r="M21" s="36">
        <f>Table178910111213235783[[#This Row],[Wipers +/-]]/Table178910111213235783[[#This Row],[Comp Sales]]</f>
        <v>0</v>
      </c>
      <c r="N21" s="37">
        <v>0</v>
      </c>
      <c r="O21" s="36">
        <f>Table178910111213235783[[#This Row],[Big 4 Items]]/Table178910111213235783[[#This Row],[Oil +/- ]]</f>
        <v>0</v>
      </c>
      <c r="P21" s="38">
        <f>J21/S21</f>
        <v>0.36363636363636365</v>
      </c>
      <c r="S21" s="6">
        <f t="shared" si="8"/>
        <v>11</v>
      </c>
    </row>
    <row r="22" spans="1:19" ht="15" hidden="1">
      <c r="A22" s="29" t="s">
        <v>22</v>
      </c>
      <c r="B22" s="30">
        <v>282</v>
      </c>
      <c r="C22" s="31">
        <v>125.92</v>
      </c>
      <c r="D22" s="32">
        <v>186.92</v>
      </c>
      <c r="E22" s="32">
        <v>-3</v>
      </c>
      <c r="F22" s="32"/>
      <c r="G22" s="32"/>
      <c r="H22" s="32"/>
      <c r="I22" s="33">
        <v>-314.09780000000001</v>
      </c>
      <c r="J22" s="32">
        <v>3</v>
      </c>
      <c r="K22" s="34">
        <f>Table178910111213235783[[#This Row],[On Time Counts]]/45</f>
        <v>6.6666666666666666E-2</v>
      </c>
      <c r="L22" s="35">
        <v>6870.99</v>
      </c>
      <c r="M22" s="36">
        <f>Table178910111213235783[[#This Row],[Wipers +/-]]/Table178910111213235783[[#This Row],[Comp Sales]]</f>
        <v>0</v>
      </c>
      <c r="N22" s="37">
        <v>0</v>
      </c>
      <c r="O22" s="36">
        <f>Table178910111213235783[[#This Row],[Big 4 Items]]/Table178910111213235783[[#This Row],[Oil +/- ]]</f>
        <v>0</v>
      </c>
      <c r="P22" s="38">
        <f>J22/S22</f>
        <v>0.27272727272727271</v>
      </c>
      <c r="S22" s="6">
        <f t="shared" si="8"/>
        <v>11</v>
      </c>
    </row>
    <row r="23" spans="1:19" ht="15" hidden="1">
      <c r="A23" s="29" t="s">
        <v>22</v>
      </c>
      <c r="B23" s="30">
        <v>447</v>
      </c>
      <c r="C23" s="31">
        <v>-279.95999999999998</v>
      </c>
      <c r="D23" s="32">
        <v>-279.95999999999998</v>
      </c>
      <c r="E23" s="32">
        <v>-44</v>
      </c>
      <c r="F23" s="32">
        <v>-5</v>
      </c>
      <c r="G23" s="32"/>
      <c r="H23" s="32"/>
      <c r="I23" s="33">
        <v>-1079.8533</v>
      </c>
      <c r="J23" s="32">
        <v>6</v>
      </c>
      <c r="K23" s="34">
        <f>Table178910111213235783[[#This Row],[On Time Counts]]/45</f>
        <v>0.13333333333333333</v>
      </c>
      <c r="L23" s="35">
        <v>6806.79</v>
      </c>
      <c r="M23" s="36">
        <f>Table178910111213235783[[#This Row],[Wipers +/-]]/Table178910111213235783[[#This Row],[Comp Sales]]</f>
        <v>0</v>
      </c>
      <c r="N23" s="37">
        <v>0</v>
      </c>
      <c r="O23" s="36">
        <f>Table178910111213235783[[#This Row],[Big 4 Items]]/Table178910111213235783[[#This Row],[Oil +/- ]]</f>
        <v>0</v>
      </c>
      <c r="P23" s="38">
        <f>J23/S23</f>
        <v>0.54545454545454541</v>
      </c>
      <c r="S23" s="6">
        <f t="shared" si="8"/>
        <v>11</v>
      </c>
    </row>
    <row r="24" spans="1:19" ht="15" hidden="1">
      <c r="A24" s="29" t="s">
        <v>22</v>
      </c>
      <c r="B24" s="30">
        <v>448</v>
      </c>
      <c r="C24" s="31">
        <v>2414.2399999999998</v>
      </c>
      <c r="D24" s="32">
        <v>2414.2399999999998</v>
      </c>
      <c r="E24" s="32">
        <v>645</v>
      </c>
      <c r="F24" s="32">
        <v>21</v>
      </c>
      <c r="G24" s="32">
        <v>169</v>
      </c>
      <c r="H24" s="32">
        <v>8</v>
      </c>
      <c r="I24" s="33">
        <v>7957.1073999999999</v>
      </c>
      <c r="J24" s="32">
        <v>8</v>
      </c>
      <c r="K24" s="34">
        <f>Table178910111213235783[[#This Row],[On Time Counts]]/45</f>
        <v>0.17777777777777778</v>
      </c>
      <c r="L24" s="35">
        <v>3933.29</v>
      </c>
      <c r="M24" s="36">
        <f>Table178910111213235783[[#This Row],[Wipers +/-]]/Table178910111213235783[[#This Row],[Comp Sales]]</f>
        <v>4.2966575055487899E-2</v>
      </c>
      <c r="N24" s="37">
        <v>0</v>
      </c>
      <c r="O24" s="36">
        <f>Table178910111213235783[[#This Row],[Big 4 Items]]/Table178910111213235783[[#This Row],[Oil +/- ]]</f>
        <v>0</v>
      </c>
      <c r="P24" s="38">
        <f>J24/S24</f>
        <v>0.72727272727272729</v>
      </c>
      <c r="S24" s="6">
        <f t="shared" si="8"/>
        <v>11</v>
      </c>
    </row>
    <row r="25" spans="1:19" ht="15" hidden="1">
      <c r="A25" s="29" t="s">
        <v>22</v>
      </c>
      <c r="B25" s="30">
        <v>531</v>
      </c>
      <c r="C25" s="31">
        <v>-112.1</v>
      </c>
      <c r="D25" s="32">
        <v>-112.1</v>
      </c>
      <c r="E25" s="32">
        <v>17</v>
      </c>
      <c r="F25" s="32">
        <v>0</v>
      </c>
      <c r="G25" s="32">
        <v>17</v>
      </c>
      <c r="H25" s="32">
        <v>8</v>
      </c>
      <c r="I25" s="33">
        <v>-522.24300000000005</v>
      </c>
      <c r="J25" s="32">
        <v>7</v>
      </c>
      <c r="K25" s="34">
        <f>Table178910111213235783[[#This Row],[On Time Counts]]/45</f>
        <v>0.15555555555555556</v>
      </c>
      <c r="L25" s="35">
        <v>6987.69</v>
      </c>
      <c r="M25" s="36">
        <f>Table178910111213235783[[#This Row],[Wipers +/-]]/Table178910111213235783[[#This Row],[Comp Sales]]</f>
        <v>2.4328497686646089E-3</v>
      </c>
      <c r="N25" s="37">
        <v>0</v>
      </c>
      <c r="O25" s="36">
        <f>Table178910111213235783[[#This Row],[Big 4 Items]]/Table178910111213235783[[#This Row],[Oil +/- ]]</f>
        <v>0</v>
      </c>
      <c r="P25" s="38">
        <f>J25/S25</f>
        <v>0.63636363636363635</v>
      </c>
      <c r="S25" s="6">
        <f t="shared" si="8"/>
        <v>11</v>
      </c>
    </row>
    <row r="26" spans="1:19" ht="15" hidden="1">
      <c r="A26" s="29" t="s">
        <v>22</v>
      </c>
      <c r="B26" s="30">
        <v>832</v>
      </c>
      <c r="C26" s="31">
        <v>419</v>
      </c>
      <c r="D26" s="32">
        <v>419</v>
      </c>
      <c r="E26" s="32">
        <v>-1</v>
      </c>
      <c r="F26" s="32">
        <v>-19</v>
      </c>
      <c r="G26" s="32">
        <v>-1</v>
      </c>
      <c r="H26" s="32">
        <v>5</v>
      </c>
      <c r="I26" s="33">
        <v>2319.11</v>
      </c>
      <c r="J26" s="32">
        <v>10</v>
      </c>
      <c r="K26" s="34">
        <f>Table178910111213235783[[#This Row],[On Time Counts]]/45</f>
        <v>0.22222222222222221</v>
      </c>
      <c r="L26" s="35">
        <v>5562.48</v>
      </c>
      <c r="M26" s="36">
        <f>Table178910111213235783[[#This Row],[Wipers +/-]]/Table178910111213235783[[#This Row],[Comp Sales]]</f>
        <v>-1.7977592728423295E-4</v>
      </c>
      <c r="N26" s="37">
        <v>0</v>
      </c>
      <c r="O26" s="36">
        <f>Table178910111213235783[[#This Row],[Big 4 Items]]/Table178910111213235783[[#This Row],[Oil +/- ]]</f>
        <v>0</v>
      </c>
      <c r="P26" s="38">
        <f>J26/S26</f>
        <v>0.90909090909090906</v>
      </c>
      <c r="S26" s="6">
        <f t="shared" si="8"/>
        <v>11</v>
      </c>
    </row>
    <row r="27" spans="1:19" ht="15" hidden="1">
      <c r="A27" s="29" t="s">
        <v>23</v>
      </c>
      <c r="B27" s="30">
        <v>3</v>
      </c>
      <c r="C27" s="31"/>
      <c r="D27" s="32"/>
      <c r="E27" s="32"/>
      <c r="F27" s="32"/>
      <c r="G27" s="32"/>
      <c r="H27" s="32"/>
      <c r="I27" s="33"/>
      <c r="J27" s="32"/>
      <c r="K27" s="34">
        <f>Table178910111213235783[[#This Row],[On Time Counts]]/45</f>
        <v>0</v>
      </c>
      <c r="L27" s="35">
        <v>10385.27</v>
      </c>
      <c r="M27" s="36">
        <f>Table178910111213235783[[#This Row],[Wipers +/-]]/Table178910111213235783[[#This Row],[Comp Sales]]</f>
        <v>0</v>
      </c>
      <c r="N27" s="37">
        <v>0</v>
      </c>
      <c r="O27" s="36" t="e">
        <f>Table178910111213235783[[#This Row],[Big 4 Items]]/Table178910111213235783[[#This Row],[Oil +/- ]]</f>
        <v>#DIV/0!</v>
      </c>
      <c r="P27" s="38">
        <f>J27/S27</f>
        <v>0</v>
      </c>
      <c r="S27" s="6">
        <f t="shared" si="8"/>
        <v>11</v>
      </c>
    </row>
    <row r="28" spans="1:19" ht="15" hidden="1">
      <c r="A28" s="29" t="s">
        <v>23</v>
      </c>
      <c r="B28" s="30">
        <v>5</v>
      </c>
      <c r="C28" s="31">
        <v>-201</v>
      </c>
      <c r="D28" s="32">
        <v>-526</v>
      </c>
      <c r="E28" s="32">
        <v>149</v>
      </c>
      <c r="F28" s="32"/>
      <c r="G28" s="32">
        <v>-3</v>
      </c>
      <c r="H28" s="32">
        <v>-1</v>
      </c>
      <c r="I28" s="33">
        <v>103.54</v>
      </c>
      <c r="J28" s="32">
        <v>9</v>
      </c>
      <c r="K28" s="34">
        <f>Table178910111213235783[[#This Row],[On Time Counts]]/45</f>
        <v>0.2</v>
      </c>
      <c r="L28" s="35">
        <v>5512.41</v>
      </c>
      <c r="M28" s="36">
        <f>Table178910111213235783[[#This Row],[Wipers +/-]]/Table178910111213235783[[#This Row],[Comp Sales]]</f>
        <v>-5.4422657240662435E-4</v>
      </c>
      <c r="N28" s="37">
        <v>0</v>
      </c>
      <c r="O28" s="36">
        <f>Table178910111213235783[[#This Row],[Big 4 Items]]/Table178910111213235783[[#This Row],[Oil +/- ]]</f>
        <v>0</v>
      </c>
      <c r="P28" s="38">
        <f>J28/S28</f>
        <v>0.81818181818181823</v>
      </c>
      <c r="S28" s="6">
        <f t="shared" si="8"/>
        <v>11</v>
      </c>
    </row>
    <row r="29" spans="1:19" ht="15" hidden="1">
      <c r="A29" s="29" t="s">
        <v>23</v>
      </c>
      <c r="B29" s="30">
        <v>11</v>
      </c>
      <c r="C29" s="31">
        <v>-138</v>
      </c>
      <c r="D29" s="32">
        <v>-13</v>
      </c>
      <c r="E29" s="32"/>
      <c r="F29" s="32">
        <v>0</v>
      </c>
      <c r="G29" s="32">
        <v>-2</v>
      </c>
      <c r="H29" s="32">
        <v>0</v>
      </c>
      <c r="I29" s="33">
        <v>-1360.72</v>
      </c>
      <c r="J29" s="32">
        <v>8</v>
      </c>
      <c r="K29" s="34">
        <f>Table178910111213235783[[#This Row],[On Time Counts]]/45</f>
        <v>0.17777777777777778</v>
      </c>
      <c r="L29" s="35">
        <v>7892.5</v>
      </c>
      <c r="M29" s="36">
        <f>Table178910111213235783[[#This Row],[Wipers +/-]]/Table178910111213235783[[#This Row],[Comp Sales]]</f>
        <v>-2.5340513145391194E-4</v>
      </c>
      <c r="N29" s="37">
        <v>0</v>
      </c>
      <c r="O29" s="36">
        <f>Table178910111213235783[[#This Row],[Big 4 Items]]/Table178910111213235783[[#This Row],[Oil +/- ]]</f>
        <v>0</v>
      </c>
      <c r="P29" s="38">
        <f>J29/S29</f>
        <v>0.72727272727272729</v>
      </c>
      <c r="S29" s="6">
        <f t="shared" si="8"/>
        <v>11</v>
      </c>
    </row>
    <row r="30" spans="1:19" ht="15" hidden="1">
      <c r="A30" s="29" t="s">
        <v>23</v>
      </c>
      <c r="B30" s="30">
        <v>14</v>
      </c>
      <c r="C30" s="31">
        <v>406</v>
      </c>
      <c r="D30" s="32">
        <v>513</v>
      </c>
      <c r="E30" s="32"/>
      <c r="F30" s="32"/>
      <c r="G30" s="32">
        <v>0</v>
      </c>
      <c r="H30" s="32">
        <v>9</v>
      </c>
      <c r="I30" s="33">
        <v>2499.58</v>
      </c>
      <c r="J30" s="32">
        <v>6</v>
      </c>
      <c r="K30" s="34">
        <f>Table178910111213235783[[#This Row],[On Time Counts]]/45</f>
        <v>0.13333333333333333</v>
      </c>
      <c r="L30" s="35">
        <v>3854.43</v>
      </c>
      <c r="M30" s="36">
        <f>Table178910111213235783[[#This Row],[Wipers +/-]]/Table178910111213235783[[#This Row],[Comp Sales]]</f>
        <v>0</v>
      </c>
      <c r="N30" s="37">
        <v>0</v>
      </c>
      <c r="O30" s="36">
        <f>Table178910111213235783[[#This Row],[Big 4 Items]]/Table178910111213235783[[#This Row],[Oil +/- ]]</f>
        <v>0</v>
      </c>
      <c r="P30" s="38">
        <f>J30/S30</f>
        <v>0.54545454545454541</v>
      </c>
      <c r="S30" s="6">
        <f t="shared" si="8"/>
        <v>11</v>
      </c>
    </row>
    <row r="31" spans="1:19" ht="15" hidden="1">
      <c r="A31" s="29" t="s">
        <v>23</v>
      </c>
      <c r="B31" s="30">
        <v>20</v>
      </c>
      <c r="C31" s="31"/>
      <c r="D31" s="32"/>
      <c r="E31" s="32">
        <v>12</v>
      </c>
      <c r="F31" s="32">
        <v>2</v>
      </c>
      <c r="G31" s="32">
        <v>5</v>
      </c>
      <c r="H31" s="32">
        <v>-1</v>
      </c>
      <c r="I31" s="33">
        <v>48.46</v>
      </c>
      <c r="J31" s="32">
        <v>2</v>
      </c>
      <c r="K31" s="34">
        <f>Table178910111213235783[[#This Row],[On Time Counts]]/45</f>
        <v>4.4444444444444446E-2</v>
      </c>
      <c r="L31" s="35">
        <v>6979.44</v>
      </c>
      <c r="M31" s="36">
        <f>Table178910111213235783[[#This Row],[Wipers +/-]]/Table178910111213235783[[#This Row],[Comp Sales]]</f>
        <v>7.1638985362722511E-4</v>
      </c>
      <c r="N31" s="37">
        <v>0</v>
      </c>
      <c r="O31" s="36" t="e">
        <f>Table178910111213235783[[#This Row],[Big 4 Items]]/Table178910111213235783[[#This Row],[Oil +/- ]]</f>
        <v>#DIV/0!</v>
      </c>
      <c r="P31" s="38">
        <f>J31/S31</f>
        <v>0.18181818181818182</v>
      </c>
      <c r="S31" s="6">
        <f t="shared" si="8"/>
        <v>11</v>
      </c>
    </row>
    <row r="32" spans="1:19" ht="15" hidden="1">
      <c r="A32" s="29" t="s">
        <v>23</v>
      </c>
      <c r="B32" s="30">
        <v>21</v>
      </c>
      <c r="C32" s="31">
        <v>-8</v>
      </c>
      <c r="D32" s="32">
        <v>-24</v>
      </c>
      <c r="E32" s="32">
        <v>18</v>
      </c>
      <c r="F32" s="32"/>
      <c r="G32" s="32">
        <v>-2</v>
      </c>
      <c r="H32" s="32">
        <v>-1</v>
      </c>
      <c r="I32" s="33">
        <v>557.72</v>
      </c>
      <c r="J32" s="32">
        <v>10</v>
      </c>
      <c r="K32" s="34">
        <f>Table178910111213235783[[#This Row],[On Time Counts]]/45</f>
        <v>0.22222222222222221</v>
      </c>
      <c r="L32" s="35">
        <v>7573.54</v>
      </c>
      <c r="M32" s="36">
        <f>Table178910111213235783[[#This Row],[Wipers +/-]]/Table178910111213235783[[#This Row],[Comp Sales]]</f>
        <v>-2.6407730070746309E-4</v>
      </c>
      <c r="N32" s="37">
        <v>0</v>
      </c>
      <c r="O32" s="36">
        <f>Table178910111213235783[[#This Row],[Big 4 Items]]/Table178910111213235783[[#This Row],[Oil +/- ]]</f>
        <v>0</v>
      </c>
      <c r="P32" s="38">
        <f>J32/S32</f>
        <v>0.90909090909090906</v>
      </c>
      <c r="S32" s="6">
        <f t="shared" si="8"/>
        <v>11</v>
      </c>
    </row>
    <row r="33" spans="1:19" ht="15" hidden="1">
      <c r="A33" s="29" t="s">
        <v>23</v>
      </c>
      <c r="B33" s="30">
        <v>23</v>
      </c>
      <c r="C33" s="31">
        <v>339</v>
      </c>
      <c r="D33" s="32">
        <v>45</v>
      </c>
      <c r="E33" s="32"/>
      <c r="F33" s="32"/>
      <c r="G33" s="32">
        <v>2</v>
      </c>
      <c r="H33" s="32">
        <v>1</v>
      </c>
      <c r="I33" s="33">
        <v>481.92</v>
      </c>
      <c r="J33" s="32">
        <v>5</v>
      </c>
      <c r="K33" s="34">
        <f>Table178910111213235783[[#This Row],[On Time Counts]]/45</f>
        <v>0.1111111111111111</v>
      </c>
      <c r="L33" s="35">
        <v>5842.02</v>
      </c>
      <c r="M33" s="36">
        <f>Table178910111213235783[[#This Row],[Wipers +/-]]/Table178910111213235783[[#This Row],[Comp Sales]]</f>
        <v>3.4234733876296208E-4</v>
      </c>
      <c r="N33" s="37">
        <v>0</v>
      </c>
      <c r="O33" s="36">
        <f>Table178910111213235783[[#This Row],[Big 4 Items]]/Table178910111213235783[[#This Row],[Oil +/- ]]</f>
        <v>0</v>
      </c>
      <c r="P33" s="38">
        <f>J33/S33</f>
        <v>0.45454545454545453</v>
      </c>
      <c r="S33" s="6">
        <f t="shared" si="8"/>
        <v>11</v>
      </c>
    </row>
    <row r="34" spans="1:19" ht="15" hidden="1">
      <c r="A34" s="29" t="s">
        <v>23</v>
      </c>
      <c r="B34" s="30">
        <v>24</v>
      </c>
      <c r="C34" s="31">
        <v>-95</v>
      </c>
      <c r="D34" s="32">
        <v>-95</v>
      </c>
      <c r="E34" s="32"/>
      <c r="F34" s="32">
        <v>27</v>
      </c>
      <c r="G34" s="32"/>
      <c r="H34" s="32"/>
      <c r="I34" s="33">
        <v>-424.94</v>
      </c>
      <c r="J34" s="32">
        <v>4</v>
      </c>
      <c r="K34" s="34">
        <f>Table178910111213235783[[#This Row],[On Time Counts]]/45</f>
        <v>8.8888888888888892E-2</v>
      </c>
      <c r="L34" s="35">
        <v>6567.35</v>
      </c>
      <c r="M34" s="36">
        <f>Table178910111213235783[[#This Row],[Wipers +/-]]/Table178910111213235783[[#This Row],[Comp Sales]]</f>
        <v>0</v>
      </c>
      <c r="N34" s="37">
        <v>0</v>
      </c>
      <c r="O34" s="36">
        <f>Table178910111213235783[[#This Row],[Big 4 Items]]/Table178910111213235783[[#This Row],[Oil +/- ]]</f>
        <v>0</v>
      </c>
      <c r="P34" s="38">
        <f>J34/S34</f>
        <v>0.36363636363636365</v>
      </c>
      <c r="S34" s="6">
        <f t="shared" si="8"/>
        <v>11</v>
      </c>
    </row>
    <row r="35" spans="1:19" ht="15" hidden="1">
      <c r="A35" s="29" t="s">
        <v>23</v>
      </c>
      <c r="B35" s="30">
        <v>26</v>
      </c>
      <c r="C35" s="31">
        <v>5</v>
      </c>
      <c r="D35" s="32">
        <v>32</v>
      </c>
      <c r="E35" s="32">
        <v>202</v>
      </c>
      <c r="F35" s="32">
        <v>-21</v>
      </c>
      <c r="G35" s="32"/>
      <c r="H35" s="32">
        <v>-1</v>
      </c>
      <c r="I35" s="33">
        <v>341.39</v>
      </c>
      <c r="J35" s="32">
        <v>8</v>
      </c>
      <c r="K35" s="34">
        <f>Table178910111213235783[[#This Row],[On Time Counts]]/45</f>
        <v>0.17777777777777778</v>
      </c>
      <c r="L35" s="35">
        <v>5286.48</v>
      </c>
      <c r="M35" s="36">
        <f>Table178910111213235783[[#This Row],[Wipers +/-]]/Table178910111213235783[[#This Row],[Comp Sales]]</f>
        <v>0</v>
      </c>
      <c r="N35" s="37">
        <v>0</v>
      </c>
      <c r="O35" s="36">
        <f>Table178910111213235783[[#This Row],[Big 4 Items]]/Table178910111213235783[[#This Row],[Oil +/- ]]</f>
        <v>0</v>
      </c>
      <c r="P35" s="38">
        <f>J35/S35</f>
        <v>0.72727272727272729</v>
      </c>
      <c r="S35" s="6">
        <f t="shared" si="8"/>
        <v>11</v>
      </c>
    </row>
    <row r="36" spans="1:19" ht="15" hidden="1">
      <c r="A36" s="29" t="s">
        <v>24</v>
      </c>
      <c r="B36" s="30">
        <v>46</v>
      </c>
      <c r="C36" s="31">
        <v>19</v>
      </c>
      <c r="D36" s="32">
        <v>19</v>
      </c>
      <c r="E36" s="32">
        <v>0</v>
      </c>
      <c r="F36" s="32"/>
      <c r="G36" s="32"/>
      <c r="H36" s="32"/>
      <c r="I36" s="33">
        <v>42.51</v>
      </c>
      <c r="J36" s="32">
        <v>5</v>
      </c>
      <c r="K36" s="34">
        <f>Table178910111213235783[[#This Row],[On Time Counts]]/45</f>
        <v>0.1111111111111111</v>
      </c>
      <c r="L36" s="35">
        <v>4596.08</v>
      </c>
      <c r="M36" s="36">
        <f>Table178910111213235783[[#This Row],[Wipers +/-]]/Table178910111213235783[[#This Row],[Comp Sales]]</f>
        <v>0</v>
      </c>
      <c r="N36" s="39">
        <v>0</v>
      </c>
      <c r="O36" s="36">
        <f>Table178910111213235783[[#This Row],[Big 4 Items]]/Table178910111213235783[[#This Row],[Oil +/- ]]</f>
        <v>0</v>
      </c>
      <c r="P36" s="38">
        <f>J36/S36</f>
        <v>0.45454545454545453</v>
      </c>
      <c r="S36" s="6">
        <f t="shared" si="8"/>
        <v>11</v>
      </c>
    </row>
    <row r="37" spans="1:19" ht="15" hidden="1">
      <c r="A37" s="29" t="s">
        <v>24</v>
      </c>
      <c r="B37" s="30">
        <v>283</v>
      </c>
      <c r="C37" s="31">
        <v>-1213</v>
      </c>
      <c r="D37" s="32">
        <v>-1067</v>
      </c>
      <c r="E37" s="32">
        <v>-21</v>
      </c>
      <c r="F37" s="32"/>
      <c r="G37" s="32"/>
      <c r="H37" s="32"/>
      <c r="I37" s="33">
        <v>-4140.53</v>
      </c>
      <c r="J37" s="32">
        <v>4</v>
      </c>
      <c r="K37" s="34">
        <f>Table178910111213235783[[#This Row],[On Time Counts]]/45</f>
        <v>8.8888888888888892E-2</v>
      </c>
      <c r="L37" s="35">
        <v>7096.63</v>
      </c>
      <c r="M37" s="36">
        <f>Table178910111213235783[[#This Row],[Wipers +/-]]/Table178910111213235783[[#This Row],[Comp Sales]]</f>
        <v>0</v>
      </c>
      <c r="N37" s="37">
        <v>0</v>
      </c>
      <c r="O37" s="36">
        <f>Table178910111213235783[[#This Row],[Big 4 Items]]/Table178910111213235783[[#This Row],[Oil +/- ]]</f>
        <v>0</v>
      </c>
      <c r="P37" s="38">
        <f>J37/S37</f>
        <v>0.36363636363636365</v>
      </c>
      <c r="S37" s="6">
        <f t="shared" si="8"/>
        <v>11</v>
      </c>
    </row>
    <row r="38" spans="1:19" ht="15" hidden="1">
      <c r="A38" s="29" t="s">
        <v>24</v>
      </c>
      <c r="B38" s="30">
        <v>847</v>
      </c>
      <c r="C38" s="31">
        <v>-147</v>
      </c>
      <c r="D38" s="32">
        <v>-147</v>
      </c>
      <c r="E38" s="32"/>
      <c r="F38" s="32"/>
      <c r="G38" s="32">
        <v>83</v>
      </c>
      <c r="H38" s="32">
        <v>-2</v>
      </c>
      <c r="I38" s="33">
        <v>29.3</v>
      </c>
      <c r="J38" s="32">
        <v>4</v>
      </c>
      <c r="K38" s="34">
        <f>Table178910111213235783[[#This Row],[On Time Counts]]/45</f>
        <v>8.8888888888888892E-2</v>
      </c>
      <c r="L38" s="35">
        <v>6662.04</v>
      </c>
      <c r="M38" s="36">
        <f>Table178910111213235783[[#This Row],[Wipers +/-]]/Table178910111213235783[[#This Row],[Comp Sales]]</f>
        <v>1.245864630053257E-2</v>
      </c>
      <c r="N38" s="37">
        <v>0</v>
      </c>
      <c r="O38" s="36">
        <f>Table178910111213235783[[#This Row],[Big 4 Items]]/Table178910111213235783[[#This Row],[Oil +/- ]]</f>
        <v>0</v>
      </c>
      <c r="P38" s="38">
        <f>J38/S38</f>
        <v>0.36363636363636365</v>
      </c>
      <c r="S38" s="6">
        <f t="shared" si="8"/>
        <v>11</v>
      </c>
    </row>
    <row r="39" spans="1:19" ht="15" hidden="1">
      <c r="A39" s="29" t="s">
        <v>24</v>
      </c>
      <c r="B39" s="30">
        <v>865</v>
      </c>
      <c r="C39" s="31">
        <v>1465</v>
      </c>
      <c r="D39" s="32">
        <v>1405</v>
      </c>
      <c r="E39" s="32">
        <v>-1</v>
      </c>
      <c r="F39" s="32">
        <v>32</v>
      </c>
      <c r="G39" s="32">
        <v>-1</v>
      </c>
      <c r="H39" s="32">
        <v>34</v>
      </c>
      <c r="I39" s="33">
        <v>4262.84</v>
      </c>
      <c r="J39" s="32">
        <v>10</v>
      </c>
      <c r="K39" s="34">
        <f>Table178910111213235783[[#This Row],[On Time Counts]]/45</f>
        <v>0.22222222222222221</v>
      </c>
      <c r="L39" s="35">
        <v>3219.44</v>
      </c>
      <c r="M39" s="36">
        <f>Table178910111213235783[[#This Row],[Wipers +/-]]/Table178910111213235783[[#This Row],[Comp Sales]]</f>
        <v>-3.1061302586785278E-4</v>
      </c>
      <c r="N39" s="37">
        <v>0</v>
      </c>
      <c r="O39" s="36">
        <f>Table178910111213235783[[#This Row],[Big 4 Items]]/Table178910111213235783[[#This Row],[Oil +/- ]]</f>
        <v>0</v>
      </c>
      <c r="P39" s="38">
        <f>J39/S39</f>
        <v>0.90909090909090906</v>
      </c>
      <c r="S39" s="6">
        <f t="shared" si="8"/>
        <v>11</v>
      </c>
    </row>
    <row r="40" spans="1:19" ht="15" hidden="1">
      <c r="A40" s="29" t="s">
        <v>24</v>
      </c>
      <c r="B40" s="30">
        <v>919</v>
      </c>
      <c r="C40" s="31">
        <v>-22</v>
      </c>
      <c r="D40" s="32">
        <v>-9</v>
      </c>
      <c r="E40" s="32"/>
      <c r="F40" s="32">
        <v>0</v>
      </c>
      <c r="G40" s="32">
        <v>-1</v>
      </c>
      <c r="H40" s="32">
        <v>4</v>
      </c>
      <c r="I40" s="33">
        <v>28.47</v>
      </c>
      <c r="J40" s="32">
        <v>8</v>
      </c>
      <c r="K40" s="34">
        <f>Table178910111213235783[[#This Row],[On Time Counts]]/45</f>
        <v>0.17777777777777778</v>
      </c>
      <c r="L40" s="35">
        <v>3981.57</v>
      </c>
      <c r="M40" s="36">
        <f>Table178910111213235783[[#This Row],[Wipers +/-]]/Table178910111213235783[[#This Row],[Comp Sales]]</f>
        <v>-2.5115720683047138E-4</v>
      </c>
      <c r="N40" s="37">
        <v>0</v>
      </c>
      <c r="O40" s="36">
        <f>Table178910111213235783[[#This Row],[Big 4 Items]]/Table178910111213235783[[#This Row],[Oil +/- ]]</f>
        <v>0</v>
      </c>
      <c r="P40" s="38">
        <f>J40/S40</f>
        <v>0.72727272727272729</v>
      </c>
      <c r="S40" s="6">
        <f t="shared" si="8"/>
        <v>11</v>
      </c>
    </row>
    <row r="41" spans="1:19" ht="15" hidden="1">
      <c r="A41" s="29" t="s">
        <v>24</v>
      </c>
      <c r="B41" s="40">
        <v>954</v>
      </c>
      <c r="C41" s="31">
        <v>111</v>
      </c>
      <c r="D41" s="32">
        <v>103</v>
      </c>
      <c r="E41" s="32">
        <v>2</v>
      </c>
      <c r="F41" s="32"/>
      <c r="G41" s="32">
        <v>-10</v>
      </c>
      <c r="H41" s="32">
        <v>-8</v>
      </c>
      <c r="I41" s="33">
        <v>681.01</v>
      </c>
      <c r="J41" s="32">
        <v>7</v>
      </c>
      <c r="K41" s="34">
        <f>Table178910111213235783[[#This Row],[On Time Counts]]/45</f>
        <v>0.15555555555555556</v>
      </c>
      <c r="L41" s="35"/>
      <c r="M41" s="36" t="e">
        <f>Table178910111213235783[[#This Row],[Wipers +/-]]/Table178910111213235783[[#This Row],[Comp Sales]]</f>
        <v>#DIV/0!</v>
      </c>
      <c r="N41" s="39"/>
      <c r="O41" s="36">
        <f>Table178910111213235783[[#This Row],[Big 4 Items]]/Table178910111213235783[[#This Row],[Oil +/- ]]</f>
        <v>0</v>
      </c>
      <c r="P41" s="38">
        <f>J41/S41</f>
        <v>0.63636363636363635</v>
      </c>
      <c r="S41" s="6">
        <f t="shared" si="8"/>
        <v>11</v>
      </c>
    </row>
    <row r="42" spans="1:19" ht="15" hidden="1">
      <c r="A42" s="29" t="s">
        <v>24</v>
      </c>
      <c r="B42" s="30">
        <v>3017</v>
      </c>
      <c r="C42" s="31">
        <v>569</v>
      </c>
      <c r="D42" s="32">
        <v>569</v>
      </c>
      <c r="E42" s="32">
        <v>18</v>
      </c>
      <c r="F42" s="32"/>
      <c r="G42" s="32"/>
      <c r="H42" s="32"/>
      <c r="I42" s="33">
        <v>2776.22</v>
      </c>
      <c r="J42" s="32">
        <v>7</v>
      </c>
      <c r="K42" s="34">
        <f>Table178910111213235783[[#This Row],[On Time Counts]]/45</f>
        <v>0.15555555555555556</v>
      </c>
      <c r="L42" s="35">
        <v>4219.46</v>
      </c>
      <c r="M42" s="36">
        <f>Table178910111213235783[[#This Row],[Wipers +/-]]/Table178910111213235783[[#This Row],[Comp Sales]]</f>
        <v>0</v>
      </c>
      <c r="N42" s="37">
        <v>0</v>
      </c>
      <c r="O42" s="36">
        <f>Table178910111213235783[[#This Row],[Big 4 Items]]/Table178910111213235783[[#This Row],[Oil +/- ]]</f>
        <v>0</v>
      </c>
      <c r="P42" s="38">
        <f>J42/S42</f>
        <v>0.63636363636363635</v>
      </c>
      <c r="S42" s="6">
        <f t="shared" si="8"/>
        <v>11</v>
      </c>
    </row>
    <row r="43" spans="1:19" ht="15" hidden="1">
      <c r="A43" s="29" t="s">
        <v>25</v>
      </c>
      <c r="B43" s="30">
        <v>29</v>
      </c>
      <c r="C43" s="31">
        <v>318</v>
      </c>
      <c r="D43" s="32">
        <v>318</v>
      </c>
      <c r="E43" s="32"/>
      <c r="F43" s="32">
        <v>4</v>
      </c>
      <c r="G43" s="32"/>
      <c r="H43" s="32">
        <v>-4</v>
      </c>
      <c r="I43" s="33">
        <v>877.8</v>
      </c>
      <c r="J43" s="32">
        <v>8</v>
      </c>
      <c r="K43" s="34">
        <f>Table178910111213235783[[#This Row],[On Time Counts]]/45</f>
        <v>0.17777777777777778</v>
      </c>
      <c r="L43" s="35">
        <v>6761.54</v>
      </c>
      <c r="M43" s="36">
        <f>Table178910111213235783[[#This Row],[Wipers +/-]]/Table178910111213235783[[#This Row],[Comp Sales]]</f>
        <v>0</v>
      </c>
      <c r="N43" s="37">
        <v>0</v>
      </c>
      <c r="O43" s="36">
        <f>Table178910111213235783[[#This Row],[Big 4 Items]]/Table178910111213235783[[#This Row],[Oil +/- ]]</f>
        <v>0</v>
      </c>
      <c r="P43" s="38">
        <f>J43/S43</f>
        <v>0.72727272727272729</v>
      </c>
      <c r="S43" s="6">
        <f t="shared" si="8"/>
        <v>11</v>
      </c>
    </row>
    <row r="44" spans="1:19" ht="15" hidden="1">
      <c r="A44" s="29" t="s">
        <v>25</v>
      </c>
      <c r="B44" s="30">
        <v>40</v>
      </c>
      <c r="C44" s="31">
        <v>-14</v>
      </c>
      <c r="D44" s="32">
        <v>-14</v>
      </c>
      <c r="E44" s="32">
        <v>63</v>
      </c>
      <c r="F44" s="32">
        <v>7</v>
      </c>
      <c r="G44" s="32">
        <v>-4</v>
      </c>
      <c r="H44" s="32">
        <v>-2</v>
      </c>
      <c r="I44" s="33">
        <v>140.37</v>
      </c>
      <c r="J44" s="32">
        <v>9</v>
      </c>
      <c r="K44" s="34">
        <f>Table178910111213235783[[#This Row],[On Time Counts]]/45</f>
        <v>0.2</v>
      </c>
      <c r="L44" s="35">
        <v>4100.43</v>
      </c>
      <c r="M44" s="36">
        <f>Table178910111213235783[[#This Row],[Wipers +/-]]/Table178910111213235783[[#This Row],[Comp Sales]]</f>
        <v>-9.7550744677997177E-4</v>
      </c>
      <c r="N44" s="37">
        <v>0</v>
      </c>
      <c r="O44" s="36">
        <f>Table178910111213235783[[#This Row],[Big 4 Items]]/Table178910111213235783[[#This Row],[Oil +/- ]]</f>
        <v>0</v>
      </c>
      <c r="P44" s="38">
        <f>J44/S44</f>
        <v>0.81818181818181823</v>
      </c>
      <c r="S44" s="6">
        <f t="shared" si="8"/>
        <v>11</v>
      </c>
    </row>
    <row r="45" spans="1:19" ht="15" hidden="1">
      <c r="A45" s="29" t="s">
        <v>25</v>
      </c>
      <c r="B45" s="30">
        <v>280</v>
      </c>
      <c r="C45" s="31">
        <v>108</v>
      </c>
      <c r="D45" s="32">
        <v>25</v>
      </c>
      <c r="E45" s="32">
        <v>16</v>
      </c>
      <c r="F45" s="32">
        <v>-1</v>
      </c>
      <c r="G45" s="32">
        <v>-2</v>
      </c>
      <c r="H45" s="32">
        <v>0</v>
      </c>
      <c r="I45" s="33">
        <v>353.6</v>
      </c>
      <c r="J45" s="32">
        <v>11</v>
      </c>
      <c r="K45" s="34">
        <f>Table178910111213235783[[#This Row],[On Time Counts]]/45</f>
        <v>0.24444444444444444</v>
      </c>
      <c r="L45" s="35">
        <v>2513.65</v>
      </c>
      <c r="M45" s="36">
        <f>Table178910111213235783[[#This Row],[Wipers +/-]]/Table178910111213235783[[#This Row],[Comp Sales]]</f>
        <v>-7.9565571977005544E-4</v>
      </c>
      <c r="N45" s="37">
        <v>0</v>
      </c>
      <c r="O45" s="36">
        <f>Table178910111213235783[[#This Row],[Big 4 Items]]/Table178910111213235783[[#This Row],[Oil +/- ]]</f>
        <v>0</v>
      </c>
      <c r="P45" s="38">
        <f>J45/S45</f>
        <v>1</v>
      </c>
      <c r="S45" s="6">
        <f t="shared" si="8"/>
        <v>11</v>
      </c>
    </row>
    <row r="46" spans="1:19" ht="15" hidden="1">
      <c r="A46" s="29" t="s">
        <v>25</v>
      </c>
      <c r="B46" s="30">
        <v>599</v>
      </c>
      <c r="C46" s="31">
        <v>-7</v>
      </c>
      <c r="D46" s="32">
        <v>-11</v>
      </c>
      <c r="E46" s="32">
        <v>25</v>
      </c>
      <c r="F46" s="32">
        <v>-1</v>
      </c>
      <c r="G46" s="32">
        <v>-1</v>
      </c>
      <c r="H46" s="32">
        <v>0</v>
      </c>
      <c r="I46" s="33">
        <v>135.32</v>
      </c>
      <c r="J46" s="32">
        <v>11</v>
      </c>
      <c r="K46" s="34">
        <f>Table178910111213235783[[#This Row],[On Time Counts]]/45</f>
        <v>0.24444444444444444</v>
      </c>
      <c r="L46" s="35">
        <v>2026.59</v>
      </c>
      <c r="M46" s="36">
        <f>Table178910111213235783[[#This Row],[Wipers +/-]]/Table178910111213235783[[#This Row],[Comp Sales]]</f>
        <v>-4.9343971893673613E-4</v>
      </c>
      <c r="N46" s="37">
        <v>0</v>
      </c>
      <c r="O46" s="36">
        <f>Table178910111213235783[[#This Row],[Big 4 Items]]/Table178910111213235783[[#This Row],[Oil +/- ]]</f>
        <v>0</v>
      </c>
      <c r="P46" s="38">
        <f>J46/S46</f>
        <v>1</v>
      </c>
      <c r="S46" s="6">
        <f t="shared" si="8"/>
        <v>11</v>
      </c>
    </row>
    <row r="47" spans="1:19" ht="15" hidden="1">
      <c r="A47" s="29" t="s">
        <v>25</v>
      </c>
      <c r="B47" s="30">
        <v>720</v>
      </c>
      <c r="C47" s="31">
        <v>657</v>
      </c>
      <c r="D47" s="32">
        <v>657</v>
      </c>
      <c r="E47" s="32">
        <v>-1</v>
      </c>
      <c r="F47" s="32">
        <v>-12</v>
      </c>
      <c r="G47" s="32">
        <v>3</v>
      </c>
      <c r="H47" s="32">
        <v>-4</v>
      </c>
      <c r="I47" s="33">
        <v>1912.74</v>
      </c>
      <c r="J47" s="32">
        <v>6</v>
      </c>
      <c r="K47" s="34">
        <f>Table178910111213235783[[#This Row],[On Time Counts]]/45</f>
        <v>0.13333333333333333</v>
      </c>
      <c r="L47" s="35">
        <v>0</v>
      </c>
      <c r="M47" s="36" t="e">
        <f>Table178910111213235783[[#This Row],[Wipers +/-]]/Table178910111213235783[[#This Row],[Comp Sales]]</f>
        <v>#DIV/0!</v>
      </c>
      <c r="N47" s="37">
        <v>0</v>
      </c>
      <c r="O47" s="36">
        <f>Table178910111213235783[[#This Row],[Big 4 Items]]/Table178910111213235783[[#This Row],[Oil +/- ]]</f>
        <v>0</v>
      </c>
      <c r="P47" s="38">
        <f>J47/S47</f>
        <v>0.54545454545454541</v>
      </c>
      <c r="S47" s="6">
        <f t="shared" si="8"/>
        <v>11</v>
      </c>
    </row>
    <row r="48" spans="1:19" ht="15" hidden="1">
      <c r="A48" s="29" t="s">
        <v>25</v>
      </c>
      <c r="B48" s="30">
        <v>728</v>
      </c>
      <c r="C48" s="31">
        <v>8</v>
      </c>
      <c r="D48" s="32">
        <v>8</v>
      </c>
      <c r="E48" s="32">
        <v>-29</v>
      </c>
      <c r="F48" s="32">
        <v>3</v>
      </c>
      <c r="G48" s="32">
        <v>1</v>
      </c>
      <c r="H48" s="32">
        <v>-1</v>
      </c>
      <c r="I48" s="33">
        <v>37.840000000000003</v>
      </c>
      <c r="J48" s="32">
        <v>9</v>
      </c>
      <c r="K48" s="34">
        <f>Table178910111213235783[[#This Row],[On Time Counts]]/45</f>
        <v>0.2</v>
      </c>
      <c r="L48" s="35">
        <v>3487.35</v>
      </c>
      <c r="M48" s="36">
        <f>Table178910111213235783[[#This Row],[Wipers +/-]]/Table178910111213235783[[#This Row],[Comp Sales]]</f>
        <v>2.8675068461725953E-4</v>
      </c>
      <c r="N48" s="37">
        <v>0</v>
      </c>
      <c r="O48" s="36">
        <f>Table178910111213235783[[#This Row],[Big 4 Items]]/Table178910111213235783[[#This Row],[Oil +/- ]]</f>
        <v>0</v>
      </c>
      <c r="P48" s="38">
        <f>J48/S48</f>
        <v>0.81818181818181823</v>
      </c>
      <c r="S48" s="6">
        <f t="shared" si="8"/>
        <v>11</v>
      </c>
    </row>
    <row r="49" spans="1:19" ht="15" hidden="1">
      <c r="A49" s="29" t="s">
        <v>25</v>
      </c>
      <c r="B49" s="30">
        <v>830</v>
      </c>
      <c r="C49" s="31">
        <v>85</v>
      </c>
      <c r="D49" s="32">
        <v>85</v>
      </c>
      <c r="E49" s="32">
        <v>33</v>
      </c>
      <c r="F49" s="32">
        <v>-2</v>
      </c>
      <c r="G49" s="32">
        <v>14</v>
      </c>
      <c r="H49" s="32">
        <v>-7</v>
      </c>
      <c r="I49" s="33">
        <v>570.45000000000005</v>
      </c>
      <c r="J49" s="32">
        <v>9</v>
      </c>
      <c r="K49" s="34">
        <f>Table178910111213235783[[#This Row],[On Time Counts]]/45</f>
        <v>0.2</v>
      </c>
      <c r="L49" s="35">
        <v>3488.35</v>
      </c>
      <c r="M49" s="36">
        <f>Table178910111213235783[[#This Row],[Wipers +/-]]/Table178910111213235783[[#This Row],[Comp Sales]]</f>
        <v>4.0133587512720913E-3</v>
      </c>
      <c r="N49" s="37">
        <v>1</v>
      </c>
      <c r="O49" s="36">
        <f>Table178910111213235783[[#This Row],[Big 4 Items]]/Table178910111213235783[[#This Row],[Oil +/- ]]</f>
        <v>1.1764705882352941E-2</v>
      </c>
      <c r="P49" s="38">
        <f>J49/S49</f>
        <v>0.81818181818181823</v>
      </c>
      <c r="S49" s="6">
        <f t="shared" si="8"/>
        <v>11</v>
      </c>
    </row>
    <row r="50" spans="1:19" ht="15" hidden="1">
      <c r="A50" s="29" t="s">
        <v>25</v>
      </c>
      <c r="B50" s="30">
        <v>975</v>
      </c>
      <c r="C50" s="31">
        <v>672</v>
      </c>
      <c r="D50" s="32">
        <v>-5</v>
      </c>
      <c r="E50" s="32">
        <v>0</v>
      </c>
      <c r="F50" s="32">
        <v>16</v>
      </c>
      <c r="G50" s="32">
        <v>0</v>
      </c>
      <c r="H50" s="32">
        <v>-1</v>
      </c>
      <c r="I50" s="33">
        <v>520.80999999999995</v>
      </c>
      <c r="J50" s="32">
        <v>9</v>
      </c>
      <c r="K50" s="34">
        <f>Table178910111213235783[[#This Row],[On Time Counts]]/45</f>
        <v>0.2</v>
      </c>
      <c r="L50" s="35">
        <v>1986.68</v>
      </c>
      <c r="M50" s="36">
        <f>Table178910111213235783[[#This Row],[Wipers +/-]]/Table178910111213235783[[#This Row],[Comp Sales]]</f>
        <v>0</v>
      </c>
      <c r="N50" s="37">
        <v>0</v>
      </c>
      <c r="O50" s="36">
        <f>Table178910111213235783[[#This Row],[Big 4 Items]]/Table178910111213235783[[#This Row],[Oil +/- ]]</f>
        <v>0</v>
      </c>
      <c r="P50" s="38">
        <f>J50/S50</f>
        <v>0.81818181818181823</v>
      </c>
      <c r="S50" s="6">
        <f t="shared" si="8"/>
        <v>11</v>
      </c>
    </row>
    <row r="51" spans="1:19" ht="15" hidden="1">
      <c r="A51" s="29" t="s">
        <v>26</v>
      </c>
      <c r="B51" s="30">
        <v>1</v>
      </c>
      <c r="C51" s="31">
        <v>443</v>
      </c>
      <c r="D51" s="32">
        <v>301</v>
      </c>
      <c r="E51" s="32">
        <v>0</v>
      </c>
      <c r="F51" s="32">
        <v>-3</v>
      </c>
      <c r="G51" s="32">
        <v>-11</v>
      </c>
      <c r="H51" s="32">
        <v>3</v>
      </c>
      <c r="I51" s="33">
        <v>2856.17</v>
      </c>
      <c r="J51" s="32">
        <v>10</v>
      </c>
      <c r="K51" s="34">
        <f>Table178910111213235783[[#This Row],[On Time Counts]]/45</f>
        <v>0.22222222222222221</v>
      </c>
      <c r="L51" s="35">
        <v>2791.49</v>
      </c>
      <c r="M51" s="36">
        <f>Table178910111213235783[[#This Row],[Wipers +/-]]/Table178910111213235783[[#This Row],[Comp Sales]]</f>
        <v>-3.9405478794478938E-3</v>
      </c>
      <c r="N51" s="37">
        <v>0</v>
      </c>
      <c r="O51" s="36">
        <f>Table178910111213235783[[#This Row],[Big 4 Items]]/Table178910111213235783[[#This Row],[Oil +/- ]]</f>
        <v>0</v>
      </c>
      <c r="P51" s="38">
        <f>J51/S51</f>
        <v>0.90909090909090906</v>
      </c>
      <c r="S51" s="6">
        <f t="shared" si="8"/>
        <v>11</v>
      </c>
    </row>
    <row r="52" spans="1:19" ht="15" hidden="1">
      <c r="A52" s="29" t="s">
        <v>26</v>
      </c>
      <c r="B52" s="30">
        <v>2</v>
      </c>
      <c r="C52" s="31">
        <v>-12</v>
      </c>
      <c r="D52" s="32">
        <v>-25</v>
      </c>
      <c r="E52" s="32">
        <v>1</v>
      </c>
      <c r="F52" s="32">
        <v>0</v>
      </c>
      <c r="G52" s="32">
        <v>1</v>
      </c>
      <c r="H52" s="32">
        <v>0</v>
      </c>
      <c r="I52" s="33">
        <v>-50.19</v>
      </c>
      <c r="J52" s="32">
        <v>10</v>
      </c>
      <c r="K52" s="34">
        <f>Table178910111213235783[[#This Row],[On Time Counts]]/45</f>
        <v>0.22222222222222221</v>
      </c>
      <c r="L52" s="35">
        <v>5684.97</v>
      </c>
      <c r="M52" s="36">
        <f>Table178910111213235783[[#This Row],[Wipers +/-]]/Table178910111213235783[[#This Row],[Comp Sales]]</f>
        <v>1.7590242340768727E-4</v>
      </c>
      <c r="N52" s="37">
        <v>0</v>
      </c>
      <c r="O52" s="36">
        <f>Table178910111213235783[[#This Row],[Big 4 Items]]/Table178910111213235783[[#This Row],[Oil +/- ]]</f>
        <v>0</v>
      </c>
      <c r="P52" s="38">
        <f>J52/S52</f>
        <v>0.90909090909090906</v>
      </c>
      <c r="S52" s="6">
        <f t="shared" si="8"/>
        <v>11</v>
      </c>
    </row>
    <row r="53" spans="1:19" ht="15" hidden="1">
      <c r="A53" s="29" t="s">
        <v>26</v>
      </c>
      <c r="B53" s="30">
        <v>4</v>
      </c>
      <c r="C53" s="31">
        <v>-111</v>
      </c>
      <c r="D53" s="32">
        <v>-111</v>
      </c>
      <c r="E53" s="32">
        <v>7</v>
      </c>
      <c r="F53" s="32">
        <v>-10</v>
      </c>
      <c r="G53" s="32">
        <v>-1</v>
      </c>
      <c r="H53" s="32">
        <v>9</v>
      </c>
      <c r="I53" s="33">
        <v>-231.62</v>
      </c>
      <c r="J53" s="32">
        <v>11</v>
      </c>
      <c r="K53" s="34">
        <f>Table178910111213235783[[#This Row],[On Time Counts]]/45</f>
        <v>0.24444444444444444</v>
      </c>
      <c r="L53" s="35">
        <v>0</v>
      </c>
      <c r="M53" s="36" t="e">
        <f>Table178910111213235783[[#This Row],[Wipers +/-]]/Table178910111213235783[[#This Row],[Comp Sales]]</f>
        <v>#DIV/0!</v>
      </c>
      <c r="N53" s="37">
        <v>0</v>
      </c>
      <c r="O53" s="36">
        <f>Table178910111213235783[[#This Row],[Big 4 Items]]/Table178910111213235783[[#This Row],[Oil +/- ]]</f>
        <v>0</v>
      </c>
      <c r="P53" s="38">
        <f>J53/S53</f>
        <v>1</v>
      </c>
      <c r="S53" s="6">
        <f t="shared" si="8"/>
        <v>11</v>
      </c>
    </row>
    <row r="54" spans="1:19" ht="15" hidden="1">
      <c r="A54" s="29" t="s">
        <v>26</v>
      </c>
      <c r="B54" s="40">
        <v>6</v>
      </c>
      <c r="C54" s="31">
        <v>218</v>
      </c>
      <c r="D54" s="32">
        <v>202</v>
      </c>
      <c r="E54" s="32">
        <v>39</v>
      </c>
      <c r="F54" s="32">
        <v>10</v>
      </c>
      <c r="G54" s="32">
        <v>-3</v>
      </c>
      <c r="H54" s="32">
        <v>1</v>
      </c>
      <c r="I54" s="33">
        <v>1183.06</v>
      </c>
      <c r="J54" s="32">
        <v>9</v>
      </c>
      <c r="K54" s="34">
        <f>Table178910111213235783[[#This Row],[On Time Counts]]/45</f>
        <v>0.2</v>
      </c>
      <c r="L54" s="35">
        <v>0</v>
      </c>
      <c r="M54" s="36" t="e">
        <f>Table178910111213235783[[#This Row],[Wipers +/-]]/Table178910111213235783[[#This Row],[Comp Sales]]</f>
        <v>#DIV/0!</v>
      </c>
      <c r="N54" s="37"/>
      <c r="O54" s="41">
        <f>Table178910111213235783[[#This Row],[Big 4 Items]]/Table178910111213235783[[#This Row],[Oil +/- ]]</f>
        <v>0</v>
      </c>
      <c r="P54" s="38">
        <f>J54/S54</f>
        <v>0.81818181818181823</v>
      </c>
      <c r="S54" s="6">
        <f t="shared" si="8"/>
        <v>11</v>
      </c>
    </row>
    <row r="55" spans="1:19" ht="15" hidden="1">
      <c r="A55" s="30" t="s">
        <v>26</v>
      </c>
      <c r="B55" s="40">
        <v>15</v>
      </c>
      <c r="C55" s="31">
        <v>424</v>
      </c>
      <c r="D55" s="32">
        <v>424</v>
      </c>
      <c r="E55" s="32">
        <v>2</v>
      </c>
      <c r="F55" s="32">
        <v>-4</v>
      </c>
      <c r="G55" s="32">
        <v>16</v>
      </c>
      <c r="H55" s="32">
        <v>2</v>
      </c>
      <c r="I55" s="33">
        <v>1146.74</v>
      </c>
      <c r="J55" s="32">
        <v>9</v>
      </c>
      <c r="K55" s="34">
        <f>Table178910111213235783[[#This Row],[On Time Counts]]/45</f>
        <v>0.2</v>
      </c>
      <c r="L55" s="35">
        <v>6979.44</v>
      </c>
      <c r="M55" s="36">
        <f>Table178910111213235783[[#This Row],[Wipers +/-]]/Table178910111213235783[[#This Row],[Comp Sales]]</f>
        <v>2.2924475316071203E-3</v>
      </c>
      <c r="N55" s="39"/>
      <c r="O55" s="36">
        <f>Table178910111213235783[[#This Row],[Big 4 Items]]/Table178910111213235783[[#This Row],[Oil +/- ]]</f>
        <v>0</v>
      </c>
      <c r="P55" s="38">
        <f>J55/S55</f>
        <v>0.81818181818181823</v>
      </c>
      <c r="S55" s="6">
        <f t="shared" si="8"/>
        <v>11</v>
      </c>
    </row>
    <row r="56" spans="1:19" ht="15" hidden="1">
      <c r="A56" s="30" t="s">
        <v>26</v>
      </c>
      <c r="B56" s="40">
        <v>28</v>
      </c>
      <c r="C56" s="31">
        <v>186</v>
      </c>
      <c r="D56" s="32">
        <v>-109</v>
      </c>
      <c r="E56" s="32">
        <v>2</v>
      </c>
      <c r="F56" s="32"/>
      <c r="G56" s="32"/>
      <c r="H56" s="32"/>
      <c r="I56" s="33">
        <v>130.72999999999999</v>
      </c>
      <c r="J56" s="32">
        <v>4</v>
      </c>
      <c r="K56" s="34">
        <f>Table178910111213235783[[#This Row],[On Time Counts]]/45</f>
        <v>8.8888888888888892E-2</v>
      </c>
      <c r="L56" s="35">
        <v>6567.35</v>
      </c>
      <c r="M56" s="36">
        <f>Table178910111213235783[[#This Row],[Wipers +/-]]/Table178910111213235783[[#This Row],[Comp Sales]]</f>
        <v>0</v>
      </c>
      <c r="N56" s="39"/>
      <c r="O56" s="36">
        <f>Table178910111213235783[[#This Row],[Big 4 Items]]/Table178910111213235783[[#This Row],[Oil +/- ]]</f>
        <v>0</v>
      </c>
      <c r="P56" s="38">
        <f>J56/S56</f>
        <v>0.36363636363636365</v>
      </c>
      <c r="S56" s="6">
        <f t="shared" si="8"/>
        <v>11</v>
      </c>
    </row>
    <row r="57" spans="1:19" ht="15" hidden="1">
      <c r="A57" s="30" t="s">
        <v>26</v>
      </c>
      <c r="B57" s="40">
        <v>32</v>
      </c>
      <c r="C57" s="31">
        <v>2226</v>
      </c>
      <c r="D57" s="32">
        <v>109</v>
      </c>
      <c r="E57" s="32">
        <v>-5</v>
      </c>
      <c r="F57" s="32">
        <v>0</v>
      </c>
      <c r="G57" s="32">
        <v>1</v>
      </c>
      <c r="H57" s="32">
        <v>0</v>
      </c>
      <c r="I57" s="33">
        <v>1493.97</v>
      </c>
      <c r="J57" s="32">
        <v>10</v>
      </c>
      <c r="K57" s="34">
        <f>Table178910111213235783[[#This Row],[On Time Counts]]/45</f>
        <v>0.22222222222222221</v>
      </c>
      <c r="L57" s="35"/>
      <c r="M57" s="36" t="e">
        <f>Table178910111213235783[[#This Row],[Wipers +/-]]/Table178910111213235783[[#This Row],[Comp Sales]]</f>
        <v>#DIV/0!</v>
      </c>
      <c r="N57" s="39"/>
      <c r="O57" s="36">
        <f>Table178910111213235783[[#This Row],[Big 4 Items]]/Table178910111213235783[[#This Row],[Oil +/- ]]</f>
        <v>0</v>
      </c>
      <c r="P57" s="38">
        <f>J57/S57</f>
        <v>0.90909090909090906</v>
      </c>
      <c r="S57" s="6">
        <f t="shared" si="8"/>
        <v>11</v>
      </c>
    </row>
    <row r="58" spans="1:19" ht="15" hidden="1">
      <c r="A58" s="30" t="s">
        <v>26</v>
      </c>
      <c r="B58" s="40">
        <v>606</v>
      </c>
      <c r="C58" s="31">
        <v>72</v>
      </c>
      <c r="D58" s="32">
        <v>72</v>
      </c>
      <c r="E58" s="32">
        <v>3</v>
      </c>
      <c r="F58" s="32">
        <v>-4</v>
      </c>
      <c r="G58" s="32">
        <v>-1</v>
      </c>
      <c r="H58" s="32">
        <v>-1</v>
      </c>
      <c r="I58" s="33">
        <v>175.39</v>
      </c>
      <c r="J58" s="32">
        <v>11</v>
      </c>
      <c r="K58" s="34">
        <f>Table178910111213235783[[#This Row],[On Time Counts]]/45</f>
        <v>0.24444444444444444</v>
      </c>
      <c r="L58" s="35">
        <v>6761.54</v>
      </c>
      <c r="M58" s="36">
        <f>Table178910111213235783[[#This Row],[Wipers +/-]]/Table178910111213235783[[#This Row],[Comp Sales]]</f>
        <v>-1.4789530195783801E-4</v>
      </c>
      <c r="N58" s="39"/>
      <c r="O58" s="36">
        <f>Table178910111213235783[[#This Row],[Big 4 Items]]/Table178910111213235783[[#This Row],[Oil +/- ]]</f>
        <v>0</v>
      </c>
      <c r="P58" s="38">
        <f>J58/S58</f>
        <v>1</v>
      </c>
      <c r="S58" s="6">
        <f t="shared" si="8"/>
        <v>11</v>
      </c>
    </row>
    <row r="59" spans="1:19" ht="15" hidden="1">
      <c r="A59" s="30" t="s">
        <v>26</v>
      </c>
      <c r="B59" s="40">
        <v>999</v>
      </c>
      <c r="C59" s="31">
        <v>0</v>
      </c>
      <c r="D59" s="32">
        <v>0</v>
      </c>
      <c r="E59" s="32">
        <v>0</v>
      </c>
      <c r="F59" s="32">
        <v>0</v>
      </c>
      <c r="G59" s="32">
        <v>0</v>
      </c>
      <c r="H59" s="32">
        <v>0</v>
      </c>
      <c r="I59" s="33">
        <v>0</v>
      </c>
      <c r="J59" s="32">
        <v>0</v>
      </c>
      <c r="K59" s="34">
        <f>Table178910111213235783[[#This Row],[On Time Counts]]/45</f>
        <v>0</v>
      </c>
      <c r="L59" s="35">
        <v>6083.18</v>
      </c>
      <c r="M59" s="36">
        <f>Table178910111213235783[[#This Row],[Wipers +/-]]/Table178910111213235783[[#This Row],[Comp Sales]]</f>
        <v>0</v>
      </c>
      <c r="N59" s="39"/>
      <c r="O59" s="36" t="e">
        <f>Table178910111213235783[[#This Row],[Big 4 Items]]/Table178910111213235783[[#This Row],[Oil +/- ]]</f>
        <v>#DIV/0!</v>
      </c>
      <c r="P59" s="38" t="e">
        <f>J59/S59</f>
        <v>#DIV/0!</v>
      </c>
      <c r="S59" s="6">
        <v>0</v>
      </c>
    </row>
    <row r="60" spans="1:19" ht="15">
      <c r="A60" s="30" t="s">
        <v>27</v>
      </c>
      <c r="B60" s="40">
        <v>8</v>
      </c>
      <c r="C60" s="31">
        <v>1285</v>
      </c>
      <c r="D60" s="32">
        <v>1253</v>
      </c>
      <c r="E60" s="32">
        <v>89</v>
      </c>
      <c r="F60" s="32">
        <v>1</v>
      </c>
      <c r="G60" s="32"/>
      <c r="H60" s="32">
        <v>3</v>
      </c>
      <c r="I60" s="33">
        <v>4189.01</v>
      </c>
      <c r="J60" s="32">
        <v>3</v>
      </c>
      <c r="K60" s="34">
        <f>Table178910111213235783[[#This Row],[On Time Counts]]/45</f>
        <v>6.6666666666666666E-2</v>
      </c>
      <c r="L60" s="35">
        <v>4849.0200000000004</v>
      </c>
      <c r="M60" s="36">
        <f>Table178910111213235783[[#This Row],[Wipers +/-]]/Table178910111213235783[[#This Row],[Comp Sales]]</f>
        <v>0</v>
      </c>
      <c r="N60" s="39"/>
      <c r="O60" s="36">
        <f>Table178910111213235783[[#This Row],[Big 4 Items]]/Table178910111213235783[[#This Row],[Oil +/- ]]</f>
        <v>0</v>
      </c>
      <c r="P60" s="38">
        <f>J60/S60</f>
        <v>0.27272727272727271</v>
      </c>
      <c r="S60" s="6">
        <f t="shared" si="8"/>
        <v>11</v>
      </c>
    </row>
    <row r="61" spans="1:19" ht="15">
      <c r="A61" s="30" t="s">
        <v>27</v>
      </c>
      <c r="B61" s="40">
        <v>10</v>
      </c>
      <c r="C61" s="31">
        <v>-12</v>
      </c>
      <c r="D61" s="32">
        <v>-12</v>
      </c>
      <c r="E61" s="32">
        <v>18</v>
      </c>
      <c r="F61" s="32">
        <v>-1</v>
      </c>
      <c r="G61" s="32">
        <v>-12</v>
      </c>
      <c r="H61" s="32">
        <v>1</v>
      </c>
      <c r="I61" s="33">
        <v>41.15</v>
      </c>
      <c r="J61" s="32">
        <v>5</v>
      </c>
      <c r="K61" s="34">
        <f>Table178910111213235783[[#This Row],[On Time Counts]]/45</f>
        <v>0.1111111111111111</v>
      </c>
      <c r="L61" s="35">
        <v>6870.99</v>
      </c>
      <c r="M61" s="36">
        <f>Table178910111213235783[[#This Row],[Wipers +/-]]/Table178910111213235783[[#This Row],[Comp Sales]]</f>
        <v>-1.7464732156501465E-3</v>
      </c>
      <c r="N61" s="39"/>
      <c r="O61" s="36">
        <f>Table178910111213235783[[#This Row],[Big 4 Items]]/Table178910111213235783[[#This Row],[Oil +/- ]]</f>
        <v>0</v>
      </c>
      <c r="P61" s="38">
        <f>J61/S61</f>
        <v>0.45454545454545453</v>
      </c>
      <c r="S61" s="6">
        <f t="shared" si="8"/>
        <v>11</v>
      </c>
    </row>
    <row r="62" spans="1:19" ht="15">
      <c r="A62" s="30" t="s">
        <v>27</v>
      </c>
      <c r="B62" s="40">
        <v>12</v>
      </c>
      <c r="C62" s="31"/>
      <c r="D62" s="32"/>
      <c r="E62" s="32"/>
      <c r="F62" s="32"/>
      <c r="G62" s="32"/>
      <c r="H62" s="32">
        <v>17</v>
      </c>
      <c r="I62" s="33">
        <v>49.91</v>
      </c>
      <c r="J62" s="32">
        <v>1</v>
      </c>
      <c r="K62" s="34">
        <f>Table178910111213235783[[#This Row],[On Time Counts]]/45</f>
        <v>2.2222222222222223E-2</v>
      </c>
      <c r="L62" s="35">
        <v>6806.79</v>
      </c>
      <c r="M62" s="36">
        <f>Table178910111213235783[[#This Row],[Wipers +/-]]/Table178910111213235783[[#This Row],[Comp Sales]]</f>
        <v>0</v>
      </c>
      <c r="N62" s="39"/>
      <c r="O62" s="36" t="e">
        <f>Table178910111213235783[[#This Row],[Big 4 Items]]/Table178910111213235783[[#This Row],[Oil +/- ]]</f>
        <v>#DIV/0!</v>
      </c>
      <c r="P62" s="38">
        <f>J62/S62</f>
        <v>9.0909090909090912E-2</v>
      </c>
      <c r="S62" s="6">
        <f t="shared" si="8"/>
        <v>11</v>
      </c>
    </row>
    <row r="63" spans="1:19" ht="15">
      <c r="A63" s="30" t="s">
        <v>27</v>
      </c>
      <c r="B63" s="40">
        <v>13</v>
      </c>
      <c r="C63" s="31">
        <v>792</v>
      </c>
      <c r="D63" s="32">
        <v>254</v>
      </c>
      <c r="E63" s="32">
        <v>30</v>
      </c>
      <c r="F63" s="32">
        <v>-7</v>
      </c>
      <c r="G63" s="32"/>
      <c r="H63" s="32"/>
      <c r="I63" s="33">
        <v>2705.06</v>
      </c>
      <c r="J63" s="32">
        <v>9</v>
      </c>
      <c r="K63" s="34">
        <f>Table178910111213235783[[#This Row],[On Time Counts]]/45</f>
        <v>0.2</v>
      </c>
      <c r="L63" s="35">
        <v>5842.02</v>
      </c>
      <c r="M63" s="36">
        <f>Table178910111213235783[[#This Row],[Wipers +/-]]/Table178910111213235783[[#This Row],[Comp Sales]]</f>
        <v>0</v>
      </c>
      <c r="N63" s="39"/>
      <c r="O63" s="36">
        <f>Table178910111213235783[[#This Row],[Big 4 Items]]/Table178910111213235783[[#This Row],[Oil +/- ]]</f>
        <v>0</v>
      </c>
      <c r="P63" s="38">
        <f>J63/S63</f>
        <v>0.81818181818181823</v>
      </c>
      <c r="S63" s="6">
        <f t="shared" si="8"/>
        <v>11</v>
      </c>
    </row>
    <row r="64" spans="1:19" ht="15">
      <c r="A64" s="30" t="s">
        <v>27</v>
      </c>
      <c r="B64" s="40">
        <v>31</v>
      </c>
      <c r="C64" s="31">
        <v>142</v>
      </c>
      <c r="D64" s="32">
        <v>118</v>
      </c>
      <c r="E64" s="32"/>
      <c r="F64" s="32">
        <v>-11</v>
      </c>
      <c r="G64" s="32">
        <v>11</v>
      </c>
      <c r="H64" s="32">
        <v>0</v>
      </c>
      <c r="I64" s="33">
        <v>1071.23</v>
      </c>
      <c r="J64" s="32">
        <v>10</v>
      </c>
      <c r="K64" s="34">
        <f>Table178910111213235783[[#This Row],[On Time Counts]]/45</f>
        <v>0.22222222222222221</v>
      </c>
      <c r="L64" s="35">
        <v>7096.63</v>
      </c>
      <c r="M64" s="36">
        <f>Table178910111213235783[[#This Row],[Wipers +/-]]/Table178910111213235783[[#This Row],[Comp Sales]]</f>
        <v>1.5500314938217154E-3</v>
      </c>
      <c r="N64" s="39"/>
      <c r="O64" s="36">
        <f>Table178910111213235783[[#This Row],[Big 4 Items]]/Table178910111213235783[[#This Row],[Oil +/- ]]</f>
        <v>0</v>
      </c>
      <c r="P64" s="38">
        <f>J64/S64</f>
        <v>0.90909090909090906</v>
      </c>
      <c r="S64" s="6">
        <f t="shared" si="8"/>
        <v>11</v>
      </c>
    </row>
    <row r="65" spans="1:19" ht="15">
      <c r="A65" s="30" t="s">
        <v>27</v>
      </c>
      <c r="B65" s="40">
        <v>92</v>
      </c>
      <c r="C65" s="31">
        <v>-81</v>
      </c>
      <c r="D65" s="32">
        <v>-92</v>
      </c>
      <c r="E65" s="32">
        <v>0</v>
      </c>
      <c r="F65" s="32">
        <v>-3</v>
      </c>
      <c r="G65" s="32">
        <v>-33</v>
      </c>
      <c r="H65" s="32">
        <v>-1</v>
      </c>
      <c r="I65" s="33">
        <v>-278.05</v>
      </c>
      <c r="J65" s="32">
        <v>11</v>
      </c>
      <c r="K65" s="34">
        <f>Table178910111213235783[[#This Row],[On Time Counts]]/45</f>
        <v>0.24444444444444444</v>
      </c>
      <c r="L65" s="35">
        <v>6662.04</v>
      </c>
      <c r="M65" s="36">
        <f>Table178910111213235783[[#This Row],[Wipers +/-]]/Table178910111213235783[[#This Row],[Comp Sales]]</f>
        <v>-4.9534376857539135E-3</v>
      </c>
      <c r="N65" s="39"/>
      <c r="O65" s="36">
        <f>Table178910111213235783[[#This Row],[Big 4 Items]]/Table178910111213235783[[#This Row],[Oil +/- ]]</f>
        <v>0</v>
      </c>
      <c r="P65" s="38">
        <f>J65/S65</f>
        <v>1</v>
      </c>
      <c r="S65" s="6">
        <f t="shared" si="8"/>
        <v>11</v>
      </c>
    </row>
    <row r="66" spans="1:19" ht="15">
      <c r="A66" s="30" t="s">
        <v>27</v>
      </c>
      <c r="B66" s="40">
        <v>116</v>
      </c>
      <c r="C66" s="31">
        <v>652</v>
      </c>
      <c r="D66" s="32">
        <v>256</v>
      </c>
      <c r="E66" s="32">
        <v>0</v>
      </c>
      <c r="F66" s="32"/>
      <c r="G66" s="32">
        <v>15</v>
      </c>
      <c r="H66" s="32">
        <v>6</v>
      </c>
      <c r="I66" s="33">
        <v>4463.97</v>
      </c>
      <c r="J66" s="32">
        <v>9</v>
      </c>
      <c r="K66" s="34">
        <f>Table178910111213235783[[#This Row],[On Time Counts]]/45</f>
        <v>0.2</v>
      </c>
      <c r="L66" s="35">
        <v>2791.49</v>
      </c>
      <c r="M66" s="36">
        <f>Table178910111213235783[[#This Row],[Wipers +/-]]/Table178910111213235783[[#This Row],[Comp Sales]]</f>
        <v>5.37347438106531E-3</v>
      </c>
      <c r="N66" s="39"/>
      <c r="O66" s="36">
        <f>Table178910111213235783[[#This Row],[Big 4 Items]]/Table178910111213235783[[#This Row],[Oil +/- ]]</f>
        <v>0</v>
      </c>
      <c r="P66" s="38">
        <f>J66/S66</f>
        <v>0.81818181818181823</v>
      </c>
      <c r="S66" s="6">
        <f t="shared" si="8"/>
        <v>11</v>
      </c>
    </row>
    <row r="67" spans="1:19" ht="15">
      <c r="A67" s="44" t="s">
        <v>27</v>
      </c>
      <c r="B67" s="45">
        <v>870</v>
      </c>
      <c r="C67" s="31">
        <v>291</v>
      </c>
      <c r="D67" s="32">
        <v>291</v>
      </c>
      <c r="E67" s="32">
        <v>-1</v>
      </c>
      <c r="F67" s="32">
        <v>0</v>
      </c>
      <c r="G67" s="32">
        <v>-2</v>
      </c>
      <c r="H67" s="32">
        <v>-2</v>
      </c>
      <c r="I67" s="33">
        <v>523.28</v>
      </c>
      <c r="J67" s="32">
        <v>7</v>
      </c>
      <c r="K67" s="46">
        <f>Table178910111213235783[[#This Row],[On Time Counts]]/45</f>
        <v>0.15555555555555556</v>
      </c>
      <c r="L67" s="47"/>
      <c r="M67" s="41" t="e">
        <f>Table178910111213235783[[#This Row],[Wipers +/-]]/Table178910111213235783[[#This Row],[Comp Sales]]</f>
        <v>#DIV/0!</v>
      </c>
      <c r="N67" s="48"/>
      <c r="O67" s="41">
        <f>Table178910111213235783[[#This Row],[Big 4 Items]]/Table178910111213235783[[#This Row],[Oil +/- ]]</f>
        <v>0</v>
      </c>
      <c r="P67" s="38">
        <f>J67/S67</f>
        <v>0.63636363636363635</v>
      </c>
      <c r="S67" s="6">
        <f t="shared" si="8"/>
        <v>11</v>
      </c>
    </row>
    <row r="68" spans="1:19" ht="15">
      <c r="A68" s="30" t="s">
        <v>27</v>
      </c>
      <c r="B68" s="40">
        <v>3004</v>
      </c>
      <c r="C68" s="31">
        <v>729</v>
      </c>
      <c r="D68" s="32">
        <v>749</v>
      </c>
      <c r="E68" s="50"/>
      <c r="F68" s="50">
        <v>0</v>
      </c>
      <c r="G68" s="32"/>
      <c r="H68" s="50">
        <v>7</v>
      </c>
      <c r="I68" s="51">
        <v>1915.01</v>
      </c>
      <c r="J68" s="50">
        <v>5</v>
      </c>
      <c r="K68" s="34">
        <f>Table178910111213235783[[#This Row],[On Time Counts]]/45</f>
        <v>0.1111111111111111</v>
      </c>
      <c r="L68" s="35"/>
      <c r="M68" s="36" t="e">
        <f>Table178910111213235783[[#This Row],[Wipers +/-]]/Table178910111213235783[[#This Row],[Comp Sales]]</f>
        <v>#DIV/0!</v>
      </c>
      <c r="N68" s="39"/>
      <c r="O68" s="36">
        <f>Table178910111213235783[[#This Row],[Big 4 Items]]/Table178910111213235783[[#This Row],[Oil +/- ]]</f>
        <v>0</v>
      </c>
      <c r="P68" s="38">
        <f>J68/S68</f>
        <v>0.45454545454545453</v>
      </c>
      <c r="S68" s="6">
        <f>$T$1</f>
        <v>11</v>
      </c>
    </row>
    <row r="274" spans="1:2" hidden="1"/>
    <row r="275" spans="1:2" hidden="1"/>
    <row r="276" spans="1:2" hidden="1"/>
    <row r="277" spans="1:2" hidden="1"/>
    <row r="278" spans="1:2" hidden="1"/>
    <row r="279" spans="1:2" hidden="1"/>
    <row r="280" spans="1:2" hidden="1"/>
    <row r="281" spans="1:2" hidden="1"/>
    <row r="282" spans="1:2" hidden="1"/>
    <row r="283" spans="1:2" hidden="1"/>
    <row r="284" spans="1:2" hidden="1">
      <c r="A284" s="42">
        <v>0.01</v>
      </c>
      <c r="B284" s="42">
        <v>-0.01</v>
      </c>
    </row>
    <row r="285" spans="1:2" hidden="1">
      <c r="A285" s="43">
        <f>A284+1%</f>
        <v>0.02</v>
      </c>
      <c r="B285" s="42">
        <f>B284-1%</f>
        <v>-0.02</v>
      </c>
    </row>
    <row r="286" spans="1:2" hidden="1">
      <c r="A286" s="43">
        <f t="shared" ref="A286:A349" si="9">A285+1%</f>
        <v>0.03</v>
      </c>
      <c r="B286" s="42">
        <f t="shared" ref="B286:B349" si="10">B285-1%</f>
        <v>-0.03</v>
      </c>
    </row>
    <row r="287" spans="1:2" hidden="1">
      <c r="A287" s="43">
        <f t="shared" si="9"/>
        <v>0.04</v>
      </c>
      <c r="B287" s="42">
        <f t="shared" si="10"/>
        <v>-0.04</v>
      </c>
    </row>
    <row r="288" spans="1:2" hidden="1">
      <c r="A288" s="43">
        <f t="shared" si="9"/>
        <v>0.05</v>
      </c>
      <c r="B288" s="42">
        <f t="shared" si="10"/>
        <v>-0.05</v>
      </c>
    </row>
    <row r="289" spans="1:2" hidden="1">
      <c r="A289" s="43">
        <f t="shared" si="9"/>
        <v>6.0000000000000005E-2</v>
      </c>
      <c r="B289" s="42">
        <f t="shared" si="10"/>
        <v>-6.0000000000000005E-2</v>
      </c>
    </row>
    <row r="290" spans="1:2" hidden="1">
      <c r="A290" s="43">
        <f t="shared" si="9"/>
        <v>7.0000000000000007E-2</v>
      </c>
      <c r="B290" s="42">
        <f t="shared" si="10"/>
        <v>-7.0000000000000007E-2</v>
      </c>
    </row>
    <row r="291" spans="1:2" hidden="1">
      <c r="A291" s="43">
        <f t="shared" si="9"/>
        <v>0.08</v>
      </c>
      <c r="B291" s="42">
        <f t="shared" si="10"/>
        <v>-0.08</v>
      </c>
    </row>
    <row r="292" spans="1:2" hidden="1">
      <c r="A292" s="43">
        <f t="shared" si="9"/>
        <v>0.09</v>
      </c>
      <c r="B292" s="42">
        <f t="shared" si="10"/>
        <v>-0.09</v>
      </c>
    </row>
    <row r="293" spans="1:2" hidden="1">
      <c r="A293" s="43">
        <f t="shared" si="9"/>
        <v>9.9999999999999992E-2</v>
      </c>
      <c r="B293" s="42">
        <f t="shared" si="10"/>
        <v>-9.9999999999999992E-2</v>
      </c>
    </row>
    <row r="294" spans="1:2" hidden="1">
      <c r="A294" s="43">
        <f t="shared" si="9"/>
        <v>0.10999999999999999</v>
      </c>
      <c r="B294" s="42">
        <f t="shared" si="10"/>
        <v>-0.10999999999999999</v>
      </c>
    </row>
    <row r="295" spans="1:2" hidden="1">
      <c r="A295" s="43">
        <f t="shared" si="9"/>
        <v>0.11999999999999998</v>
      </c>
      <c r="B295" s="42">
        <f t="shared" si="10"/>
        <v>-0.11999999999999998</v>
      </c>
    </row>
    <row r="296" spans="1:2" hidden="1">
      <c r="A296" s="43">
        <f t="shared" si="9"/>
        <v>0.12999999999999998</v>
      </c>
      <c r="B296" s="42">
        <f t="shared" si="10"/>
        <v>-0.12999999999999998</v>
      </c>
    </row>
    <row r="297" spans="1:2" hidden="1">
      <c r="A297" s="43">
        <f t="shared" si="9"/>
        <v>0.13999999999999999</v>
      </c>
      <c r="B297" s="42">
        <f t="shared" si="10"/>
        <v>-0.13999999999999999</v>
      </c>
    </row>
    <row r="298" spans="1:2" hidden="1">
      <c r="A298" s="43">
        <f t="shared" si="9"/>
        <v>0.15</v>
      </c>
      <c r="B298" s="42">
        <f t="shared" si="10"/>
        <v>-0.15</v>
      </c>
    </row>
    <row r="299" spans="1:2" hidden="1">
      <c r="A299" s="43">
        <f t="shared" si="9"/>
        <v>0.16</v>
      </c>
      <c r="B299" s="42">
        <f t="shared" si="10"/>
        <v>-0.16</v>
      </c>
    </row>
    <row r="300" spans="1:2" hidden="1">
      <c r="A300" s="43">
        <f t="shared" si="9"/>
        <v>0.17</v>
      </c>
      <c r="B300" s="42">
        <f t="shared" si="10"/>
        <v>-0.17</v>
      </c>
    </row>
    <row r="301" spans="1:2" hidden="1">
      <c r="A301" s="43">
        <f t="shared" si="9"/>
        <v>0.18000000000000002</v>
      </c>
      <c r="B301" s="42">
        <f t="shared" si="10"/>
        <v>-0.18000000000000002</v>
      </c>
    </row>
    <row r="302" spans="1:2" hidden="1">
      <c r="A302" s="43">
        <f t="shared" si="9"/>
        <v>0.19000000000000003</v>
      </c>
      <c r="B302" s="42">
        <f t="shared" si="10"/>
        <v>-0.19000000000000003</v>
      </c>
    </row>
    <row r="303" spans="1:2" hidden="1">
      <c r="A303" s="43">
        <f t="shared" si="9"/>
        <v>0.20000000000000004</v>
      </c>
      <c r="B303" s="42">
        <f t="shared" si="10"/>
        <v>-0.20000000000000004</v>
      </c>
    </row>
    <row r="304" spans="1:2" hidden="1">
      <c r="A304" s="43">
        <f t="shared" si="9"/>
        <v>0.21000000000000005</v>
      </c>
      <c r="B304" s="42">
        <f t="shared" si="10"/>
        <v>-0.21000000000000005</v>
      </c>
    </row>
    <row r="305" spans="1:2" hidden="1">
      <c r="A305" s="43">
        <f t="shared" si="9"/>
        <v>0.22000000000000006</v>
      </c>
      <c r="B305" s="42">
        <f t="shared" si="10"/>
        <v>-0.22000000000000006</v>
      </c>
    </row>
    <row r="306" spans="1:2" hidden="1">
      <c r="A306" s="43">
        <f t="shared" si="9"/>
        <v>0.23000000000000007</v>
      </c>
      <c r="B306" s="42">
        <f t="shared" si="10"/>
        <v>-0.23000000000000007</v>
      </c>
    </row>
    <row r="307" spans="1:2" hidden="1">
      <c r="A307" s="43">
        <f t="shared" si="9"/>
        <v>0.24000000000000007</v>
      </c>
      <c r="B307" s="42">
        <f t="shared" si="10"/>
        <v>-0.24000000000000007</v>
      </c>
    </row>
    <row r="308" spans="1:2" hidden="1">
      <c r="A308" s="43">
        <f t="shared" si="9"/>
        <v>0.25000000000000006</v>
      </c>
      <c r="B308" s="42">
        <f t="shared" si="10"/>
        <v>-0.25000000000000006</v>
      </c>
    </row>
    <row r="309" spans="1:2" hidden="1">
      <c r="A309" s="43">
        <f t="shared" si="9"/>
        <v>0.26000000000000006</v>
      </c>
      <c r="B309" s="42">
        <f t="shared" si="10"/>
        <v>-0.26000000000000006</v>
      </c>
    </row>
    <row r="310" spans="1:2" hidden="1">
      <c r="A310" s="43">
        <f t="shared" si="9"/>
        <v>0.27000000000000007</v>
      </c>
      <c r="B310" s="42">
        <f t="shared" si="10"/>
        <v>-0.27000000000000007</v>
      </c>
    </row>
    <row r="311" spans="1:2" hidden="1">
      <c r="A311" s="43">
        <f t="shared" si="9"/>
        <v>0.28000000000000008</v>
      </c>
      <c r="B311" s="42">
        <f t="shared" si="10"/>
        <v>-0.28000000000000008</v>
      </c>
    </row>
    <row r="312" spans="1:2" hidden="1">
      <c r="A312" s="43">
        <f t="shared" si="9"/>
        <v>0.29000000000000009</v>
      </c>
      <c r="B312" s="42">
        <f t="shared" si="10"/>
        <v>-0.29000000000000009</v>
      </c>
    </row>
    <row r="313" spans="1:2" hidden="1">
      <c r="A313" s="43">
        <f t="shared" si="9"/>
        <v>0.3000000000000001</v>
      </c>
      <c r="B313" s="42">
        <f t="shared" si="10"/>
        <v>-0.3000000000000001</v>
      </c>
    </row>
    <row r="314" spans="1:2" hidden="1">
      <c r="A314" s="43">
        <f t="shared" si="9"/>
        <v>0.31000000000000011</v>
      </c>
      <c r="B314" s="42">
        <f t="shared" si="10"/>
        <v>-0.31000000000000011</v>
      </c>
    </row>
    <row r="315" spans="1:2" hidden="1">
      <c r="A315" s="43">
        <f t="shared" si="9"/>
        <v>0.32000000000000012</v>
      </c>
      <c r="B315" s="42">
        <f t="shared" si="10"/>
        <v>-0.32000000000000012</v>
      </c>
    </row>
    <row r="316" spans="1:2" hidden="1">
      <c r="A316" s="43">
        <f t="shared" si="9"/>
        <v>0.33000000000000013</v>
      </c>
      <c r="B316" s="42">
        <f t="shared" si="10"/>
        <v>-0.33000000000000013</v>
      </c>
    </row>
    <row r="317" spans="1:2" hidden="1">
      <c r="A317" s="43">
        <f t="shared" si="9"/>
        <v>0.34000000000000014</v>
      </c>
      <c r="B317" s="42">
        <f t="shared" si="10"/>
        <v>-0.34000000000000014</v>
      </c>
    </row>
    <row r="318" spans="1:2" hidden="1">
      <c r="A318" s="43">
        <f t="shared" si="9"/>
        <v>0.35000000000000014</v>
      </c>
      <c r="B318" s="42">
        <f t="shared" si="10"/>
        <v>-0.35000000000000014</v>
      </c>
    </row>
    <row r="319" spans="1:2" hidden="1">
      <c r="A319" s="43">
        <f t="shared" si="9"/>
        <v>0.36000000000000015</v>
      </c>
      <c r="B319" s="42">
        <f t="shared" si="10"/>
        <v>-0.36000000000000015</v>
      </c>
    </row>
    <row r="320" spans="1:2" hidden="1">
      <c r="A320" s="43">
        <f t="shared" si="9"/>
        <v>0.37000000000000016</v>
      </c>
      <c r="B320" s="42">
        <f t="shared" si="10"/>
        <v>-0.37000000000000016</v>
      </c>
    </row>
    <row r="321" spans="1:2" hidden="1">
      <c r="A321" s="43">
        <f t="shared" si="9"/>
        <v>0.38000000000000017</v>
      </c>
      <c r="B321" s="42">
        <f t="shared" si="10"/>
        <v>-0.38000000000000017</v>
      </c>
    </row>
    <row r="322" spans="1:2" hidden="1">
      <c r="A322" s="43">
        <f t="shared" si="9"/>
        <v>0.39000000000000018</v>
      </c>
      <c r="B322" s="42">
        <f t="shared" si="10"/>
        <v>-0.39000000000000018</v>
      </c>
    </row>
    <row r="323" spans="1:2" hidden="1">
      <c r="A323" s="43">
        <f t="shared" si="9"/>
        <v>0.40000000000000019</v>
      </c>
      <c r="B323" s="42">
        <f t="shared" si="10"/>
        <v>-0.40000000000000019</v>
      </c>
    </row>
    <row r="324" spans="1:2" hidden="1">
      <c r="A324" s="43">
        <f t="shared" si="9"/>
        <v>0.4100000000000002</v>
      </c>
      <c r="B324" s="42">
        <f t="shared" si="10"/>
        <v>-0.4100000000000002</v>
      </c>
    </row>
    <row r="325" spans="1:2" hidden="1">
      <c r="A325" s="43">
        <f t="shared" si="9"/>
        <v>0.42000000000000021</v>
      </c>
      <c r="B325" s="42">
        <f t="shared" si="10"/>
        <v>-0.42000000000000021</v>
      </c>
    </row>
    <row r="326" spans="1:2" hidden="1">
      <c r="A326" s="43">
        <f t="shared" si="9"/>
        <v>0.43000000000000022</v>
      </c>
      <c r="B326" s="42">
        <f t="shared" si="10"/>
        <v>-0.43000000000000022</v>
      </c>
    </row>
    <row r="327" spans="1:2" hidden="1">
      <c r="A327" s="43">
        <f t="shared" si="9"/>
        <v>0.44000000000000022</v>
      </c>
      <c r="B327" s="42">
        <f t="shared" si="10"/>
        <v>-0.44000000000000022</v>
      </c>
    </row>
    <row r="328" spans="1:2" hidden="1">
      <c r="A328" s="43">
        <f t="shared" si="9"/>
        <v>0.45000000000000023</v>
      </c>
      <c r="B328" s="42">
        <f t="shared" si="10"/>
        <v>-0.45000000000000023</v>
      </c>
    </row>
    <row r="329" spans="1:2" hidden="1">
      <c r="A329" s="43">
        <f t="shared" si="9"/>
        <v>0.46000000000000024</v>
      </c>
      <c r="B329" s="42">
        <f t="shared" si="10"/>
        <v>-0.46000000000000024</v>
      </c>
    </row>
    <row r="330" spans="1:2" hidden="1">
      <c r="A330" s="43">
        <f t="shared" si="9"/>
        <v>0.47000000000000025</v>
      </c>
      <c r="B330" s="42">
        <f t="shared" si="10"/>
        <v>-0.47000000000000025</v>
      </c>
    </row>
    <row r="331" spans="1:2" hidden="1">
      <c r="A331" s="43">
        <f t="shared" si="9"/>
        <v>0.48000000000000026</v>
      </c>
      <c r="B331" s="42">
        <f t="shared" si="10"/>
        <v>-0.48000000000000026</v>
      </c>
    </row>
    <row r="332" spans="1:2" hidden="1">
      <c r="A332" s="43">
        <f t="shared" si="9"/>
        <v>0.49000000000000027</v>
      </c>
      <c r="B332" s="42">
        <f t="shared" si="10"/>
        <v>-0.49000000000000027</v>
      </c>
    </row>
    <row r="333" spans="1:2" hidden="1">
      <c r="A333" s="43">
        <f t="shared" si="9"/>
        <v>0.50000000000000022</v>
      </c>
      <c r="B333" s="42">
        <f t="shared" si="10"/>
        <v>-0.50000000000000022</v>
      </c>
    </row>
    <row r="334" spans="1:2" hidden="1">
      <c r="A334" s="43">
        <f t="shared" si="9"/>
        <v>0.51000000000000023</v>
      </c>
      <c r="B334" s="42">
        <f t="shared" si="10"/>
        <v>-0.51000000000000023</v>
      </c>
    </row>
    <row r="335" spans="1:2" hidden="1">
      <c r="A335" s="43">
        <f t="shared" si="9"/>
        <v>0.52000000000000024</v>
      </c>
      <c r="B335" s="42">
        <f t="shared" si="10"/>
        <v>-0.52000000000000024</v>
      </c>
    </row>
    <row r="336" spans="1:2" hidden="1">
      <c r="A336" s="43">
        <f t="shared" si="9"/>
        <v>0.53000000000000025</v>
      </c>
      <c r="B336" s="42">
        <f t="shared" si="10"/>
        <v>-0.53000000000000025</v>
      </c>
    </row>
    <row r="337" spans="1:2" hidden="1">
      <c r="A337" s="43">
        <f t="shared" si="9"/>
        <v>0.54000000000000026</v>
      </c>
      <c r="B337" s="42">
        <f t="shared" si="10"/>
        <v>-0.54000000000000026</v>
      </c>
    </row>
    <row r="338" spans="1:2" hidden="1">
      <c r="A338" s="43">
        <f t="shared" si="9"/>
        <v>0.55000000000000027</v>
      </c>
      <c r="B338" s="42">
        <f t="shared" si="10"/>
        <v>-0.55000000000000027</v>
      </c>
    </row>
    <row r="339" spans="1:2" hidden="1">
      <c r="A339" s="43">
        <f t="shared" si="9"/>
        <v>0.56000000000000028</v>
      </c>
      <c r="B339" s="42">
        <f t="shared" si="10"/>
        <v>-0.56000000000000028</v>
      </c>
    </row>
    <row r="340" spans="1:2" hidden="1">
      <c r="A340" s="43">
        <f t="shared" si="9"/>
        <v>0.57000000000000028</v>
      </c>
      <c r="B340" s="42">
        <f t="shared" si="10"/>
        <v>-0.57000000000000028</v>
      </c>
    </row>
    <row r="341" spans="1:2" hidden="1">
      <c r="A341" s="43">
        <f t="shared" si="9"/>
        <v>0.58000000000000029</v>
      </c>
      <c r="B341" s="42">
        <f t="shared" si="10"/>
        <v>-0.58000000000000029</v>
      </c>
    </row>
    <row r="342" spans="1:2" hidden="1">
      <c r="A342" s="43">
        <f t="shared" si="9"/>
        <v>0.5900000000000003</v>
      </c>
      <c r="B342" s="42">
        <f t="shared" si="10"/>
        <v>-0.5900000000000003</v>
      </c>
    </row>
    <row r="343" spans="1:2" hidden="1">
      <c r="A343" s="43">
        <f t="shared" si="9"/>
        <v>0.60000000000000031</v>
      </c>
      <c r="B343" s="42">
        <f t="shared" si="10"/>
        <v>-0.60000000000000031</v>
      </c>
    </row>
    <row r="344" spans="1:2" hidden="1">
      <c r="A344" s="43">
        <f t="shared" si="9"/>
        <v>0.61000000000000032</v>
      </c>
      <c r="B344" s="42">
        <f t="shared" si="10"/>
        <v>-0.61000000000000032</v>
      </c>
    </row>
    <row r="345" spans="1:2" hidden="1">
      <c r="A345" s="43">
        <f t="shared" si="9"/>
        <v>0.62000000000000033</v>
      </c>
      <c r="B345" s="42">
        <f t="shared" si="10"/>
        <v>-0.62000000000000033</v>
      </c>
    </row>
    <row r="346" spans="1:2" hidden="1">
      <c r="A346" s="43">
        <f t="shared" si="9"/>
        <v>0.63000000000000034</v>
      </c>
      <c r="B346" s="42">
        <f t="shared" si="10"/>
        <v>-0.63000000000000034</v>
      </c>
    </row>
    <row r="347" spans="1:2" hidden="1">
      <c r="A347" s="43">
        <f t="shared" si="9"/>
        <v>0.64000000000000035</v>
      </c>
      <c r="B347" s="42">
        <f t="shared" si="10"/>
        <v>-0.64000000000000035</v>
      </c>
    </row>
    <row r="348" spans="1:2" hidden="1">
      <c r="A348" s="43">
        <f t="shared" si="9"/>
        <v>0.65000000000000036</v>
      </c>
      <c r="B348" s="42">
        <f t="shared" si="10"/>
        <v>-0.65000000000000036</v>
      </c>
    </row>
    <row r="349" spans="1:2" hidden="1">
      <c r="A349" s="43">
        <f t="shared" si="9"/>
        <v>0.66000000000000036</v>
      </c>
      <c r="B349" s="42">
        <f t="shared" si="10"/>
        <v>-0.66000000000000036</v>
      </c>
    </row>
    <row r="350" spans="1:2" hidden="1">
      <c r="A350" s="43">
        <f t="shared" ref="A350:A383" si="11">A349+1%</f>
        <v>0.67000000000000037</v>
      </c>
      <c r="B350" s="42">
        <f t="shared" ref="B350:B383" si="12">B349-1%</f>
        <v>-0.67000000000000037</v>
      </c>
    </row>
    <row r="351" spans="1:2" hidden="1">
      <c r="A351" s="43">
        <f t="shared" si="11"/>
        <v>0.68000000000000038</v>
      </c>
      <c r="B351" s="42">
        <f t="shared" si="12"/>
        <v>-0.68000000000000038</v>
      </c>
    </row>
    <row r="352" spans="1:2" hidden="1">
      <c r="A352" s="43">
        <f t="shared" si="11"/>
        <v>0.69000000000000039</v>
      </c>
      <c r="B352" s="42">
        <f t="shared" si="12"/>
        <v>-0.69000000000000039</v>
      </c>
    </row>
    <row r="353" spans="1:2" hidden="1">
      <c r="A353" s="43">
        <f t="shared" si="11"/>
        <v>0.7000000000000004</v>
      </c>
      <c r="B353" s="42">
        <f t="shared" si="12"/>
        <v>-0.7000000000000004</v>
      </c>
    </row>
    <row r="354" spans="1:2" hidden="1">
      <c r="A354" s="43">
        <f t="shared" si="11"/>
        <v>0.71000000000000041</v>
      </c>
      <c r="B354" s="42">
        <f t="shared" si="12"/>
        <v>-0.71000000000000041</v>
      </c>
    </row>
    <row r="355" spans="1:2" hidden="1">
      <c r="A355" s="43">
        <f t="shared" si="11"/>
        <v>0.72000000000000042</v>
      </c>
      <c r="B355" s="42">
        <f t="shared" si="12"/>
        <v>-0.72000000000000042</v>
      </c>
    </row>
    <row r="356" spans="1:2" hidden="1">
      <c r="A356" s="43">
        <f t="shared" si="11"/>
        <v>0.73000000000000043</v>
      </c>
      <c r="B356" s="42">
        <f t="shared" si="12"/>
        <v>-0.73000000000000043</v>
      </c>
    </row>
    <row r="357" spans="1:2" hidden="1">
      <c r="A357" s="43">
        <f t="shared" si="11"/>
        <v>0.74000000000000044</v>
      </c>
      <c r="B357" s="42">
        <f t="shared" si="12"/>
        <v>-0.74000000000000044</v>
      </c>
    </row>
    <row r="358" spans="1:2" hidden="1">
      <c r="A358" s="43">
        <f t="shared" si="11"/>
        <v>0.75000000000000044</v>
      </c>
      <c r="B358" s="42">
        <f t="shared" si="12"/>
        <v>-0.75000000000000044</v>
      </c>
    </row>
    <row r="359" spans="1:2" hidden="1">
      <c r="A359" s="43">
        <f t="shared" si="11"/>
        <v>0.76000000000000045</v>
      </c>
      <c r="B359" s="42">
        <f t="shared" si="12"/>
        <v>-0.76000000000000045</v>
      </c>
    </row>
    <row r="360" spans="1:2" hidden="1">
      <c r="A360" s="43">
        <f t="shared" si="11"/>
        <v>0.77000000000000046</v>
      </c>
      <c r="B360" s="42">
        <f t="shared" si="12"/>
        <v>-0.77000000000000046</v>
      </c>
    </row>
    <row r="361" spans="1:2" hidden="1">
      <c r="A361" s="43">
        <f t="shared" si="11"/>
        <v>0.78000000000000047</v>
      </c>
      <c r="B361" s="42">
        <f t="shared" si="12"/>
        <v>-0.78000000000000047</v>
      </c>
    </row>
    <row r="362" spans="1:2" hidden="1">
      <c r="A362" s="43">
        <f t="shared" si="11"/>
        <v>0.79000000000000048</v>
      </c>
      <c r="B362" s="42">
        <f t="shared" si="12"/>
        <v>-0.79000000000000048</v>
      </c>
    </row>
    <row r="363" spans="1:2" hidden="1">
      <c r="A363" s="43">
        <f t="shared" si="11"/>
        <v>0.80000000000000049</v>
      </c>
      <c r="B363" s="42">
        <f t="shared" si="12"/>
        <v>-0.80000000000000049</v>
      </c>
    </row>
    <row r="364" spans="1:2" hidden="1">
      <c r="A364" s="43">
        <f t="shared" si="11"/>
        <v>0.8100000000000005</v>
      </c>
      <c r="B364" s="42">
        <f t="shared" si="12"/>
        <v>-0.8100000000000005</v>
      </c>
    </row>
    <row r="365" spans="1:2" hidden="1">
      <c r="A365" s="43">
        <f t="shared" si="11"/>
        <v>0.82000000000000051</v>
      </c>
      <c r="B365" s="42">
        <f t="shared" si="12"/>
        <v>-0.82000000000000051</v>
      </c>
    </row>
    <row r="366" spans="1:2" hidden="1">
      <c r="A366" s="43">
        <f t="shared" si="11"/>
        <v>0.83000000000000052</v>
      </c>
      <c r="B366" s="42">
        <f t="shared" si="12"/>
        <v>-0.83000000000000052</v>
      </c>
    </row>
    <row r="367" spans="1:2" hidden="1">
      <c r="A367" s="43">
        <f t="shared" si="11"/>
        <v>0.84000000000000052</v>
      </c>
      <c r="B367" s="42">
        <f t="shared" si="12"/>
        <v>-0.84000000000000052</v>
      </c>
    </row>
    <row r="368" spans="1:2" hidden="1">
      <c r="A368" s="43">
        <f t="shared" si="11"/>
        <v>0.85000000000000053</v>
      </c>
      <c r="B368" s="42">
        <f t="shared" si="12"/>
        <v>-0.85000000000000053</v>
      </c>
    </row>
    <row r="369" spans="1:2" hidden="1">
      <c r="A369" s="43">
        <f t="shared" si="11"/>
        <v>0.86000000000000054</v>
      </c>
      <c r="B369" s="42">
        <f t="shared" si="12"/>
        <v>-0.86000000000000054</v>
      </c>
    </row>
    <row r="370" spans="1:2" hidden="1">
      <c r="A370" s="43">
        <f t="shared" si="11"/>
        <v>0.87000000000000055</v>
      </c>
      <c r="B370" s="42">
        <f t="shared" si="12"/>
        <v>-0.87000000000000055</v>
      </c>
    </row>
    <row r="371" spans="1:2" hidden="1">
      <c r="A371" s="43">
        <f t="shared" si="11"/>
        <v>0.88000000000000056</v>
      </c>
      <c r="B371" s="42">
        <f t="shared" si="12"/>
        <v>-0.88000000000000056</v>
      </c>
    </row>
    <row r="372" spans="1:2" hidden="1">
      <c r="A372" s="43">
        <f t="shared" si="11"/>
        <v>0.89000000000000057</v>
      </c>
      <c r="B372" s="42">
        <f t="shared" si="12"/>
        <v>-0.89000000000000057</v>
      </c>
    </row>
    <row r="373" spans="1:2" hidden="1">
      <c r="A373" s="43">
        <f t="shared" si="11"/>
        <v>0.90000000000000058</v>
      </c>
      <c r="B373" s="42">
        <f t="shared" si="12"/>
        <v>-0.90000000000000058</v>
      </c>
    </row>
    <row r="374" spans="1:2">
      <c r="A374" s="43">
        <f t="shared" si="11"/>
        <v>0.91000000000000059</v>
      </c>
      <c r="B374" s="42">
        <f t="shared" si="12"/>
        <v>-0.91000000000000059</v>
      </c>
    </row>
    <row r="375" spans="1:2">
      <c r="A375" s="43">
        <f t="shared" si="11"/>
        <v>0.9200000000000006</v>
      </c>
      <c r="B375" s="42">
        <f t="shared" si="12"/>
        <v>-0.9200000000000006</v>
      </c>
    </row>
    <row r="376" spans="1:2">
      <c r="A376" s="43">
        <f t="shared" si="11"/>
        <v>0.9300000000000006</v>
      </c>
      <c r="B376" s="42">
        <f t="shared" si="12"/>
        <v>-0.9300000000000006</v>
      </c>
    </row>
    <row r="377" spans="1:2">
      <c r="A377" s="43">
        <f t="shared" si="11"/>
        <v>0.94000000000000061</v>
      </c>
      <c r="B377" s="42">
        <f t="shared" si="12"/>
        <v>-0.94000000000000061</v>
      </c>
    </row>
    <row r="378" spans="1:2">
      <c r="A378" s="43">
        <f t="shared" si="11"/>
        <v>0.95000000000000062</v>
      </c>
      <c r="B378" s="42">
        <f t="shared" si="12"/>
        <v>-0.95000000000000062</v>
      </c>
    </row>
    <row r="379" spans="1:2">
      <c r="A379" s="43">
        <f t="shared" si="11"/>
        <v>0.96000000000000063</v>
      </c>
      <c r="B379" s="42">
        <f t="shared" si="12"/>
        <v>-0.96000000000000063</v>
      </c>
    </row>
    <row r="380" spans="1:2">
      <c r="A380" s="43">
        <f t="shared" si="11"/>
        <v>0.97000000000000064</v>
      </c>
      <c r="B380" s="42">
        <f t="shared" si="12"/>
        <v>-0.97000000000000064</v>
      </c>
    </row>
    <row r="381" spans="1:2">
      <c r="A381" s="43">
        <f t="shared" si="11"/>
        <v>0.98000000000000065</v>
      </c>
      <c r="B381" s="42">
        <f t="shared" si="12"/>
        <v>-0.98000000000000065</v>
      </c>
    </row>
    <row r="382" spans="1:2">
      <c r="A382" s="43">
        <f t="shared" si="11"/>
        <v>0.99000000000000066</v>
      </c>
      <c r="B382" s="42">
        <f t="shared" si="12"/>
        <v>-0.99000000000000066</v>
      </c>
    </row>
    <row r="383" spans="1:2">
      <c r="A383" s="43">
        <f t="shared" si="11"/>
        <v>1.0000000000000007</v>
      </c>
      <c r="B383" s="42">
        <f t="shared" si="12"/>
        <v>-1.0000000000000007</v>
      </c>
    </row>
  </sheetData>
  <sheetProtection selectLockedCells="1" autoFilter="0" pivotTables="0"/>
  <conditionalFormatting sqref="A67 A168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84:A383 J9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84:B383 M9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84:B383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2:J68">
    <cfRule type="containsBlanks" dxfId="120" priority="10">
      <formula>LEN(TRIM(C12))=0</formula>
    </cfRule>
  </conditionalFormatting>
  <conditionalFormatting sqref="D12:D68">
    <cfRule type="cellIs" dxfId="119" priority="8" operator="lessThan">
      <formula>-200</formula>
    </cfRule>
    <cfRule type="cellIs" dxfId="118" priority="9" operator="greaterThan">
      <formula>200</formula>
    </cfRule>
  </conditionalFormatting>
  <conditionalFormatting sqref="E12:G68">
    <cfRule type="cellIs" dxfId="117" priority="6" operator="lessThan">
      <formula>-6</formula>
    </cfRule>
    <cfRule type="cellIs" dxfId="116" priority="7" operator="greaterThan">
      <formula>6</formula>
    </cfRule>
  </conditionalFormatting>
  <conditionalFormatting sqref="H12:H68">
    <cfRule type="cellIs" dxfId="115" priority="4" operator="lessThan">
      <formula>-3</formula>
    </cfRule>
    <cfRule type="cellIs" dxfId="114" priority="5" operator="greaterThan">
      <formula>3</formula>
    </cfRule>
  </conditionalFormatting>
  <conditionalFormatting sqref="I12:I68">
    <cfRule type="cellIs" dxfId="113" priority="2" operator="lessThan">
      <formula>-1000</formula>
    </cfRule>
    <cfRule type="cellIs" dxfId="112" priority="3" operator="greaterThan">
      <formula>1000</formula>
    </cfRule>
  </conditionalFormatting>
  <conditionalFormatting sqref="J2:J8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:M8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:N9">
    <cfRule type="cellIs" dxfId="111" priority="24" operator="lessThan">
      <formula>0.516</formula>
    </cfRule>
    <cfRule type="cellIs" dxfId="110" priority="25" operator="greaterThan">
      <formula>0.516</formula>
    </cfRule>
  </conditionalFormatting>
  <conditionalFormatting sqref="O2:O9">
    <cfRule type="cellIs" dxfId="109" priority="22" operator="lessThan">
      <formula>0.0659</formula>
    </cfRule>
    <cfRule type="cellIs" dxfId="108" priority="23" operator="greaterThan">
      <formula>0.0659</formula>
    </cfRule>
  </conditionalFormatting>
  <conditionalFormatting sqref="P12:P6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FA36C-68B1-429A-AE4E-D945433D0D91}">
  <dimension ref="A1:T383"/>
  <sheetViews>
    <sheetView zoomScale="84" zoomScaleNormal="100" workbookViewId="0">
      <selection activeCell="S60" sqref="S60"/>
    </sheetView>
  </sheetViews>
  <sheetFormatPr defaultColWidth="9.140625" defaultRowHeight="12.75"/>
  <cols>
    <col min="1" max="1" width="25.28515625" style="6" bestFit="1" customWidth="1"/>
    <col min="2" max="2" width="22" style="6" bestFit="1" customWidth="1"/>
    <col min="3" max="3" width="18.85546875" style="6" bestFit="1" customWidth="1"/>
    <col min="4" max="4" width="22.5703125" style="6" bestFit="1" customWidth="1"/>
    <col min="5" max="5" width="18" style="6" bestFit="1" customWidth="1"/>
    <col min="6" max="6" width="17.85546875" style="6" bestFit="1" customWidth="1"/>
    <col min="7" max="7" width="27" style="6" bestFit="1" customWidth="1"/>
    <col min="8" max="8" width="26.7109375" style="6" bestFit="1" customWidth="1"/>
    <col min="9" max="10" width="24" style="6" bestFit="1" customWidth="1"/>
    <col min="11" max="11" width="22.5703125" style="6" hidden="1" customWidth="1"/>
    <col min="12" max="12" width="25" style="6" hidden="1" customWidth="1"/>
    <col min="13" max="13" width="13.28515625" style="6" hidden="1" customWidth="1"/>
    <col min="14" max="14" width="7.85546875" style="6" hidden="1" customWidth="1"/>
    <col min="15" max="15" width="11.140625" style="6" hidden="1" customWidth="1"/>
    <col min="16" max="16" width="11.140625" style="6" bestFit="1" customWidth="1"/>
    <col min="17" max="17" width="9.140625" style="6"/>
    <col min="18" max="18" width="16.28515625" style="6" hidden="1" customWidth="1"/>
    <col min="19" max="19" width="16.7109375" style="6" bestFit="1" customWidth="1"/>
    <col min="20" max="20" width="3.140625" style="6" bestFit="1" customWidth="1"/>
    <col min="21" max="16384" width="9.140625" style="6"/>
  </cols>
  <sheetData>
    <row r="1" spans="1:20" ht="18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4"/>
      <c r="L1" s="5" t="s">
        <v>10</v>
      </c>
      <c r="M1" s="2" t="s">
        <v>11</v>
      </c>
      <c r="N1" s="2" t="s">
        <v>12</v>
      </c>
      <c r="O1" s="3" t="s">
        <v>13</v>
      </c>
      <c r="S1" s="6" t="s">
        <v>14</v>
      </c>
      <c r="T1" s="6">
        <v>11</v>
      </c>
    </row>
    <row r="2" spans="1:20" ht="18">
      <c r="A2" s="7" t="str">
        <f>A12</f>
        <v>Baton Rouge North</v>
      </c>
      <c r="B2" s="8">
        <f>SUM(C12:C19)</f>
        <v>-997.83999999999992</v>
      </c>
      <c r="C2" s="8">
        <f t="shared" ref="C2:I2" si="0">SUM(D12:D19)</f>
        <v>-897.83999999999992</v>
      </c>
      <c r="D2" s="8">
        <f t="shared" si="0"/>
        <v>5</v>
      </c>
      <c r="E2" s="8">
        <f t="shared" si="0"/>
        <v>114</v>
      </c>
      <c r="F2" s="8">
        <f t="shared" si="0"/>
        <v>-371</v>
      </c>
      <c r="G2" s="8">
        <f t="shared" si="0"/>
        <v>-17</v>
      </c>
      <c r="H2" s="9">
        <f>SUM(I12:I19)</f>
        <v>-3300.3573999999999</v>
      </c>
      <c r="I2" s="8">
        <f t="shared" si="0"/>
        <v>25</v>
      </c>
      <c r="J2" s="10">
        <f>I2/SUM(S12:S19)</f>
        <v>0.37878787878787878</v>
      </c>
      <c r="K2" s="11"/>
      <c r="L2" s="12">
        <f>SUM(L12:L12)</f>
        <v>4238.9799999999996</v>
      </c>
      <c r="M2" s="13">
        <f>((F2-G12)/L2)-100%</f>
        <v>-1.087521054593322</v>
      </c>
      <c r="N2" s="13">
        <f>SUM(N12:N12)/C2</f>
        <v>0</v>
      </c>
      <c r="O2" s="14">
        <f>SUM(P12:P12)/C2</f>
        <v>-1.0125310847043005E-4</v>
      </c>
    </row>
    <row r="3" spans="1:20" ht="18">
      <c r="A3" s="7" t="str">
        <f>A20</f>
        <v>Baton Rouge South</v>
      </c>
      <c r="B3" s="8">
        <f>SUM(C20:C26)</f>
        <v>1829.8700000000001</v>
      </c>
      <c r="C3" s="8">
        <f t="shared" ref="C3:I3" si="1">SUM(D20:D26)</f>
        <v>2131.87</v>
      </c>
      <c r="D3" s="15">
        <f t="shared" si="1"/>
        <v>33</v>
      </c>
      <c r="E3" s="15">
        <f t="shared" si="1"/>
        <v>148</v>
      </c>
      <c r="F3" s="15">
        <f t="shared" si="1"/>
        <v>-224</v>
      </c>
      <c r="G3" s="15">
        <f t="shared" si="1"/>
        <v>-68</v>
      </c>
      <c r="H3" s="9">
        <f t="shared" si="1"/>
        <v>5757.8315999999995</v>
      </c>
      <c r="I3" s="8">
        <f t="shared" si="1"/>
        <v>49</v>
      </c>
      <c r="J3" s="10">
        <f>I3/SUM(S20:S26)</f>
        <v>0.63636363636363635</v>
      </c>
      <c r="K3" s="11"/>
      <c r="L3" s="12">
        <f>SUM(L13:L13)</f>
        <v>5844.34</v>
      </c>
      <c r="M3" s="13">
        <f>((F3-G13)/L3)-100%</f>
        <v>-1.0491073414619958</v>
      </c>
      <c r="N3" s="13">
        <f>SUM(N13:N13)/C3</f>
        <v>0</v>
      </c>
      <c r="O3" s="14">
        <f>SUM(P13:P13)/C3</f>
        <v>3.4114309374996008E-4</v>
      </c>
    </row>
    <row r="4" spans="1:20" ht="18">
      <c r="A4" s="7" t="str">
        <f>A27</f>
        <v>Gulf Coast North</v>
      </c>
      <c r="B4" s="8">
        <f>SUM(C27:C35)</f>
        <v>8225</v>
      </c>
      <c r="C4" s="8">
        <f t="shared" ref="C4:I4" si="2">SUM(D27:D35)</f>
        <v>3288</v>
      </c>
      <c r="D4" s="8">
        <f t="shared" si="2"/>
        <v>-38</v>
      </c>
      <c r="E4" s="8">
        <f t="shared" si="2"/>
        <v>-18</v>
      </c>
      <c r="F4" s="8">
        <f t="shared" si="2"/>
        <v>-43</v>
      </c>
      <c r="G4" s="8">
        <f t="shared" si="2"/>
        <v>55</v>
      </c>
      <c r="H4" s="9">
        <f t="shared" si="2"/>
        <v>20698.059999999998</v>
      </c>
      <c r="I4" s="8">
        <f t="shared" si="2"/>
        <v>54</v>
      </c>
      <c r="J4" s="10">
        <f>I4/SUM(S27:S35)</f>
        <v>0.54545454545454541</v>
      </c>
      <c r="K4" s="11"/>
      <c r="L4" s="12">
        <f>SUM(L14:L23)</f>
        <v>52541.38</v>
      </c>
      <c r="M4" s="13">
        <f>(F4/L4)-100%</f>
        <v>-1.0008184025619427</v>
      </c>
      <c r="N4" s="13">
        <f>SUM(N14:N23)/C4</f>
        <v>0</v>
      </c>
      <c r="O4" s="14" t="e">
        <f>SUM(P14:P23)/C4</f>
        <v>#DIV/0!</v>
      </c>
    </row>
    <row r="5" spans="1:20" ht="18">
      <c r="A5" s="7" t="str">
        <f>A36</f>
        <v>Gulf Coast West</v>
      </c>
      <c r="B5" s="8">
        <f>SUM(C36:C42)</f>
        <v>-349</v>
      </c>
      <c r="C5" s="8">
        <f t="shared" ref="C5:I5" si="3">SUM(D36:D42)</f>
        <v>-743</v>
      </c>
      <c r="D5" s="8">
        <f t="shared" si="3"/>
        <v>51</v>
      </c>
      <c r="E5" s="8">
        <f t="shared" si="3"/>
        <v>91</v>
      </c>
      <c r="F5" s="8">
        <f t="shared" si="3"/>
        <v>34</v>
      </c>
      <c r="G5" s="8">
        <f>SUM(H36:H42)</f>
        <v>1</v>
      </c>
      <c r="H5" s="9">
        <f t="shared" si="3"/>
        <v>-913.58000000000015</v>
      </c>
      <c r="I5" s="8">
        <f t="shared" si="3"/>
        <v>47</v>
      </c>
      <c r="J5" s="10">
        <f>I5/SUM(S36:S42)</f>
        <v>0.61038961038961037</v>
      </c>
      <c r="K5" s="11"/>
      <c r="L5" s="12">
        <f>SUM(L24:L36)</f>
        <v>80972.98000000001</v>
      </c>
      <c r="M5" s="13">
        <f>((F5-G34-G35-G36)/L5)-100%</f>
        <v>-0.99943190926158332</v>
      </c>
      <c r="N5" s="13">
        <f>SUM(N24:N36)/C5</f>
        <v>0</v>
      </c>
      <c r="O5" s="14">
        <f>SUM(P24:P36)/C5</f>
        <v>-1.0522451976018596E-2</v>
      </c>
    </row>
    <row r="6" spans="1:20" ht="18">
      <c r="A6" s="7" t="str">
        <f>A43</f>
        <v>Lafayette</v>
      </c>
      <c r="B6" s="8">
        <f>SUM(C43:C50)</f>
        <v>583</v>
      </c>
      <c r="C6" s="8">
        <f t="shared" ref="C6:I6" si="4">SUM(D43:D50)</f>
        <v>435</v>
      </c>
      <c r="D6" s="8">
        <f t="shared" si="4"/>
        <v>-10</v>
      </c>
      <c r="E6" s="8">
        <f t="shared" si="4"/>
        <v>16</v>
      </c>
      <c r="F6" s="8">
        <f t="shared" si="4"/>
        <v>-10</v>
      </c>
      <c r="G6" s="8">
        <f t="shared" si="4"/>
        <v>-3</v>
      </c>
      <c r="H6" s="9">
        <f t="shared" si="4"/>
        <v>1867.8199999999997</v>
      </c>
      <c r="I6" s="8">
        <f t="shared" si="4"/>
        <v>68</v>
      </c>
      <c r="J6" s="10">
        <f>I6/SUM(S43:S50)</f>
        <v>0.77272727272727271</v>
      </c>
      <c r="K6" s="11"/>
      <c r="L6" s="12"/>
      <c r="M6" s="13"/>
      <c r="N6" s="13"/>
      <c r="O6" s="14"/>
    </row>
    <row r="7" spans="1:20" ht="18">
      <c r="A7" s="7" t="str">
        <f>A51</f>
        <v>NOLA North</v>
      </c>
      <c r="B7" s="8">
        <f>SUM(C51:C59)</f>
        <v>727</v>
      </c>
      <c r="C7" s="8">
        <f t="shared" ref="C7:I7" si="5">SUM(D51:D59)</f>
        <v>613</v>
      </c>
      <c r="D7" s="8">
        <f t="shared" si="5"/>
        <v>-8</v>
      </c>
      <c r="E7" s="8">
        <f t="shared" si="5"/>
        <v>12</v>
      </c>
      <c r="F7" s="8">
        <f t="shared" si="5"/>
        <v>1</v>
      </c>
      <c r="G7" s="8">
        <f t="shared" si="5"/>
        <v>0</v>
      </c>
      <c r="H7" s="9">
        <f t="shared" si="5"/>
        <v>3347.6000000000004</v>
      </c>
      <c r="I7" s="8">
        <f t="shared" si="5"/>
        <v>72</v>
      </c>
      <c r="J7" s="10">
        <f>I7/SUM(S51:S59)</f>
        <v>0.81818181818181823</v>
      </c>
      <c r="K7" s="11"/>
      <c r="L7" s="12">
        <f>SUM(L37:L45)</f>
        <v>38554.76</v>
      </c>
      <c r="M7" s="13">
        <f>(F7/L7)-100%</f>
        <v>-0.99997406286538937</v>
      </c>
      <c r="N7" s="13">
        <f>SUM(N37:N45)/C7</f>
        <v>0</v>
      </c>
      <c r="O7" s="14">
        <f>SUM(P37:P45)/C7</f>
        <v>9.4913243363488071E-3</v>
      </c>
    </row>
    <row r="8" spans="1:20" ht="18">
      <c r="A8" s="16" t="str">
        <f>A60</f>
        <v>NOLA South</v>
      </c>
      <c r="B8" s="17">
        <f>SUM(C60:C68)</f>
        <v>4305</v>
      </c>
      <c r="C8" s="17">
        <f t="shared" ref="C8:I8" si="6">SUM(D60:D68)</f>
        <v>2262</v>
      </c>
      <c r="D8" s="17">
        <f t="shared" si="6"/>
        <v>31</v>
      </c>
      <c r="E8" s="17">
        <f t="shared" si="6"/>
        <v>21</v>
      </c>
      <c r="F8" s="17">
        <f t="shared" si="6"/>
        <v>109</v>
      </c>
      <c r="G8" s="17">
        <f>SUM(H60:H68)</f>
        <v>46</v>
      </c>
      <c r="H8" s="18">
        <f t="shared" si="6"/>
        <v>10430.82</v>
      </c>
      <c r="I8" s="17">
        <f t="shared" si="6"/>
        <v>75</v>
      </c>
      <c r="J8" s="19">
        <f>I8/SUM(S60:S68)</f>
        <v>0.75757575757575757</v>
      </c>
      <c r="K8" s="11"/>
      <c r="L8" s="12">
        <f>SUM(L46:L54)</f>
        <v>19465.43</v>
      </c>
      <c r="M8" s="13">
        <f>((F8-G54)/L8)-100%</f>
        <v>-0.99440032919899535</v>
      </c>
      <c r="N8" s="13">
        <f>SUM(N46:N54)/C8</f>
        <v>4.4208664898320068E-4</v>
      </c>
      <c r="O8" s="14">
        <f>SUM(P46:P54)/C8</f>
        <v>3.2553653243308418E-3</v>
      </c>
    </row>
    <row r="9" spans="1:20" ht="18">
      <c r="A9" s="20" t="s">
        <v>15</v>
      </c>
      <c r="B9" s="21">
        <f>SUM(B2:B8)</f>
        <v>14323.03</v>
      </c>
      <c r="C9" s="21">
        <f t="shared" ref="C9:I9" si="7">SUM(C2:C8)</f>
        <v>7089.03</v>
      </c>
      <c r="D9" s="22">
        <f t="shared" si="7"/>
        <v>64</v>
      </c>
      <c r="E9" s="22">
        <f t="shared" si="7"/>
        <v>384</v>
      </c>
      <c r="F9" s="22">
        <f t="shared" si="7"/>
        <v>-504</v>
      </c>
      <c r="G9" s="22">
        <f t="shared" si="7"/>
        <v>14</v>
      </c>
      <c r="H9" s="23">
        <f>SUM(H2:H8)</f>
        <v>37888.194199999998</v>
      </c>
      <c r="I9" s="21">
        <f>SUM(I2:I8)</f>
        <v>390</v>
      </c>
      <c r="J9" s="24">
        <f>I9/SUM(S12:S68)</f>
        <v>0.65656565656565657</v>
      </c>
      <c r="K9" s="25"/>
      <c r="L9" s="26">
        <f>SUM(L2:L8)</f>
        <v>201617.87</v>
      </c>
      <c r="M9" s="27">
        <f>((F9-G12-G13-G34-G35-G36-G54)/L9)-100%</f>
        <v>-1.002752732185892</v>
      </c>
      <c r="N9" s="27" cm="1">
        <f t="array" ref="N9">SUM(Table1789101112132357834[Big 4 Items]/C9)</f>
        <v>1.410630227266636E-4</v>
      </c>
      <c r="O9" s="28" t="e">
        <f>SUM(Table1789101112132357834[Count Compliance2])/C9</f>
        <v>#DIV/0!</v>
      </c>
    </row>
    <row r="11" spans="1:20">
      <c r="A11" s="6" t="s">
        <v>0</v>
      </c>
      <c r="B11" s="6" t="s">
        <v>16</v>
      </c>
      <c r="C11" s="6" t="s">
        <v>1</v>
      </c>
      <c r="D11" s="6" t="s">
        <v>17</v>
      </c>
      <c r="E11" s="6" t="s">
        <v>3</v>
      </c>
      <c r="F11" s="6" t="s">
        <v>4</v>
      </c>
      <c r="G11" s="6" t="s">
        <v>5</v>
      </c>
      <c r="H11" s="6" t="s">
        <v>6</v>
      </c>
      <c r="I11" s="6" t="s">
        <v>7</v>
      </c>
      <c r="J11" s="6" t="s">
        <v>8</v>
      </c>
      <c r="K11" s="6" t="s">
        <v>9</v>
      </c>
      <c r="L11" s="6" t="s">
        <v>10</v>
      </c>
      <c r="M11" s="6" t="s">
        <v>18</v>
      </c>
      <c r="N11" s="6" t="s">
        <v>19</v>
      </c>
      <c r="O11" s="6" t="s">
        <v>12</v>
      </c>
      <c r="P11" s="6" t="s">
        <v>20</v>
      </c>
    </row>
    <row r="12" spans="1:20" ht="15" hidden="1">
      <c r="A12" s="29" t="s">
        <v>21</v>
      </c>
      <c r="B12" s="30">
        <v>17</v>
      </c>
      <c r="C12" s="31"/>
      <c r="D12" s="32"/>
      <c r="E12" s="32"/>
      <c r="F12" s="32">
        <v>-33</v>
      </c>
      <c r="G12" s="32"/>
      <c r="H12" s="32"/>
      <c r="I12" s="33">
        <v>-74.95</v>
      </c>
      <c r="J12" s="32">
        <v>1</v>
      </c>
      <c r="K12" s="34">
        <f>Table1789101112132357834[[#This Row],[On Time Counts]]/45</f>
        <v>2.2222222222222223E-2</v>
      </c>
      <c r="L12" s="35">
        <v>4238.9799999999996</v>
      </c>
      <c r="M12" s="36">
        <f>Table1789101112132357834[[#This Row],[Wipers +/-]]/Table1789101112132357834[[#This Row],[Comp Sales]]</f>
        <v>0</v>
      </c>
      <c r="N12" s="37">
        <v>0</v>
      </c>
      <c r="O12" s="36" t="e">
        <f>Table1789101112132357834[[#This Row],[Big 4 Items]]/Table1789101112132357834[[#This Row],[Oil +/- ]]</f>
        <v>#DIV/0!</v>
      </c>
      <c r="P12" s="38">
        <f>J12/S12</f>
        <v>9.0909090909090912E-2</v>
      </c>
      <c r="S12" s="6">
        <f>$T$1</f>
        <v>11</v>
      </c>
    </row>
    <row r="13" spans="1:20" ht="15" hidden="1">
      <c r="A13" s="29" t="s">
        <v>21</v>
      </c>
      <c r="B13" s="30">
        <v>22</v>
      </c>
      <c r="C13" s="31">
        <v>-1227.96</v>
      </c>
      <c r="D13" s="32">
        <v>-1227.96</v>
      </c>
      <c r="E13" s="32">
        <v>-14</v>
      </c>
      <c r="F13" s="32">
        <v>126</v>
      </c>
      <c r="G13" s="32">
        <v>63</v>
      </c>
      <c r="H13" s="32">
        <v>15</v>
      </c>
      <c r="I13" s="33">
        <v>-2855.3676</v>
      </c>
      <c r="J13" s="32">
        <v>8</v>
      </c>
      <c r="K13" s="34">
        <f>Table1789101112132357834[[#This Row],[On Time Counts]]/45</f>
        <v>0.17777777777777778</v>
      </c>
      <c r="L13" s="35">
        <v>5844.34</v>
      </c>
      <c r="M13" s="36">
        <f>Table1789101112132357834[[#This Row],[Wipers +/-]]/Table1789101112132357834[[#This Row],[Comp Sales]]</f>
        <v>1.0779660320925886E-2</v>
      </c>
      <c r="N13" s="37">
        <v>0</v>
      </c>
      <c r="O13" s="36">
        <f>Table1789101112132357834[[#This Row],[Big 4 Items]]/Table1789101112132357834[[#This Row],[Oil +/- ]]</f>
        <v>0</v>
      </c>
      <c r="P13" s="38">
        <f>J13/S13</f>
        <v>0.72727272727272729</v>
      </c>
      <c r="S13" s="6">
        <f t="shared" ref="S13:S68" si="8">$T$1</f>
        <v>11</v>
      </c>
    </row>
    <row r="14" spans="1:20" ht="15" hidden="1">
      <c r="A14" s="29" t="s">
        <v>21</v>
      </c>
      <c r="B14" s="30">
        <v>641</v>
      </c>
      <c r="C14" s="31">
        <v>-148.08000000000001</v>
      </c>
      <c r="D14" s="32">
        <v>39.92</v>
      </c>
      <c r="E14" s="32">
        <v>-119</v>
      </c>
      <c r="F14" s="32"/>
      <c r="G14" s="32">
        <v>3</v>
      </c>
      <c r="H14" s="32">
        <v>0</v>
      </c>
      <c r="I14" s="33">
        <v>-616.39880000000005</v>
      </c>
      <c r="J14" s="32">
        <v>6</v>
      </c>
      <c r="K14" s="34">
        <f>Table1789101112132357834[[#This Row],[On Time Counts]]/45</f>
        <v>0.13333333333333333</v>
      </c>
      <c r="L14" s="35">
        <v>3219.34</v>
      </c>
      <c r="M14" s="36">
        <f>Table1789101112132357834[[#This Row],[Wipers +/-]]/Table1789101112132357834[[#This Row],[Comp Sales]]</f>
        <v>9.3186802263818048E-4</v>
      </c>
      <c r="N14" s="37">
        <v>0</v>
      </c>
      <c r="O14" s="36">
        <f>Table1789101112132357834[[#This Row],[Big 4 Items]]/Table1789101112132357834[[#This Row],[Oil +/- ]]</f>
        <v>0</v>
      </c>
      <c r="P14" s="38">
        <f>J14/S14</f>
        <v>0.54545454545454541</v>
      </c>
      <c r="S14" s="6">
        <f t="shared" si="8"/>
        <v>11</v>
      </c>
    </row>
    <row r="15" spans="1:20" ht="15" hidden="1">
      <c r="A15" s="29" t="s">
        <v>21</v>
      </c>
      <c r="B15" s="30">
        <v>717</v>
      </c>
      <c r="C15" s="31">
        <v>-54.1</v>
      </c>
      <c r="D15" s="32">
        <v>-54.1</v>
      </c>
      <c r="E15" s="32">
        <v>138</v>
      </c>
      <c r="F15" s="32"/>
      <c r="G15" s="32"/>
      <c r="H15" s="32">
        <v>-36</v>
      </c>
      <c r="I15" s="33">
        <v>-202.93700000000001</v>
      </c>
      <c r="J15" s="32">
        <v>4</v>
      </c>
      <c r="K15" s="34">
        <f>Table1789101112132357834[[#This Row],[On Time Counts]]/45</f>
        <v>8.8888888888888892E-2</v>
      </c>
      <c r="L15" s="35">
        <v>8034.77</v>
      </c>
      <c r="M15" s="36">
        <f>Table1789101112132357834[[#This Row],[Wipers +/-]]/Table1789101112132357834[[#This Row],[Comp Sales]]</f>
        <v>0</v>
      </c>
      <c r="N15" s="37">
        <v>0</v>
      </c>
      <c r="O15" s="36">
        <f>Table1789101112132357834[[#This Row],[Big 4 Items]]/Table1789101112132357834[[#This Row],[Oil +/- ]]</f>
        <v>0</v>
      </c>
      <c r="P15" s="38">
        <f>J15/S15</f>
        <v>0.36363636363636365</v>
      </c>
      <c r="S15" s="6">
        <f t="shared" si="8"/>
        <v>11</v>
      </c>
    </row>
    <row r="16" spans="1:20" ht="15" hidden="1">
      <c r="A16" s="29" t="s">
        <v>21</v>
      </c>
      <c r="B16" s="30">
        <v>843</v>
      </c>
      <c r="C16" s="31">
        <v>338.3</v>
      </c>
      <c r="D16" s="32">
        <v>250.3</v>
      </c>
      <c r="E16" s="32"/>
      <c r="F16" s="32">
        <v>21</v>
      </c>
      <c r="G16" s="32">
        <v>-442</v>
      </c>
      <c r="H16" s="32">
        <v>5</v>
      </c>
      <c r="I16" s="33">
        <v>61.786000000000001</v>
      </c>
      <c r="J16" s="32">
        <v>2</v>
      </c>
      <c r="K16" s="34">
        <f>Table1789101112132357834[[#This Row],[On Time Counts]]/45</f>
        <v>4.4444444444444446E-2</v>
      </c>
      <c r="L16" s="35">
        <v>6497.34</v>
      </c>
      <c r="M16" s="36">
        <f>Table1789101112132357834[[#This Row],[Wipers +/-]]/Table1789101112132357834[[#This Row],[Comp Sales]]</f>
        <v>-6.8027839084917829E-2</v>
      </c>
      <c r="N16" s="37">
        <v>0</v>
      </c>
      <c r="O16" s="36">
        <f>Table1789101112132357834[[#This Row],[Big 4 Items]]/Table1789101112132357834[[#This Row],[Oil +/- ]]</f>
        <v>0</v>
      </c>
      <c r="P16" s="38">
        <f>J16/S16</f>
        <v>0.18181818181818182</v>
      </c>
      <c r="S16" s="6">
        <f t="shared" si="8"/>
        <v>11</v>
      </c>
    </row>
    <row r="17" spans="1:19" ht="15" hidden="1">
      <c r="A17" s="29" t="s">
        <v>21</v>
      </c>
      <c r="B17" s="40">
        <v>881</v>
      </c>
      <c r="C17" s="31">
        <v>94</v>
      </c>
      <c r="D17" s="32">
        <v>94</v>
      </c>
      <c r="E17" s="32"/>
      <c r="F17" s="32"/>
      <c r="G17" s="32">
        <v>5</v>
      </c>
      <c r="H17" s="32">
        <v>-1</v>
      </c>
      <c r="I17" s="33">
        <v>387.51</v>
      </c>
      <c r="J17" s="32">
        <v>4</v>
      </c>
      <c r="K17" s="34">
        <f>Table1789101112132357834[[#This Row],[On Time Counts]]/45</f>
        <v>8.8888888888888892E-2</v>
      </c>
      <c r="L17" s="35"/>
      <c r="M17" s="36" t="e">
        <f>Table1789101112132357834[[#This Row],[Wipers +/-]]/Table1789101112132357834[[#This Row],[Comp Sales]]</f>
        <v>#DIV/0!</v>
      </c>
      <c r="N17" s="39"/>
      <c r="O17" s="36">
        <f>Table1789101112132357834[[#This Row],[Big 4 Items]]/Table1789101112132357834[[#This Row],[Oil +/- ]]</f>
        <v>0</v>
      </c>
      <c r="P17" s="38">
        <f>J17/S17</f>
        <v>0.36363636363636365</v>
      </c>
      <c r="S17" s="6">
        <f t="shared" si="8"/>
        <v>11</v>
      </c>
    </row>
    <row r="18" spans="1:19" ht="15" hidden="1">
      <c r="A18" s="29" t="s">
        <v>21</v>
      </c>
      <c r="B18" s="30">
        <v>953</v>
      </c>
      <c r="C18" s="31">
        <v>0</v>
      </c>
      <c r="D18" s="32">
        <v>0</v>
      </c>
      <c r="E18" s="32">
        <v>0</v>
      </c>
      <c r="F18" s="32">
        <v>0</v>
      </c>
      <c r="G18" s="32">
        <v>0</v>
      </c>
      <c r="H18" s="32">
        <v>0</v>
      </c>
      <c r="I18" s="33">
        <v>0</v>
      </c>
      <c r="J18" s="32">
        <v>0</v>
      </c>
      <c r="K18" s="34">
        <f>Table1789101112132357834[[#This Row],[On Time Counts]]/45</f>
        <v>0</v>
      </c>
      <c r="L18" s="35">
        <v>7185.39</v>
      </c>
      <c r="M18" s="36">
        <f>Table1789101112132357834[[#This Row],[Wipers +/-]]/Table1789101112132357834[[#This Row],[Comp Sales]]</f>
        <v>0</v>
      </c>
      <c r="N18" s="37">
        <v>0</v>
      </c>
      <c r="O18" s="36" t="e">
        <f>Table1789101112132357834[[#This Row],[Big 4 Items]]/Table1789101112132357834[[#This Row],[Oil +/- ]]</f>
        <v>#DIV/0!</v>
      </c>
      <c r="P18" s="38" t="e">
        <f>J18/S18</f>
        <v>#DIV/0!</v>
      </c>
      <c r="S18" s="6">
        <v>0</v>
      </c>
    </row>
    <row r="19" spans="1:19" ht="15" hidden="1">
      <c r="A19" s="29" t="s">
        <v>21</v>
      </c>
      <c r="B19" s="30">
        <v>3040</v>
      </c>
      <c r="C19" s="31">
        <v>0</v>
      </c>
      <c r="D19" s="32">
        <v>0</v>
      </c>
      <c r="E19" s="32">
        <v>0</v>
      </c>
      <c r="F19" s="32">
        <v>0</v>
      </c>
      <c r="G19" s="32">
        <v>0</v>
      </c>
      <c r="H19" s="32">
        <v>0</v>
      </c>
      <c r="I19" s="33">
        <v>0</v>
      </c>
      <c r="J19" s="32">
        <v>0</v>
      </c>
      <c r="K19" s="34">
        <f>Table1789101112132357834[[#This Row],[On Time Counts]]/45</f>
        <v>0</v>
      </c>
      <c r="L19" s="35">
        <v>6083.18</v>
      </c>
      <c r="M19" s="36">
        <f>Table1789101112132357834[[#This Row],[Wipers +/-]]/Table1789101112132357834[[#This Row],[Comp Sales]]</f>
        <v>0</v>
      </c>
      <c r="N19" s="37">
        <v>0</v>
      </c>
      <c r="O19" s="36" t="e">
        <f>Table1789101112132357834[[#This Row],[Big 4 Items]]/Table1789101112132357834[[#This Row],[Oil +/- ]]</f>
        <v>#DIV/0!</v>
      </c>
      <c r="P19" s="38" t="e">
        <f>J19/S19</f>
        <v>#DIV/0!</v>
      </c>
      <c r="S19" s="6">
        <v>0</v>
      </c>
    </row>
    <row r="20" spans="1:19" ht="15" hidden="1">
      <c r="A20" s="29" t="s">
        <v>22</v>
      </c>
      <c r="B20" s="30">
        <v>18</v>
      </c>
      <c r="C20" s="31">
        <v>1355.99</v>
      </c>
      <c r="D20" s="32">
        <v>1355.99</v>
      </c>
      <c r="E20" s="32">
        <v>100</v>
      </c>
      <c r="F20" s="32">
        <v>40</v>
      </c>
      <c r="G20" s="32"/>
      <c r="H20" s="32">
        <v>25</v>
      </c>
      <c r="I20" s="33">
        <v>4007.6414</v>
      </c>
      <c r="J20" s="32">
        <v>9</v>
      </c>
      <c r="K20" s="34">
        <f>Table1789101112132357834[[#This Row],[On Time Counts]]/45</f>
        <v>0.2</v>
      </c>
      <c r="L20" s="35">
        <v>4849.0200000000004</v>
      </c>
      <c r="M20" s="36">
        <f>Table1789101112132357834[[#This Row],[Wipers +/-]]/Table1789101112132357834[[#This Row],[Comp Sales]]</f>
        <v>0</v>
      </c>
      <c r="N20" s="37">
        <v>0</v>
      </c>
      <c r="O20" s="36">
        <f>Table1789101112132357834[[#This Row],[Big 4 Items]]/Table1789101112132357834[[#This Row],[Oil +/- ]]</f>
        <v>0</v>
      </c>
      <c r="P20" s="38">
        <f>J20/S20</f>
        <v>0.81818181818181823</v>
      </c>
      <c r="S20" s="6">
        <f t="shared" si="8"/>
        <v>11</v>
      </c>
    </row>
    <row r="21" spans="1:19" ht="15" hidden="1">
      <c r="A21" s="29" t="s">
        <v>22</v>
      </c>
      <c r="B21" s="30">
        <v>19</v>
      </c>
      <c r="C21" s="31">
        <v>782.86</v>
      </c>
      <c r="D21" s="32">
        <v>782.86</v>
      </c>
      <c r="E21" s="32">
        <v>-180</v>
      </c>
      <c r="F21" s="32">
        <v>-19</v>
      </c>
      <c r="G21" s="32">
        <v>-48</v>
      </c>
      <c r="H21" s="32">
        <v>-77</v>
      </c>
      <c r="I21" s="33">
        <v>1445.7547999999999</v>
      </c>
      <c r="J21" s="32">
        <v>8</v>
      </c>
      <c r="K21" s="34">
        <f>Table1789101112132357834[[#This Row],[On Time Counts]]/45</f>
        <v>0.17777777777777778</v>
      </c>
      <c r="L21" s="35">
        <v>2994.56</v>
      </c>
      <c r="M21" s="36">
        <f>Table1789101112132357834[[#This Row],[Wipers +/-]]/Table1789101112132357834[[#This Row],[Comp Sales]]</f>
        <v>-1.6029066039752085E-2</v>
      </c>
      <c r="N21" s="37">
        <v>0</v>
      </c>
      <c r="O21" s="36">
        <f>Table1789101112132357834[[#This Row],[Big 4 Items]]/Table1789101112132357834[[#This Row],[Oil +/- ]]</f>
        <v>0</v>
      </c>
      <c r="P21" s="38">
        <f>J21/S21</f>
        <v>0.72727272727272729</v>
      </c>
      <c r="S21" s="6">
        <f t="shared" si="8"/>
        <v>11</v>
      </c>
    </row>
    <row r="22" spans="1:19" ht="15" hidden="1">
      <c r="A22" s="29" t="s">
        <v>22</v>
      </c>
      <c r="B22" s="30">
        <v>282</v>
      </c>
      <c r="C22" s="31">
        <v>-526.66</v>
      </c>
      <c r="D22" s="32">
        <v>-224.66</v>
      </c>
      <c r="E22" s="32">
        <v>6</v>
      </c>
      <c r="F22" s="32">
        <v>23</v>
      </c>
      <c r="G22" s="32"/>
      <c r="H22" s="32"/>
      <c r="I22" s="33">
        <v>-655.86980000000005</v>
      </c>
      <c r="J22" s="32">
        <v>5</v>
      </c>
      <c r="K22" s="34">
        <f>Table1789101112132357834[[#This Row],[On Time Counts]]/45</f>
        <v>0.1111111111111111</v>
      </c>
      <c r="L22" s="35">
        <v>6870.99</v>
      </c>
      <c r="M22" s="36">
        <f>Table1789101112132357834[[#This Row],[Wipers +/-]]/Table1789101112132357834[[#This Row],[Comp Sales]]</f>
        <v>0</v>
      </c>
      <c r="N22" s="37">
        <v>0</v>
      </c>
      <c r="O22" s="36">
        <f>Table1789101112132357834[[#This Row],[Big 4 Items]]/Table1789101112132357834[[#This Row],[Oil +/- ]]</f>
        <v>0</v>
      </c>
      <c r="P22" s="38">
        <f>J22/S22</f>
        <v>0.45454545454545453</v>
      </c>
      <c r="S22" s="6">
        <f t="shared" si="8"/>
        <v>11</v>
      </c>
    </row>
    <row r="23" spans="1:19" ht="15" hidden="1">
      <c r="A23" s="29" t="s">
        <v>22</v>
      </c>
      <c r="B23" s="30">
        <v>447</v>
      </c>
      <c r="C23" s="31">
        <v>87.24</v>
      </c>
      <c r="D23" s="32">
        <v>87.24</v>
      </c>
      <c r="E23" s="32">
        <v>-112</v>
      </c>
      <c r="F23" s="32">
        <v>-27</v>
      </c>
      <c r="G23" s="32">
        <v>-195</v>
      </c>
      <c r="H23" s="32">
        <v>-21</v>
      </c>
      <c r="I23" s="33">
        <v>-331.56439999999998</v>
      </c>
      <c r="J23" s="32">
        <v>4</v>
      </c>
      <c r="K23" s="34">
        <f>Table1789101112132357834[[#This Row],[On Time Counts]]/45</f>
        <v>8.8888888888888892E-2</v>
      </c>
      <c r="L23" s="35">
        <v>6806.79</v>
      </c>
      <c r="M23" s="36">
        <f>Table1789101112132357834[[#This Row],[Wipers +/-]]/Table1789101112132357834[[#This Row],[Comp Sales]]</f>
        <v>-2.8647864852595718E-2</v>
      </c>
      <c r="N23" s="37">
        <v>0</v>
      </c>
      <c r="O23" s="36">
        <f>Table1789101112132357834[[#This Row],[Big 4 Items]]/Table1789101112132357834[[#This Row],[Oil +/- ]]</f>
        <v>0</v>
      </c>
      <c r="P23" s="38">
        <f>J23/S23</f>
        <v>0.36363636363636365</v>
      </c>
      <c r="S23" s="6">
        <f t="shared" si="8"/>
        <v>11</v>
      </c>
    </row>
    <row r="24" spans="1:19" ht="15" hidden="1">
      <c r="A24" s="29" t="s">
        <v>22</v>
      </c>
      <c r="B24" s="30">
        <v>448</v>
      </c>
      <c r="C24" s="31">
        <v>-70.48</v>
      </c>
      <c r="D24" s="32">
        <v>-70.48</v>
      </c>
      <c r="E24" s="32">
        <v>178</v>
      </c>
      <c r="F24" s="32">
        <v>91</v>
      </c>
      <c r="G24" s="32">
        <v>15</v>
      </c>
      <c r="H24" s="32">
        <v>8</v>
      </c>
      <c r="I24" s="33">
        <v>486.33539999999999</v>
      </c>
      <c r="J24" s="32">
        <v>6</v>
      </c>
      <c r="K24" s="34">
        <f>Table1789101112132357834[[#This Row],[On Time Counts]]/45</f>
        <v>0.13333333333333333</v>
      </c>
      <c r="L24" s="35">
        <v>3933.29</v>
      </c>
      <c r="M24" s="36">
        <f>Table1789101112132357834[[#This Row],[Wipers +/-]]/Table1789101112132357834[[#This Row],[Comp Sales]]</f>
        <v>3.8136013362859082E-3</v>
      </c>
      <c r="N24" s="37">
        <v>0</v>
      </c>
      <c r="O24" s="36">
        <f>Table1789101112132357834[[#This Row],[Big 4 Items]]/Table1789101112132357834[[#This Row],[Oil +/- ]]</f>
        <v>0</v>
      </c>
      <c r="P24" s="38">
        <f>J24/S24</f>
        <v>0.54545454545454541</v>
      </c>
      <c r="S24" s="6">
        <f t="shared" si="8"/>
        <v>11</v>
      </c>
    </row>
    <row r="25" spans="1:19" ht="15" hidden="1">
      <c r="A25" s="29" t="s">
        <v>22</v>
      </c>
      <c r="B25" s="30">
        <v>531</v>
      </c>
      <c r="C25" s="31">
        <v>-200.08</v>
      </c>
      <c r="D25" s="32">
        <v>-200.08</v>
      </c>
      <c r="E25" s="32">
        <v>25</v>
      </c>
      <c r="F25" s="32"/>
      <c r="G25" s="32"/>
      <c r="H25" s="32">
        <v>-5</v>
      </c>
      <c r="I25" s="33">
        <v>-973.91579999999999</v>
      </c>
      <c r="J25" s="32">
        <v>7</v>
      </c>
      <c r="K25" s="34">
        <f>Table1789101112132357834[[#This Row],[On Time Counts]]/45</f>
        <v>0.15555555555555556</v>
      </c>
      <c r="L25" s="35">
        <v>6987.69</v>
      </c>
      <c r="M25" s="36">
        <f>Table1789101112132357834[[#This Row],[Wipers +/-]]/Table1789101112132357834[[#This Row],[Comp Sales]]</f>
        <v>0</v>
      </c>
      <c r="N25" s="37">
        <v>0</v>
      </c>
      <c r="O25" s="36">
        <f>Table1789101112132357834[[#This Row],[Big 4 Items]]/Table1789101112132357834[[#This Row],[Oil +/- ]]</f>
        <v>0</v>
      </c>
      <c r="P25" s="38">
        <f>J25/S25</f>
        <v>0.63636363636363635</v>
      </c>
      <c r="S25" s="6">
        <f t="shared" si="8"/>
        <v>11</v>
      </c>
    </row>
    <row r="26" spans="1:19" ht="15" hidden="1">
      <c r="A26" s="29" t="s">
        <v>22</v>
      </c>
      <c r="B26" s="30">
        <v>832</v>
      </c>
      <c r="C26" s="31">
        <v>401</v>
      </c>
      <c r="D26" s="32">
        <v>401</v>
      </c>
      <c r="E26" s="32">
        <v>16</v>
      </c>
      <c r="F26" s="32">
        <v>40</v>
      </c>
      <c r="G26" s="32">
        <v>4</v>
      </c>
      <c r="H26" s="32">
        <v>2</v>
      </c>
      <c r="I26" s="33">
        <v>1779.45</v>
      </c>
      <c r="J26" s="32">
        <v>10</v>
      </c>
      <c r="K26" s="34">
        <f>Table1789101112132357834[[#This Row],[On Time Counts]]/45</f>
        <v>0.22222222222222221</v>
      </c>
      <c r="L26" s="35">
        <v>5562.48</v>
      </c>
      <c r="M26" s="36">
        <f>Table1789101112132357834[[#This Row],[Wipers +/-]]/Table1789101112132357834[[#This Row],[Comp Sales]]</f>
        <v>7.1910370913693181E-4</v>
      </c>
      <c r="N26" s="37">
        <v>0</v>
      </c>
      <c r="O26" s="36">
        <f>Table1789101112132357834[[#This Row],[Big 4 Items]]/Table1789101112132357834[[#This Row],[Oil +/- ]]</f>
        <v>0</v>
      </c>
      <c r="P26" s="38">
        <f>J26/S26</f>
        <v>0.90909090909090906</v>
      </c>
      <c r="S26" s="6">
        <f t="shared" si="8"/>
        <v>11</v>
      </c>
    </row>
    <row r="27" spans="1:19" ht="15" hidden="1">
      <c r="A27" s="29" t="s">
        <v>23</v>
      </c>
      <c r="B27" s="30">
        <v>3</v>
      </c>
      <c r="C27" s="31">
        <v>971</v>
      </c>
      <c r="D27" s="32">
        <v>186</v>
      </c>
      <c r="E27" s="32">
        <v>-62</v>
      </c>
      <c r="F27" s="32">
        <v>-20</v>
      </c>
      <c r="G27" s="32"/>
      <c r="H27" s="32">
        <v>-12</v>
      </c>
      <c r="I27" s="33">
        <v>2126.3200000000002</v>
      </c>
      <c r="J27" s="32">
        <v>3</v>
      </c>
      <c r="K27" s="34">
        <f>Table1789101112132357834[[#This Row],[On Time Counts]]/45</f>
        <v>6.6666666666666666E-2</v>
      </c>
      <c r="L27" s="35">
        <v>10385.27</v>
      </c>
      <c r="M27" s="36">
        <f>Table1789101112132357834[[#This Row],[Wipers +/-]]/Table1789101112132357834[[#This Row],[Comp Sales]]</f>
        <v>0</v>
      </c>
      <c r="N27" s="37">
        <v>0</v>
      </c>
      <c r="O27" s="36">
        <f>Table1789101112132357834[[#This Row],[Big 4 Items]]/Table1789101112132357834[[#This Row],[Oil +/- ]]</f>
        <v>0</v>
      </c>
      <c r="P27" s="38">
        <f>J27/S27</f>
        <v>0.27272727272727271</v>
      </c>
      <c r="S27" s="6">
        <f t="shared" si="8"/>
        <v>11</v>
      </c>
    </row>
    <row r="28" spans="1:19" ht="15" hidden="1">
      <c r="A28" s="29" t="s">
        <v>23</v>
      </c>
      <c r="B28" s="30">
        <v>5</v>
      </c>
      <c r="C28" s="31">
        <v>1814</v>
      </c>
      <c r="D28" s="32">
        <v>1601</v>
      </c>
      <c r="E28" s="32"/>
      <c r="F28" s="32">
        <v>11</v>
      </c>
      <c r="G28" s="32">
        <v>0</v>
      </c>
      <c r="H28" s="32">
        <v>13</v>
      </c>
      <c r="I28" s="33">
        <v>7047.8</v>
      </c>
      <c r="J28" s="32">
        <v>7</v>
      </c>
      <c r="K28" s="34">
        <f>Table1789101112132357834[[#This Row],[On Time Counts]]/45</f>
        <v>0.15555555555555556</v>
      </c>
      <c r="L28" s="35">
        <v>5512.41</v>
      </c>
      <c r="M28" s="36">
        <f>Table1789101112132357834[[#This Row],[Wipers +/-]]/Table1789101112132357834[[#This Row],[Comp Sales]]</f>
        <v>0</v>
      </c>
      <c r="N28" s="37">
        <v>0</v>
      </c>
      <c r="O28" s="36">
        <f>Table1789101112132357834[[#This Row],[Big 4 Items]]/Table1789101112132357834[[#This Row],[Oil +/- ]]</f>
        <v>0</v>
      </c>
      <c r="P28" s="38">
        <f>J28/S28</f>
        <v>0.63636363636363635</v>
      </c>
      <c r="S28" s="6">
        <f t="shared" si="8"/>
        <v>11</v>
      </c>
    </row>
    <row r="29" spans="1:19" ht="15" hidden="1">
      <c r="A29" s="29" t="s">
        <v>23</v>
      </c>
      <c r="B29" s="30">
        <v>11</v>
      </c>
      <c r="C29" s="31">
        <v>-235</v>
      </c>
      <c r="D29" s="32">
        <v>-118</v>
      </c>
      <c r="E29" s="32">
        <v>0</v>
      </c>
      <c r="F29" s="32">
        <v>-4</v>
      </c>
      <c r="G29" s="32">
        <v>0</v>
      </c>
      <c r="H29" s="32">
        <v>0</v>
      </c>
      <c r="I29" s="33">
        <v>-1959.37</v>
      </c>
      <c r="J29" s="32">
        <v>9</v>
      </c>
      <c r="K29" s="34">
        <f>Table1789101112132357834[[#This Row],[On Time Counts]]/45</f>
        <v>0.2</v>
      </c>
      <c r="L29" s="35">
        <v>7892.5</v>
      </c>
      <c r="M29" s="36">
        <f>Table1789101112132357834[[#This Row],[Wipers +/-]]/Table1789101112132357834[[#This Row],[Comp Sales]]</f>
        <v>0</v>
      </c>
      <c r="N29" s="37">
        <v>0</v>
      </c>
      <c r="O29" s="36">
        <f>Table1789101112132357834[[#This Row],[Big 4 Items]]/Table1789101112132357834[[#This Row],[Oil +/- ]]</f>
        <v>0</v>
      </c>
      <c r="P29" s="38">
        <f>J29/S29</f>
        <v>0.81818181818181823</v>
      </c>
      <c r="S29" s="6">
        <f t="shared" si="8"/>
        <v>11</v>
      </c>
    </row>
    <row r="30" spans="1:19" ht="15" hidden="1">
      <c r="A30" s="29" t="s">
        <v>23</v>
      </c>
      <c r="B30" s="30">
        <v>14</v>
      </c>
      <c r="C30" s="31">
        <v>4835</v>
      </c>
      <c r="D30" s="32">
        <v>1368</v>
      </c>
      <c r="E30" s="32">
        <v>-5</v>
      </c>
      <c r="F30" s="32">
        <v>-8</v>
      </c>
      <c r="G30" s="32">
        <v>-4</v>
      </c>
      <c r="H30" s="32"/>
      <c r="I30" s="33">
        <v>11212.41</v>
      </c>
      <c r="J30" s="32">
        <v>8</v>
      </c>
      <c r="K30" s="34">
        <f>Table1789101112132357834[[#This Row],[On Time Counts]]/45</f>
        <v>0.17777777777777778</v>
      </c>
      <c r="L30" s="35">
        <v>3854.43</v>
      </c>
      <c r="M30" s="36">
        <f>Table1789101112132357834[[#This Row],[Wipers +/-]]/Table1789101112132357834[[#This Row],[Comp Sales]]</f>
        <v>-1.0377669331133267E-3</v>
      </c>
      <c r="N30" s="37">
        <v>0</v>
      </c>
      <c r="O30" s="36">
        <f>Table1789101112132357834[[#This Row],[Big 4 Items]]/Table1789101112132357834[[#This Row],[Oil +/- ]]</f>
        <v>0</v>
      </c>
      <c r="P30" s="38">
        <f>J30/S30</f>
        <v>0.72727272727272729</v>
      </c>
      <c r="S30" s="6">
        <f t="shared" si="8"/>
        <v>11</v>
      </c>
    </row>
    <row r="31" spans="1:19" ht="15" hidden="1">
      <c r="A31" s="29" t="s">
        <v>23</v>
      </c>
      <c r="B31" s="30">
        <v>20</v>
      </c>
      <c r="C31" s="31">
        <v>236</v>
      </c>
      <c r="D31" s="32">
        <v>236</v>
      </c>
      <c r="E31" s="32"/>
      <c r="F31" s="32">
        <v>2</v>
      </c>
      <c r="G31" s="32">
        <v>-25</v>
      </c>
      <c r="H31" s="32">
        <v>-2</v>
      </c>
      <c r="I31" s="33">
        <v>851.68</v>
      </c>
      <c r="J31" s="32">
        <v>2</v>
      </c>
      <c r="K31" s="34">
        <f>Table1789101112132357834[[#This Row],[On Time Counts]]/45</f>
        <v>4.4444444444444446E-2</v>
      </c>
      <c r="L31" s="35">
        <v>6979.44</v>
      </c>
      <c r="M31" s="36">
        <f>Table1789101112132357834[[#This Row],[Wipers +/-]]/Table1789101112132357834[[#This Row],[Comp Sales]]</f>
        <v>-3.5819492681361258E-3</v>
      </c>
      <c r="N31" s="37">
        <v>0</v>
      </c>
      <c r="O31" s="36">
        <f>Table1789101112132357834[[#This Row],[Big 4 Items]]/Table1789101112132357834[[#This Row],[Oil +/- ]]</f>
        <v>0</v>
      </c>
      <c r="P31" s="38">
        <f>J31/S31</f>
        <v>0.18181818181818182</v>
      </c>
      <c r="S31" s="6">
        <f t="shared" si="8"/>
        <v>11</v>
      </c>
    </row>
    <row r="32" spans="1:19" ht="15" hidden="1">
      <c r="A32" s="29" t="s">
        <v>23</v>
      </c>
      <c r="B32" s="30">
        <v>21</v>
      </c>
      <c r="C32" s="31">
        <v>-130</v>
      </c>
      <c r="D32" s="32">
        <v>-131</v>
      </c>
      <c r="E32" s="32">
        <v>-2</v>
      </c>
      <c r="F32" s="32">
        <v>-1</v>
      </c>
      <c r="G32" s="32">
        <v>-2</v>
      </c>
      <c r="H32" s="32">
        <v>-1</v>
      </c>
      <c r="I32" s="33">
        <v>-321.62</v>
      </c>
      <c r="J32" s="32">
        <v>10</v>
      </c>
      <c r="K32" s="34">
        <f>Table1789101112132357834[[#This Row],[On Time Counts]]/45</f>
        <v>0.22222222222222221</v>
      </c>
      <c r="L32" s="35">
        <v>7573.54</v>
      </c>
      <c r="M32" s="36">
        <f>Table1789101112132357834[[#This Row],[Wipers +/-]]/Table1789101112132357834[[#This Row],[Comp Sales]]</f>
        <v>-2.6407730070746309E-4</v>
      </c>
      <c r="N32" s="37">
        <v>0</v>
      </c>
      <c r="O32" s="36">
        <f>Table1789101112132357834[[#This Row],[Big 4 Items]]/Table1789101112132357834[[#This Row],[Oil +/- ]]</f>
        <v>0</v>
      </c>
      <c r="P32" s="38">
        <f>J32/S32</f>
        <v>0.90909090909090906</v>
      </c>
      <c r="S32" s="6">
        <f t="shared" si="8"/>
        <v>11</v>
      </c>
    </row>
    <row r="33" spans="1:19" ht="15" hidden="1">
      <c r="A33" s="29" t="s">
        <v>23</v>
      </c>
      <c r="B33" s="30">
        <v>23</v>
      </c>
      <c r="C33" s="31"/>
      <c r="D33" s="32"/>
      <c r="E33" s="32"/>
      <c r="F33" s="32"/>
      <c r="G33" s="32"/>
      <c r="H33" s="32"/>
      <c r="I33" s="33"/>
      <c r="J33" s="32"/>
      <c r="K33" s="34">
        <f>Table1789101112132357834[[#This Row],[On Time Counts]]/45</f>
        <v>0</v>
      </c>
      <c r="L33" s="35">
        <v>5842.02</v>
      </c>
      <c r="M33" s="36">
        <f>Table1789101112132357834[[#This Row],[Wipers +/-]]/Table1789101112132357834[[#This Row],[Comp Sales]]</f>
        <v>0</v>
      </c>
      <c r="N33" s="37">
        <v>0</v>
      </c>
      <c r="O33" s="36" t="e">
        <f>Table1789101112132357834[[#This Row],[Big 4 Items]]/Table1789101112132357834[[#This Row],[Oil +/- ]]</f>
        <v>#DIV/0!</v>
      </c>
      <c r="P33" s="38">
        <f>J33/S33</f>
        <v>0</v>
      </c>
      <c r="S33" s="6">
        <f t="shared" si="8"/>
        <v>11</v>
      </c>
    </row>
    <row r="34" spans="1:19" ht="15" hidden="1">
      <c r="A34" s="29" t="s">
        <v>23</v>
      </c>
      <c r="B34" s="30">
        <v>24</v>
      </c>
      <c r="C34" s="31">
        <v>684</v>
      </c>
      <c r="D34" s="32">
        <v>128</v>
      </c>
      <c r="E34" s="32">
        <v>-107</v>
      </c>
      <c r="F34" s="32">
        <v>-6</v>
      </c>
      <c r="G34" s="32">
        <v>-12</v>
      </c>
      <c r="H34" s="32">
        <v>58</v>
      </c>
      <c r="I34" s="33">
        <v>2060.4899999999998</v>
      </c>
      <c r="J34" s="32">
        <v>10</v>
      </c>
      <c r="K34" s="34">
        <f>Table1789101112132357834[[#This Row],[On Time Counts]]/45</f>
        <v>0.22222222222222221</v>
      </c>
      <c r="L34" s="35">
        <v>6567.35</v>
      </c>
      <c r="M34" s="36">
        <f>Table1789101112132357834[[#This Row],[Wipers +/-]]/Table1789101112132357834[[#This Row],[Comp Sales]]</f>
        <v>-1.8272210252232635E-3</v>
      </c>
      <c r="N34" s="37">
        <v>0</v>
      </c>
      <c r="O34" s="36">
        <f>Table1789101112132357834[[#This Row],[Big 4 Items]]/Table1789101112132357834[[#This Row],[Oil +/- ]]</f>
        <v>0</v>
      </c>
      <c r="P34" s="38">
        <f>J34/S34</f>
        <v>0.90909090909090906</v>
      </c>
      <c r="S34" s="6">
        <f t="shared" si="8"/>
        <v>11</v>
      </c>
    </row>
    <row r="35" spans="1:19" ht="15" hidden="1">
      <c r="A35" s="29" t="s">
        <v>23</v>
      </c>
      <c r="B35" s="30">
        <v>26</v>
      </c>
      <c r="C35" s="31">
        <v>50</v>
      </c>
      <c r="D35" s="32">
        <v>18</v>
      </c>
      <c r="E35" s="32">
        <v>138</v>
      </c>
      <c r="F35" s="32">
        <v>8</v>
      </c>
      <c r="G35" s="32"/>
      <c r="H35" s="32">
        <v>-1</v>
      </c>
      <c r="I35" s="33">
        <v>-319.64999999999998</v>
      </c>
      <c r="J35" s="32">
        <v>5</v>
      </c>
      <c r="K35" s="34">
        <f>Table1789101112132357834[[#This Row],[On Time Counts]]/45</f>
        <v>0.1111111111111111</v>
      </c>
      <c r="L35" s="35">
        <v>5286.48</v>
      </c>
      <c r="M35" s="36">
        <f>Table1789101112132357834[[#This Row],[Wipers +/-]]/Table1789101112132357834[[#This Row],[Comp Sales]]</f>
        <v>0</v>
      </c>
      <c r="N35" s="37">
        <v>0</v>
      </c>
      <c r="O35" s="36">
        <f>Table1789101112132357834[[#This Row],[Big 4 Items]]/Table1789101112132357834[[#This Row],[Oil +/- ]]</f>
        <v>0</v>
      </c>
      <c r="P35" s="38">
        <f>J35/S35</f>
        <v>0.45454545454545453</v>
      </c>
      <c r="S35" s="6">
        <f t="shared" si="8"/>
        <v>11</v>
      </c>
    </row>
    <row r="36" spans="1:19" ht="15" hidden="1">
      <c r="A36" s="29" t="s">
        <v>24</v>
      </c>
      <c r="B36" s="30">
        <v>46</v>
      </c>
      <c r="C36" s="31">
        <v>195</v>
      </c>
      <c r="D36" s="32">
        <v>-151</v>
      </c>
      <c r="E36" s="32">
        <v>0</v>
      </c>
      <c r="F36" s="32">
        <v>0</v>
      </c>
      <c r="G36" s="32">
        <v>0</v>
      </c>
      <c r="H36" s="32"/>
      <c r="I36" s="33">
        <v>1981.7</v>
      </c>
      <c r="J36" s="32">
        <v>9</v>
      </c>
      <c r="K36" s="34">
        <f>Table1789101112132357834[[#This Row],[On Time Counts]]/45</f>
        <v>0.2</v>
      </c>
      <c r="L36" s="35">
        <v>4596.08</v>
      </c>
      <c r="M36" s="36">
        <f>Table1789101112132357834[[#This Row],[Wipers +/-]]/Table1789101112132357834[[#This Row],[Comp Sales]]</f>
        <v>0</v>
      </c>
      <c r="N36" s="39">
        <v>0</v>
      </c>
      <c r="O36" s="36">
        <f>Table1789101112132357834[[#This Row],[Big 4 Items]]/Table1789101112132357834[[#This Row],[Oil +/- ]]</f>
        <v>0</v>
      </c>
      <c r="P36" s="38">
        <f>J36/S36</f>
        <v>0.81818181818181823</v>
      </c>
      <c r="S36" s="6">
        <f t="shared" si="8"/>
        <v>11</v>
      </c>
    </row>
    <row r="37" spans="1:19" ht="15" hidden="1">
      <c r="A37" s="29" t="s">
        <v>24</v>
      </c>
      <c r="B37" s="30">
        <v>283</v>
      </c>
      <c r="C37" s="31">
        <v>-155</v>
      </c>
      <c r="D37" s="32">
        <v>-29</v>
      </c>
      <c r="E37" s="32">
        <v>7</v>
      </c>
      <c r="F37" s="32">
        <v>-13</v>
      </c>
      <c r="G37" s="32"/>
      <c r="H37" s="32">
        <v>-14</v>
      </c>
      <c r="I37" s="33">
        <v>-807.82</v>
      </c>
      <c r="J37" s="32">
        <v>3</v>
      </c>
      <c r="K37" s="34">
        <f>Table1789101112132357834[[#This Row],[On Time Counts]]/45</f>
        <v>6.6666666666666666E-2</v>
      </c>
      <c r="L37" s="35">
        <v>7096.63</v>
      </c>
      <c r="M37" s="36">
        <f>Table1789101112132357834[[#This Row],[Wipers +/-]]/Table1789101112132357834[[#This Row],[Comp Sales]]</f>
        <v>0</v>
      </c>
      <c r="N37" s="37">
        <v>0</v>
      </c>
      <c r="O37" s="36">
        <f>Table1789101112132357834[[#This Row],[Big 4 Items]]/Table1789101112132357834[[#This Row],[Oil +/- ]]</f>
        <v>0</v>
      </c>
      <c r="P37" s="38">
        <f>J37/S37</f>
        <v>0.27272727272727271</v>
      </c>
      <c r="S37" s="6">
        <f t="shared" si="8"/>
        <v>11</v>
      </c>
    </row>
    <row r="38" spans="1:19" ht="15" hidden="1">
      <c r="A38" s="29" t="s">
        <v>24</v>
      </c>
      <c r="B38" s="30">
        <v>847</v>
      </c>
      <c r="C38" s="31">
        <v>-223</v>
      </c>
      <c r="D38" s="32">
        <v>-223</v>
      </c>
      <c r="E38" s="32">
        <v>71</v>
      </c>
      <c r="F38" s="32">
        <v>103</v>
      </c>
      <c r="G38" s="32">
        <v>27</v>
      </c>
      <c r="H38" s="32">
        <v>14</v>
      </c>
      <c r="I38" s="33">
        <v>-795.99</v>
      </c>
      <c r="J38" s="32">
        <v>5</v>
      </c>
      <c r="K38" s="34">
        <f>Table1789101112132357834[[#This Row],[On Time Counts]]/45</f>
        <v>0.1111111111111111</v>
      </c>
      <c r="L38" s="35">
        <v>6662.04</v>
      </c>
      <c r="M38" s="36">
        <f>Table1789101112132357834[[#This Row],[Wipers +/-]]/Table1789101112132357834[[#This Row],[Comp Sales]]</f>
        <v>4.0528126519804742E-3</v>
      </c>
      <c r="N38" s="37">
        <v>0</v>
      </c>
      <c r="O38" s="36">
        <f>Table1789101112132357834[[#This Row],[Big 4 Items]]/Table1789101112132357834[[#This Row],[Oil +/- ]]</f>
        <v>0</v>
      </c>
      <c r="P38" s="38">
        <f>J38/S38</f>
        <v>0.45454545454545453</v>
      </c>
      <c r="S38" s="6">
        <f t="shared" si="8"/>
        <v>11</v>
      </c>
    </row>
    <row r="39" spans="1:19" ht="15" hidden="1">
      <c r="A39" s="29" t="s">
        <v>24</v>
      </c>
      <c r="B39" s="30">
        <v>865</v>
      </c>
      <c r="C39" s="31">
        <v>108</v>
      </c>
      <c r="D39" s="32">
        <v>-23</v>
      </c>
      <c r="E39" s="32">
        <v>-1</v>
      </c>
      <c r="F39" s="32">
        <v>1</v>
      </c>
      <c r="G39" s="32">
        <v>-1</v>
      </c>
      <c r="H39" s="32">
        <v>1</v>
      </c>
      <c r="I39" s="33">
        <v>235.8</v>
      </c>
      <c r="J39" s="32">
        <v>8</v>
      </c>
      <c r="K39" s="34">
        <f>Table1789101112132357834[[#This Row],[On Time Counts]]/45</f>
        <v>0.17777777777777778</v>
      </c>
      <c r="L39" s="35">
        <v>3219.44</v>
      </c>
      <c r="M39" s="36">
        <f>Table1789101112132357834[[#This Row],[Wipers +/-]]/Table1789101112132357834[[#This Row],[Comp Sales]]</f>
        <v>-3.1061302586785278E-4</v>
      </c>
      <c r="N39" s="37">
        <v>0</v>
      </c>
      <c r="O39" s="36">
        <f>Table1789101112132357834[[#This Row],[Big 4 Items]]/Table1789101112132357834[[#This Row],[Oil +/- ]]</f>
        <v>0</v>
      </c>
      <c r="P39" s="38">
        <f>J39/S39</f>
        <v>0.72727272727272729</v>
      </c>
      <c r="S39" s="6">
        <f t="shared" si="8"/>
        <v>11</v>
      </c>
    </row>
    <row r="40" spans="1:19" ht="15" hidden="1">
      <c r="A40" s="29" t="s">
        <v>24</v>
      </c>
      <c r="B40" s="30">
        <v>919</v>
      </c>
      <c r="C40" s="31">
        <v>76</v>
      </c>
      <c r="D40" s="32">
        <v>39</v>
      </c>
      <c r="E40" s="32">
        <v>-4</v>
      </c>
      <c r="F40" s="32">
        <v>0</v>
      </c>
      <c r="G40" s="32">
        <v>0</v>
      </c>
      <c r="H40" s="32">
        <v>2</v>
      </c>
      <c r="I40" s="33">
        <v>308.58999999999997</v>
      </c>
      <c r="J40" s="32">
        <v>10</v>
      </c>
      <c r="K40" s="34">
        <f>Table1789101112132357834[[#This Row],[On Time Counts]]/45</f>
        <v>0.22222222222222221</v>
      </c>
      <c r="L40" s="35">
        <v>3981.57</v>
      </c>
      <c r="M40" s="36">
        <f>Table1789101112132357834[[#This Row],[Wipers +/-]]/Table1789101112132357834[[#This Row],[Comp Sales]]</f>
        <v>0</v>
      </c>
      <c r="N40" s="37">
        <v>0</v>
      </c>
      <c r="O40" s="36">
        <f>Table1789101112132357834[[#This Row],[Big 4 Items]]/Table1789101112132357834[[#This Row],[Oil +/- ]]</f>
        <v>0</v>
      </c>
      <c r="P40" s="38">
        <f>J40/S40</f>
        <v>0.90909090909090906</v>
      </c>
      <c r="S40" s="6">
        <f t="shared" si="8"/>
        <v>11</v>
      </c>
    </row>
    <row r="41" spans="1:19" ht="15" hidden="1">
      <c r="A41" s="29" t="s">
        <v>24</v>
      </c>
      <c r="B41" s="30">
        <v>954</v>
      </c>
      <c r="C41" s="31">
        <v>12</v>
      </c>
      <c r="D41" s="32">
        <v>8</v>
      </c>
      <c r="E41" s="32">
        <v>-4</v>
      </c>
      <c r="F41" s="32"/>
      <c r="G41" s="32"/>
      <c r="H41" s="32"/>
      <c r="I41" s="33">
        <v>35.020000000000003</v>
      </c>
      <c r="J41" s="32">
        <v>3</v>
      </c>
      <c r="K41" s="34">
        <f>Table1789101112132357834[[#This Row],[On Time Counts]]/45</f>
        <v>6.6666666666666666E-2</v>
      </c>
      <c r="L41" s="35"/>
      <c r="M41" s="36" t="e">
        <f>Table1789101112132357834[[#This Row],[Wipers +/-]]/Table1789101112132357834[[#This Row],[Comp Sales]]</f>
        <v>#DIV/0!</v>
      </c>
      <c r="N41" s="39"/>
      <c r="O41" s="36">
        <f>Table1789101112132357834[[#This Row],[Big 4 Items]]/Table1789101112132357834[[#This Row],[Oil +/- ]]</f>
        <v>0</v>
      </c>
      <c r="P41" s="38">
        <f>J41/S41</f>
        <v>0.27272727272727271</v>
      </c>
      <c r="S41" s="6">
        <f t="shared" si="8"/>
        <v>11</v>
      </c>
    </row>
    <row r="42" spans="1:19" ht="15" hidden="1">
      <c r="A42" s="29" t="s">
        <v>24</v>
      </c>
      <c r="B42" s="30">
        <v>3017</v>
      </c>
      <c r="C42" s="31">
        <v>-362</v>
      </c>
      <c r="D42" s="32">
        <v>-364</v>
      </c>
      <c r="E42" s="32">
        <v>-18</v>
      </c>
      <c r="F42" s="32"/>
      <c r="G42" s="32">
        <v>8</v>
      </c>
      <c r="H42" s="32">
        <v>-2</v>
      </c>
      <c r="I42" s="33">
        <v>-1870.88</v>
      </c>
      <c r="J42" s="32">
        <v>9</v>
      </c>
      <c r="K42" s="34">
        <f>Table1789101112132357834[[#This Row],[On Time Counts]]/45</f>
        <v>0.2</v>
      </c>
      <c r="L42" s="35">
        <v>4219.46</v>
      </c>
      <c r="M42" s="36">
        <f>Table1789101112132357834[[#This Row],[Wipers +/-]]/Table1789101112132357834[[#This Row],[Comp Sales]]</f>
        <v>1.8959772103539316E-3</v>
      </c>
      <c r="N42" s="37">
        <v>0</v>
      </c>
      <c r="O42" s="36">
        <f>Table1789101112132357834[[#This Row],[Big 4 Items]]/Table1789101112132357834[[#This Row],[Oil +/- ]]</f>
        <v>0</v>
      </c>
      <c r="P42" s="38">
        <f>J42/S42</f>
        <v>0.81818181818181823</v>
      </c>
      <c r="S42" s="6">
        <f t="shared" si="8"/>
        <v>11</v>
      </c>
    </row>
    <row r="43" spans="1:19" ht="15" hidden="1">
      <c r="A43" s="29" t="s">
        <v>25</v>
      </c>
      <c r="B43" s="30">
        <v>29</v>
      </c>
      <c r="C43" s="31">
        <v>35</v>
      </c>
      <c r="D43" s="32">
        <v>35</v>
      </c>
      <c r="E43" s="32">
        <v>-2</v>
      </c>
      <c r="F43" s="32">
        <v>-3</v>
      </c>
      <c r="G43" s="32"/>
      <c r="H43" s="32"/>
      <c r="I43" s="33">
        <v>61.59</v>
      </c>
      <c r="J43" s="32">
        <v>8</v>
      </c>
      <c r="K43" s="34">
        <f>Table1789101112132357834[[#This Row],[On Time Counts]]/45</f>
        <v>0.17777777777777778</v>
      </c>
      <c r="L43" s="35">
        <v>6761.54</v>
      </c>
      <c r="M43" s="36">
        <f>Table1789101112132357834[[#This Row],[Wipers +/-]]/Table1789101112132357834[[#This Row],[Comp Sales]]</f>
        <v>0</v>
      </c>
      <c r="N43" s="37">
        <v>0</v>
      </c>
      <c r="O43" s="36">
        <f>Table1789101112132357834[[#This Row],[Big 4 Items]]/Table1789101112132357834[[#This Row],[Oil +/- ]]</f>
        <v>0</v>
      </c>
      <c r="P43" s="38">
        <f>J43/S43</f>
        <v>0.72727272727272729</v>
      </c>
      <c r="S43" s="6">
        <f t="shared" si="8"/>
        <v>11</v>
      </c>
    </row>
    <row r="44" spans="1:19" ht="15" hidden="1">
      <c r="A44" s="29" t="s">
        <v>25</v>
      </c>
      <c r="B44" s="30">
        <v>40</v>
      </c>
      <c r="C44" s="31">
        <v>74</v>
      </c>
      <c r="D44" s="32">
        <v>74</v>
      </c>
      <c r="E44" s="32">
        <v>-38</v>
      </c>
      <c r="F44" s="32">
        <v>16</v>
      </c>
      <c r="G44" s="32"/>
      <c r="H44" s="32">
        <v>-12</v>
      </c>
      <c r="I44" s="33">
        <v>114.63</v>
      </c>
      <c r="J44" s="32">
        <v>7</v>
      </c>
      <c r="K44" s="34">
        <f>Table1789101112132357834[[#This Row],[On Time Counts]]/45</f>
        <v>0.15555555555555556</v>
      </c>
      <c r="L44" s="35">
        <v>4100.43</v>
      </c>
      <c r="M44" s="36">
        <f>Table1789101112132357834[[#This Row],[Wipers +/-]]/Table1789101112132357834[[#This Row],[Comp Sales]]</f>
        <v>0</v>
      </c>
      <c r="N44" s="37">
        <v>0</v>
      </c>
      <c r="O44" s="36">
        <f>Table1789101112132357834[[#This Row],[Big 4 Items]]/Table1789101112132357834[[#This Row],[Oil +/- ]]</f>
        <v>0</v>
      </c>
      <c r="P44" s="38">
        <f>J44/S44</f>
        <v>0.63636363636363635</v>
      </c>
      <c r="S44" s="6">
        <f t="shared" si="8"/>
        <v>11</v>
      </c>
    </row>
    <row r="45" spans="1:19" ht="15" hidden="1">
      <c r="A45" s="29" t="s">
        <v>25</v>
      </c>
      <c r="B45" s="30">
        <v>280</v>
      </c>
      <c r="C45" s="31">
        <v>209</v>
      </c>
      <c r="D45" s="32">
        <v>101</v>
      </c>
      <c r="E45" s="32">
        <v>33</v>
      </c>
      <c r="F45" s="32">
        <v>2</v>
      </c>
      <c r="G45" s="32">
        <v>-7</v>
      </c>
      <c r="H45" s="32">
        <v>-1</v>
      </c>
      <c r="I45" s="33">
        <v>513.76</v>
      </c>
      <c r="J45" s="32">
        <v>11</v>
      </c>
      <c r="K45" s="34">
        <f>Table1789101112132357834[[#This Row],[On Time Counts]]/45</f>
        <v>0.24444444444444444</v>
      </c>
      <c r="L45" s="35">
        <v>2513.65</v>
      </c>
      <c r="M45" s="36">
        <f>Table1789101112132357834[[#This Row],[Wipers +/-]]/Table1789101112132357834[[#This Row],[Comp Sales]]</f>
        <v>-2.7847950191951941E-3</v>
      </c>
      <c r="N45" s="37">
        <v>0</v>
      </c>
      <c r="O45" s="36">
        <f>Table1789101112132357834[[#This Row],[Big 4 Items]]/Table1789101112132357834[[#This Row],[Oil +/- ]]</f>
        <v>0</v>
      </c>
      <c r="P45" s="38">
        <f>J45/S45</f>
        <v>1</v>
      </c>
      <c r="S45" s="6">
        <f t="shared" si="8"/>
        <v>11</v>
      </c>
    </row>
    <row r="46" spans="1:19" ht="15" hidden="1">
      <c r="A46" s="29" t="s">
        <v>25</v>
      </c>
      <c r="B46" s="30">
        <v>599</v>
      </c>
      <c r="C46" s="31">
        <v>49</v>
      </c>
      <c r="D46" s="32">
        <v>45</v>
      </c>
      <c r="E46" s="32">
        <v>24</v>
      </c>
      <c r="F46" s="32">
        <v>2</v>
      </c>
      <c r="G46" s="32">
        <v>1</v>
      </c>
      <c r="H46" s="32">
        <v>0</v>
      </c>
      <c r="I46" s="33">
        <v>204.12</v>
      </c>
      <c r="J46" s="32">
        <v>11</v>
      </c>
      <c r="K46" s="34">
        <f>Table1789101112132357834[[#This Row],[On Time Counts]]/45</f>
        <v>0.24444444444444444</v>
      </c>
      <c r="L46" s="35">
        <v>2026.59</v>
      </c>
      <c r="M46" s="36">
        <f>Table1789101112132357834[[#This Row],[Wipers +/-]]/Table1789101112132357834[[#This Row],[Comp Sales]]</f>
        <v>4.9343971893673613E-4</v>
      </c>
      <c r="N46" s="37">
        <v>0</v>
      </c>
      <c r="O46" s="36">
        <f>Table1789101112132357834[[#This Row],[Big 4 Items]]/Table1789101112132357834[[#This Row],[Oil +/- ]]</f>
        <v>0</v>
      </c>
      <c r="P46" s="38">
        <f>J46/S46</f>
        <v>1</v>
      </c>
      <c r="S46" s="6">
        <f t="shared" si="8"/>
        <v>11</v>
      </c>
    </row>
    <row r="47" spans="1:19" ht="15" hidden="1">
      <c r="A47" s="29" t="s">
        <v>25</v>
      </c>
      <c r="B47" s="30">
        <v>720</v>
      </c>
      <c r="C47" s="31">
        <v>201</v>
      </c>
      <c r="D47" s="32">
        <v>201</v>
      </c>
      <c r="E47" s="32">
        <v>3</v>
      </c>
      <c r="F47" s="32">
        <v>2</v>
      </c>
      <c r="G47" s="32">
        <v>3</v>
      </c>
      <c r="H47" s="32">
        <v>9</v>
      </c>
      <c r="I47" s="33">
        <v>725.23</v>
      </c>
      <c r="J47" s="32">
        <v>3</v>
      </c>
      <c r="K47" s="34">
        <f>Table1789101112132357834[[#This Row],[On Time Counts]]/45</f>
        <v>6.6666666666666666E-2</v>
      </c>
      <c r="L47" s="35">
        <v>0</v>
      </c>
      <c r="M47" s="36" t="e">
        <f>Table1789101112132357834[[#This Row],[Wipers +/-]]/Table1789101112132357834[[#This Row],[Comp Sales]]</f>
        <v>#DIV/0!</v>
      </c>
      <c r="N47" s="37">
        <v>0</v>
      </c>
      <c r="O47" s="36">
        <f>Table1789101112132357834[[#This Row],[Big 4 Items]]/Table1789101112132357834[[#This Row],[Oil +/- ]]</f>
        <v>0</v>
      </c>
      <c r="P47" s="38">
        <f>J47/S47</f>
        <v>0.27272727272727271</v>
      </c>
      <c r="S47" s="6">
        <f t="shared" si="8"/>
        <v>11</v>
      </c>
    </row>
    <row r="48" spans="1:19" ht="15" hidden="1">
      <c r="A48" s="29" t="s">
        <v>25</v>
      </c>
      <c r="B48" s="30">
        <v>728</v>
      </c>
      <c r="C48" s="31">
        <v>54</v>
      </c>
      <c r="D48" s="32">
        <v>54</v>
      </c>
      <c r="E48" s="32">
        <v>-30</v>
      </c>
      <c r="F48" s="32">
        <v>-11</v>
      </c>
      <c r="G48" s="32">
        <v>-1</v>
      </c>
      <c r="H48" s="32">
        <v>0</v>
      </c>
      <c r="I48" s="33">
        <v>-71.67</v>
      </c>
      <c r="J48" s="32">
        <v>7</v>
      </c>
      <c r="K48" s="34">
        <f>Table1789101112132357834[[#This Row],[On Time Counts]]/45</f>
        <v>0.15555555555555556</v>
      </c>
      <c r="L48" s="35">
        <v>3487.35</v>
      </c>
      <c r="M48" s="36">
        <f>Table1789101112132357834[[#This Row],[Wipers +/-]]/Table1789101112132357834[[#This Row],[Comp Sales]]</f>
        <v>-2.8675068461725953E-4</v>
      </c>
      <c r="N48" s="37">
        <v>0</v>
      </c>
      <c r="O48" s="36">
        <f>Table1789101112132357834[[#This Row],[Big 4 Items]]/Table1789101112132357834[[#This Row],[Oil +/- ]]</f>
        <v>0</v>
      </c>
      <c r="P48" s="38">
        <f>J48/S48</f>
        <v>0.63636363636363635</v>
      </c>
      <c r="S48" s="6">
        <f t="shared" si="8"/>
        <v>11</v>
      </c>
    </row>
    <row r="49" spans="1:19" ht="15" hidden="1">
      <c r="A49" s="29" t="s">
        <v>25</v>
      </c>
      <c r="B49" s="30">
        <v>830</v>
      </c>
      <c r="C49" s="31">
        <v>64</v>
      </c>
      <c r="D49" s="32">
        <v>28</v>
      </c>
      <c r="E49" s="32">
        <v>0</v>
      </c>
      <c r="F49" s="32">
        <v>8</v>
      </c>
      <c r="G49" s="32">
        <v>-1</v>
      </c>
      <c r="H49" s="32">
        <v>0</v>
      </c>
      <c r="I49" s="33">
        <v>586.49</v>
      </c>
      <c r="J49" s="32">
        <v>10</v>
      </c>
      <c r="K49" s="34">
        <f>Table1789101112132357834[[#This Row],[On Time Counts]]/45</f>
        <v>0.22222222222222221</v>
      </c>
      <c r="L49" s="35">
        <v>3488.35</v>
      </c>
      <c r="M49" s="36">
        <f>Table1789101112132357834[[#This Row],[Wipers +/-]]/Table1789101112132357834[[#This Row],[Comp Sales]]</f>
        <v>-2.866684822337208E-4</v>
      </c>
      <c r="N49" s="37">
        <v>1</v>
      </c>
      <c r="O49" s="36">
        <f>Table1789101112132357834[[#This Row],[Big 4 Items]]/Table1789101112132357834[[#This Row],[Oil +/- ]]</f>
        <v>3.5714285714285712E-2</v>
      </c>
      <c r="P49" s="38">
        <f>J49/S49</f>
        <v>0.90909090909090906</v>
      </c>
      <c r="S49" s="6">
        <f t="shared" si="8"/>
        <v>11</v>
      </c>
    </row>
    <row r="50" spans="1:19" ht="15" hidden="1">
      <c r="A50" s="29" t="s">
        <v>25</v>
      </c>
      <c r="B50" s="30">
        <v>975</v>
      </c>
      <c r="C50" s="31">
        <v>-103</v>
      </c>
      <c r="D50" s="32">
        <v>-103</v>
      </c>
      <c r="E50" s="32">
        <v>0</v>
      </c>
      <c r="F50" s="32">
        <v>0</v>
      </c>
      <c r="G50" s="32">
        <v>-5</v>
      </c>
      <c r="H50" s="32">
        <v>1</v>
      </c>
      <c r="I50" s="33">
        <v>-266.33</v>
      </c>
      <c r="J50" s="32">
        <v>11</v>
      </c>
      <c r="K50" s="34">
        <f>Table1789101112132357834[[#This Row],[On Time Counts]]/45</f>
        <v>0.24444444444444444</v>
      </c>
      <c r="L50" s="35">
        <v>1986.68</v>
      </c>
      <c r="M50" s="36">
        <f>Table1789101112132357834[[#This Row],[Wipers +/-]]/Table1789101112132357834[[#This Row],[Comp Sales]]</f>
        <v>-2.5167616324722653E-3</v>
      </c>
      <c r="N50" s="37">
        <v>0</v>
      </c>
      <c r="O50" s="36">
        <f>Table1789101112132357834[[#This Row],[Big 4 Items]]/Table1789101112132357834[[#This Row],[Oil +/- ]]</f>
        <v>0</v>
      </c>
      <c r="P50" s="38">
        <f>J50/S50</f>
        <v>1</v>
      </c>
      <c r="S50" s="6">
        <f t="shared" si="8"/>
        <v>11</v>
      </c>
    </row>
    <row r="51" spans="1:19" ht="15" hidden="1">
      <c r="A51" s="29" t="s">
        <v>26</v>
      </c>
      <c r="B51" s="30">
        <v>1</v>
      </c>
      <c r="C51" s="31">
        <v>1174</v>
      </c>
      <c r="D51" s="32">
        <v>1174</v>
      </c>
      <c r="E51" s="32">
        <v>4</v>
      </c>
      <c r="F51" s="32">
        <v>2</v>
      </c>
      <c r="G51" s="32">
        <v>-1</v>
      </c>
      <c r="H51" s="32">
        <v>-1</v>
      </c>
      <c r="I51" s="33">
        <v>3796.36</v>
      </c>
      <c r="J51" s="32">
        <v>10</v>
      </c>
      <c r="K51" s="34">
        <f>Table1789101112132357834[[#This Row],[On Time Counts]]/45</f>
        <v>0.22222222222222221</v>
      </c>
      <c r="L51" s="35">
        <v>2791.49</v>
      </c>
      <c r="M51" s="36">
        <f>Table1789101112132357834[[#This Row],[Wipers +/-]]/Table1789101112132357834[[#This Row],[Comp Sales]]</f>
        <v>-3.5823162540435399E-4</v>
      </c>
      <c r="N51" s="37">
        <v>0</v>
      </c>
      <c r="O51" s="36">
        <f>Table1789101112132357834[[#This Row],[Big 4 Items]]/Table1789101112132357834[[#This Row],[Oil +/- ]]</f>
        <v>0</v>
      </c>
      <c r="P51" s="38">
        <f>J51/S51</f>
        <v>0.90909090909090906</v>
      </c>
      <c r="S51" s="6">
        <f t="shared" si="8"/>
        <v>11</v>
      </c>
    </row>
    <row r="52" spans="1:19" ht="15" hidden="1">
      <c r="A52" s="29" t="s">
        <v>26</v>
      </c>
      <c r="B52" s="30">
        <v>2</v>
      </c>
      <c r="C52" s="31">
        <v>71</v>
      </c>
      <c r="D52" s="32">
        <v>47</v>
      </c>
      <c r="E52" s="32">
        <v>0</v>
      </c>
      <c r="F52" s="32"/>
      <c r="G52" s="32">
        <v>-1</v>
      </c>
      <c r="H52" s="32">
        <v>-2</v>
      </c>
      <c r="I52" s="33">
        <v>669.73</v>
      </c>
      <c r="J52" s="32">
        <v>8</v>
      </c>
      <c r="K52" s="34">
        <f>Table1789101112132357834[[#This Row],[On Time Counts]]/45</f>
        <v>0.17777777777777778</v>
      </c>
      <c r="L52" s="35">
        <v>5684.97</v>
      </c>
      <c r="M52" s="36">
        <f>Table1789101112132357834[[#This Row],[Wipers +/-]]/Table1789101112132357834[[#This Row],[Comp Sales]]</f>
        <v>-1.7590242340768727E-4</v>
      </c>
      <c r="N52" s="37">
        <v>0</v>
      </c>
      <c r="O52" s="36">
        <f>Table1789101112132357834[[#This Row],[Big 4 Items]]/Table1789101112132357834[[#This Row],[Oil +/- ]]</f>
        <v>0</v>
      </c>
      <c r="P52" s="38">
        <f>J52/S52</f>
        <v>0.72727272727272729</v>
      </c>
      <c r="S52" s="6">
        <f t="shared" si="8"/>
        <v>11</v>
      </c>
    </row>
    <row r="53" spans="1:19" ht="15" hidden="1">
      <c r="A53" s="29" t="s">
        <v>26</v>
      </c>
      <c r="B53" s="30">
        <v>4</v>
      </c>
      <c r="C53" s="31">
        <v>94</v>
      </c>
      <c r="D53" s="32">
        <v>10</v>
      </c>
      <c r="E53" s="32">
        <v>-3</v>
      </c>
      <c r="F53" s="32">
        <v>10</v>
      </c>
      <c r="G53" s="32">
        <v>0</v>
      </c>
      <c r="H53" s="32">
        <v>0</v>
      </c>
      <c r="I53" s="33">
        <v>1073.54</v>
      </c>
      <c r="J53" s="32">
        <v>11</v>
      </c>
      <c r="K53" s="34">
        <f>Table1789101112132357834[[#This Row],[On Time Counts]]/45</f>
        <v>0.24444444444444444</v>
      </c>
      <c r="L53" s="35">
        <v>0</v>
      </c>
      <c r="M53" s="36" t="e">
        <f>Table1789101112132357834[[#This Row],[Wipers +/-]]/Table1789101112132357834[[#This Row],[Comp Sales]]</f>
        <v>#DIV/0!</v>
      </c>
      <c r="N53" s="37">
        <v>0</v>
      </c>
      <c r="O53" s="36">
        <f>Table1789101112132357834[[#This Row],[Big 4 Items]]/Table1789101112132357834[[#This Row],[Oil +/- ]]</f>
        <v>0</v>
      </c>
      <c r="P53" s="38">
        <f>J53/S53</f>
        <v>1</v>
      </c>
      <c r="S53" s="6">
        <f t="shared" si="8"/>
        <v>11</v>
      </c>
    </row>
    <row r="54" spans="1:19" ht="15" hidden="1">
      <c r="A54" s="29" t="s">
        <v>26</v>
      </c>
      <c r="B54" s="40">
        <v>6</v>
      </c>
      <c r="C54" s="31">
        <v>-307</v>
      </c>
      <c r="D54" s="32">
        <v>-313</v>
      </c>
      <c r="E54" s="32">
        <v>-24</v>
      </c>
      <c r="F54" s="32">
        <v>-9</v>
      </c>
      <c r="G54" s="32"/>
      <c r="H54" s="32">
        <v>2</v>
      </c>
      <c r="I54" s="33">
        <v>-1649.81</v>
      </c>
      <c r="J54" s="32">
        <v>10</v>
      </c>
      <c r="K54" s="34">
        <f>Table1789101112132357834[[#This Row],[On Time Counts]]/45</f>
        <v>0.22222222222222221</v>
      </c>
      <c r="L54" s="35">
        <v>0</v>
      </c>
      <c r="M54" s="36" t="e">
        <f>Table1789101112132357834[[#This Row],[Wipers +/-]]/Table1789101112132357834[[#This Row],[Comp Sales]]</f>
        <v>#DIV/0!</v>
      </c>
      <c r="N54" s="37"/>
      <c r="O54" s="41">
        <f>Table1789101112132357834[[#This Row],[Big 4 Items]]/Table1789101112132357834[[#This Row],[Oil +/- ]]</f>
        <v>0</v>
      </c>
      <c r="P54" s="38">
        <f>J54/S54</f>
        <v>0.90909090909090906</v>
      </c>
      <c r="S54" s="6">
        <f t="shared" si="8"/>
        <v>11</v>
      </c>
    </row>
    <row r="55" spans="1:19" ht="15" hidden="1">
      <c r="A55" s="30" t="s">
        <v>26</v>
      </c>
      <c r="B55" s="40">
        <v>15</v>
      </c>
      <c r="C55" s="31">
        <v>-300</v>
      </c>
      <c r="D55" s="32">
        <v>-300</v>
      </c>
      <c r="E55" s="32">
        <v>8</v>
      </c>
      <c r="F55" s="32">
        <v>5</v>
      </c>
      <c r="G55" s="32">
        <v>5</v>
      </c>
      <c r="H55" s="32">
        <v>-1</v>
      </c>
      <c r="I55" s="33">
        <v>-756.47</v>
      </c>
      <c r="J55" s="32">
        <v>10</v>
      </c>
      <c r="K55" s="34">
        <f>Table1789101112132357834[[#This Row],[On Time Counts]]/45</f>
        <v>0.22222222222222221</v>
      </c>
      <c r="L55" s="35">
        <v>6979.44</v>
      </c>
      <c r="M55" s="36">
        <f>Table1789101112132357834[[#This Row],[Wipers +/-]]/Table1789101112132357834[[#This Row],[Comp Sales]]</f>
        <v>7.1638985362722511E-4</v>
      </c>
      <c r="N55" s="39"/>
      <c r="O55" s="36">
        <f>Table1789101112132357834[[#This Row],[Big 4 Items]]/Table1789101112132357834[[#This Row],[Oil +/- ]]</f>
        <v>0</v>
      </c>
      <c r="P55" s="38">
        <f>J55/S55</f>
        <v>0.90909090909090906</v>
      </c>
      <c r="S55" s="6">
        <f t="shared" si="8"/>
        <v>11</v>
      </c>
    </row>
    <row r="56" spans="1:19" ht="15" hidden="1">
      <c r="A56" s="30" t="s">
        <v>26</v>
      </c>
      <c r="B56" s="40">
        <v>28</v>
      </c>
      <c r="C56" s="31">
        <v>-42</v>
      </c>
      <c r="D56" s="32">
        <v>-42</v>
      </c>
      <c r="E56" s="32">
        <v>3</v>
      </c>
      <c r="F56" s="32">
        <v>-15</v>
      </c>
      <c r="G56" s="32"/>
      <c r="H56" s="32"/>
      <c r="I56" s="33">
        <v>50.41</v>
      </c>
      <c r="J56" s="32">
        <v>8</v>
      </c>
      <c r="K56" s="34">
        <f>Table1789101112132357834[[#This Row],[On Time Counts]]/45</f>
        <v>0.17777777777777778</v>
      </c>
      <c r="L56" s="35">
        <v>6567.35</v>
      </c>
      <c r="M56" s="36">
        <f>Table1789101112132357834[[#This Row],[Wipers +/-]]/Table1789101112132357834[[#This Row],[Comp Sales]]</f>
        <v>0</v>
      </c>
      <c r="N56" s="39"/>
      <c r="O56" s="36">
        <f>Table1789101112132357834[[#This Row],[Big 4 Items]]/Table1789101112132357834[[#This Row],[Oil +/- ]]</f>
        <v>0</v>
      </c>
      <c r="P56" s="38">
        <f>J56/S56</f>
        <v>0.72727272727272729</v>
      </c>
      <c r="S56" s="6">
        <f t="shared" si="8"/>
        <v>11</v>
      </c>
    </row>
    <row r="57" spans="1:19" ht="15" hidden="1">
      <c r="A57" s="30" t="s">
        <v>26</v>
      </c>
      <c r="B57" s="40">
        <v>32</v>
      </c>
      <c r="C57" s="31">
        <v>24</v>
      </c>
      <c r="D57" s="32">
        <v>24</v>
      </c>
      <c r="E57" s="32">
        <v>5</v>
      </c>
      <c r="F57" s="32">
        <v>17</v>
      </c>
      <c r="G57" s="32"/>
      <c r="H57" s="32"/>
      <c r="I57" s="33">
        <v>121.53</v>
      </c>
      <c r="J57" s="32">
        <v>5</v>
      </c>
      <c r="K57" s="34">
        <f>Table1789101112132357834[[#This Row],[On Time Counts]]/45</f>
        <v>0.1111111111111111</v>
      </c>
      <c r="L57" s="35"/>
      <c r="M57" s="36" t="e">
        <f>Table1789101112132357834[[#This Row],[Wipers +/-]]/Table1789101112132357834[[#This Row],[Comp Sales]]</f>
        <v>#DIV/0!</v>
      </c>
      <c r="N57" s="39"/>
      <c r="O57" s="36">
        <f>Table1789101112132357834[[#This Row],[Big 4 Items]]/Table1789101112132357834[[#This Row],[Oil +/- ]]</f>
        <v>0</v>
      </c>
      <c r="P57" s="38">
        <f>J57/S57</f>
        <v>0.45454545454545453</v>
      </c>
      <c r="S57" s="6">
        <f t="shared" si="8"/>
        <v>11</v>
      </c>
    </row>
    <row r="58" spans="1:19" ht="15" hidden="1">
      <c r="A58" s="30" t="s">
        <v>26</v>
      </c>
      <c r="B58" s="40">
        <v>606</v>
      </c>
      <c r="C58" s="31">
        <v>13</v>
      </c>
      <c r="D58" s="32">
        <v>13</v>
      </c>
      <c r="E58" s="32">
        <v>-1</v>
      </c>
      <c r="F58" s="32">
        <v>2</v>
      </c>
      <c r="G58" s="32">
        <v>-2</v>
      </c>
      <c r="H58" s="32">
        <v>2</v>
      </c>
      <c r="I58" s="33">
        <v>42.31</v>
      </c>
      <c r="J58" s="32">
        <v>10</v>
      </c>
      <c r="K58" s="34">
        <f>Table1789101112132357834[[#This Row],[On Time Counts]]/45</f>
        <v>0.22222222222222221</v>
      </c>
      <c r="L58" s="35">
        <v>6761.54</v>
      </c>
      <c r="M58" s="36">
        <f>Table1789101112132357834[[#This Row],[Wipers +/-]]/Table1789101112132357834[[#This Row],[Comp Sales]]</f>
        <v>-2.9579060391567602E-4</v>
      </c>
      <c r="N58" s="39"/>
      <c r="O58" s="36">
        <f>Table1789101112132357834[[#This Row],[Big 4 Items]]/Table1789101112132357834[[#This Row],[Oil +/- ]]</f>
        <v>0</v>
      </c>
      <c r="P58" s="38">
        <f>J58/S58</f>
        <v>0.90909090909090906</v>
      </c>
      <c r="S58" s="6">
        <f t="shared" si="8"/>
        <v>11</v>
      </c>
    </row>
    <row r="59" spans="1:19" ht="15" hidden="1">
      <c r="A59" s="30" t="s">
        <v>26</v>
      </c>
      <c r="B59" s="40">
        <v>999</v>
      </c>
      <c r="C59" s="31">
        <v>0</v>
      </c>
      <c r="D59" s="32">
        <v>0</v>
      </c>
      <c r="E59" s="32">
        <v>0</v>
      </c>
      <c r="F59" s="32">
        <v>0</v>
      </c>
      <c r="G59" s="32">
        <v>0</v>
      </c>
      <c r="H59" s="32">
        <v>0</v>
      </c>
      <c r="I59" s="33">
        <v>0</v>
      </c>
      <c r="J59" s="32">
        <v>0</v>
      </c>
      <c r="K59" s="34">
        <f>Table1789101112132357834[[#This Row],[On Time Counts]]/45</f>
        <v>0</v>
      </c>
      <c r="L59" s="35">
        <v>6083.18</v>
      </c>
      <c r="M59" s="36">
        <f>Table1789101112132357834[[#This Row],[Wipers +/-]]/Table1789101112132357834[[#This Row],[Comp Sales]]</f>
        <v>0</v>
      </c>
      <c r="N59" s="39"/>
      <c r="O59" s="36" t="e">
        <f>Table1789101112132357834[[#This Row],[Big 4 Items]]/Table1789101112132357834[[#This Row],[Oil +/- ]]</f>
        <v>#DIV/0!</v>
      </c>
      <c r="P59" s="38" t="e">
        <f>J59/S59</f>
        <v>#DIV/0!</v>
      </c>
      <c r="S59" s="6">
        <v>0</v>
      </c>
    </row>
    <row r="60" spans="1:19" ht="15">
      <c r="A60" s="30" t="s">
        <v>27</v>
      </c>
      <c r="B60" s="40">
        <v>8</v>
      </c>
      <c r="C60" s="31">
        <v>1052</v>
      </c>
      <c r="D60" s="32">
        <v>1052</v>
      </c>
      <c r="E60" s="32">
        <v>-17</v>
      </c>
      <c r="F60" s="32">
        <v>-10</v>
      </c>
      <c r="G60" s="32"/>
      <c r="H60" s="32">
        <v>2</v>
      </c>
      <c r="I60" s="33">
        <v>3097.2</v>
      </c>
      <c r="J60" s="32">
        <v>2</v>
      </c>
      <c r="K60" s="34">
        <f>Table1789101112132357834[[#This Row],[On Time Counts]]/45</f>
        <v>4.4444444444444446E-2</v>
      </c>
      <c r="L60" s="35">
        <v>4849.0200000000004</v>
      </c>
      <c r="M60" s="36">
        <f>Table1789101112132357834[[#This Row],[Wipers +/-]]/Table1789101112132357834[[#This Row],[Comp Sales]]</f>
        <v>0</v>
      </c>
      <c r="N60" s="39"/>
      <c r="O60" s="36">
        <f>Table1789101112132357834[[#This Row],[Big 4 Items]]/Table1789101112132357834[[#This Row],[Oil +/- ]]</f>
        <v>0</v>
      </c>
      <c r="P60" s="38">
        <f>J60/S60</f>
        <v>0.18181818181818182</v>
      </c>
      <c r="S60" s="6">
        <f t="shared" si="8"/>
        <v>11</v>
      </c>
    </row>
    <row r="61" spans="1:19" ht="15">
      <c r="A61" s="30" t="s">
        <v>27</v>
      </c>
      <c r="B61" s="40">
        <v>10</v>
      </c>
      <c r="C61" s="31">
        <v>998</v>
      </c>
      <c r="D61" s="32">
        <v>998</v>
      </c>
      <c r="E61" s="32">
        <v>27</v>
      </c>
      <c r="F61" s="32">
        <v>-6</v>
      </c>
      <c r="G61" s="32">
        <v>10</v>
      </c>
      <c r="H61" s="32">
        <v>-3</v>
      </c>
      <c r="I61" s="33">
        <v>2663.64</v>
      </c>
      <c r="J61" s="32">
        <v>10</v>
      </c>
      <c r="K61" s="34">
        <f>Table1789101112132357834[[#This Row],[On Time Counts]]/45</f>
        <v>0.22222222222222221</v>
      </c>
      <c r="L61" s="35">
        <v>6870.99</v>
      </c>
      <c r="M61" s="36">
        <f>Table1789101112132357834[[#This Row],[Wipers +/-]]/Table1789101112132357834[[#This Row],[Comp Sales]]</f>
        <v>1.4553943463751222E-3</v>
      </c>
      <c r="N61" s="39"/>
      <c r="O61" s="36">
        <f>Table1789101112132357834[[#This Row],[Big 4 Items]]/Table1789101112132357834[[#This Row],[Oil +/- ]]</f>
        <v>0</v>
      </c>
      <c r="P61" s="38">
        <f>J61/S61</f>
        <v>0.90909090909090906</v>
      </c>
      <c r="S61" s="6">
        <f t="shared" si="8"/>
        <v>11</v>
      </c>
    </row>
    <row r="62" spans="1:19" ht="15">
      <c r="A62" s="30" t="s">
        <v>27</v>
      </c>
      <c r="B62" s="40">
        <v>12</v>
      </c>
      <c r="C62" s="31">
        <v>-1017</v>
      </c>
      <c r="D62" s="32">
        <v>-1243</v>
      </c>
      <c r="E62" s="32">
        <v>-6</v>
      </c>
      <c r="F62" s="32">
        <v>15</v>
      </c>
      <c r="G62" s="32">
        <v>104</v>
      </c>
      <c r="H62" s="32">
        <v>19</v>
      </c>
      <c r="I62" s="33">
        <v>-4941.82</v>
      </c>
      <c r="J62" s="32">
        <v>9</v>
      </c>
      <c r="K62" s="34">
        <f>Table1789101112132357834[[#This Row],[On Time Counts]]/45</f>
        <v>0.2</v>
      </c>
      <c r="L62" s="35">
        <v>6806.79</v>
      </c>
      <c r="M62" s="36">
        <f>Table1789101112132357834[[#This Row],[Wipers +/-]]/Table1789101112132357834[[#This Row],[Comp Sales]]</f>
        <v>1.5278861254717715E-2</v>
      </c>
      <c r="N62" s="39"/>
      <c r="O62" s="36">
        <f>Table1789101112132357834[[#This Row],[Big 4 Items]]/Table1789101112132357834[[#This Row],[Oil +/- ]]</f>
        <v>0</v>
      </c>
      <c r="P62" s="38">
        <f>J62/S62</f>
        <v>0.81818181818181823</v>
      </c>
      <c r="S62" s="6">
        <f t="shared" si="8"/>
        <v>11</v>
      </c>
    </row>
    <row r="63" spans="1:19" ht="15">
      <c r="A63" s="30" t="s">
        <v>27</v>
      </c>
      <c r="B63" s="40">
        <v>13</v>
      </c>
      <c r="C63" s="31">
        <v>110</v>
      </c>
      <c r="D63" s="32">
        <v>0</v>
      </c>
      <c r="E63" s="32">
        <v>1</v>
      </c>
      <c r="F63" s="32">
        <v>-4</v>
      </c>
      <c r="G63" s="32"/>
      <c r="H63" s="32"/>
      <c r="I63" s="33">
        <v>167.71</v>
      </c>
      <c r="J63" s="32">
        <v>8</v>
      </c>
      <c r="K63" s="34">
        <f>Table1789101112132357834[[#This Row],[On Time Counts]]/45</f>
        <v>0.17777777777777778</v>
      </c>
      <c r="L63" s="35">
        <v>5842.02</v>
      </c>
      <c r="M63" s="36">
        <f>Table1789101112132357834[[#This Row],[Wipers +/-]]/Table1789101112132357834[[#This Row],[Comp Sales]]</f>
        <v>0</v>
      </c>
      <c r="N63" s="39"/>
      <c r="O63" s="36" t="e">
        <f>Table1789101112132357834[[#This Row],[Big 4 Items]]/Table1789101112132357834[[#This Row],[Oil +/- ]]</f>
        <v>#DIV/0!</v>
      </c>
      <c r="P63" s="38">
        <f>J63/S63</f>
        <v>0.72727272727272729</v>
      </c>
      <c r="S63" s="6">
        <f t="shared" si="8"/>
        <v>11</v>
      </c>
    </row>
    <row r="64" spans="1:19" ht="15">
      <c r="A64" s="30" t="s">
        <v>27</v>
      </c>
      <c r="B64" s="40">
        <v>31</v>
      </c>
      <c r="C64" s="31">
        <v>291</v>
      </c>
      <c r="D64" s="32">
        <v>258</v>
      </c>
      <c r="E64" s="32">
        <v>-1</v>
      </c>
      <c r="F64" s="32">
        <v>4</v>
      </c>
      <c r="G64" s="32">
        <v>-3</v>
      </c>
      <c r="H64" s="32">
        <v>2</v>
      </c>
      <c r="I64" s="33">
        <v>2085.52</v>
      </c>
      <c r="J64" s="32">
        <v>11</v>
      </c>
      <c r="K64" s="34">
        <f>Table1789101112132357834[[#This Row],[On Time Counts]]/45</f>
        <v>0.24444444444444444</v>
      </c>
      <c r="L64" s="35">
        <v>7096.63</v>
      </c>
      <c r="M64" s="36">
        <f>Table1789101112132357834[[#This Row],[Wipers +/-]]/Table1789101112132357834[[#This Row],[Comp Sales]]</f>
        <v>-4.227358619513769E-4</v>
      </c>
      <c r="N64" s="39"/>
      <c r="O64" s="36">
        <f>Table1789101112132357834[[#This Row],[Big 4 Items]]/Table1789101112132357834[[#This Row],[Oil +/- ]]</f>
        <v>0</v>
      </c>
      <c r="P64" s="38">
        <f>J64/S64</f>
        <v>1</v>
      </c>
      <c r="S64" s="6">
        <f t="shared" si="8"/>
        <v>11</v>
      </c>
    </row>
    <row r="65" spans="1:19" ht="15">
      <c r="A65" s="30" t="s">
        <v>27</v>
      </c>
      <c r="B65" s="40">
        <v>92</v>
      </c>
      <c r="C65" s="31">
        <v>-17</v>
      </c>
      <c r="D65" s="32">
        <v>-38</v>
      </c>
      <c r="E65" s="32">
        <v>3</v>
      </c>
      <c r="F65" s="32">
        <v>0</v>
      </c>
      <c r="G65" s="32">
        <v>24</v>
      </c>
      <c r="H65" s="32">
        <v>7</v>
      </c>
      <c r="I65" s="33">
        <v>645.54999999999995</v>
      </c>
      <c r="J65" s="32">
        <v>11</v>
      </c>
      <c r="K65" s="34">
        <f>Table1789101112132357834[[#This Row],[On Time Counts]]/45</f>
        <v>0.24444444444444444</v>
      </c>
      <c r="L65" s="35">
        <v>6662.04</v>
      </c>
      <c r="M65" s="36">
        <f>Table1789101112132357834[[#This Row],[Wipers +/-]]/Table1789101112132357834[[#This Row],[Comp Sales]]</f>
        <v>3.602500135093755E-3</v>
      </c>
      <c r="N65" s="39"/>
      <c r="O65" s="36">
        <f>Table1789101112132357834[[#This Row],[Big 4 Items]]/Table1789101112132357834[[#This Row],[Oil +/- ]]</f>
        <v>0</v>
      </c>
      <c r="P65" s="38">
        <f>J65/S65</f>
        <v>1</v>
      </c>
      <c r="S65" s="6">
        <f t="shared" si="8"/>
        <v>11</v>
      </c>
    </row>
    <row r="66" spans="1:19" ht="15">
      <c r="A66" s="30" t="s">
        <v>27</v>
      </c>
      <c r="B66" s="40">
        <v>116</v>
      </c>
      <c r="C66" s="31">
        <v>1971</v>
      </c>
      <c r="D66" s="32">
        <v>280</v>
      </c>
      <c r="E66" s="32">
        <v>25</v>
      </c>
      <c r="F66" s="32"/>
      <c r="G66" s="32">
        <v>-17</v>
      </c>
      <c r="H66" s="32">
        <v>-2</v>
      </c>
      <c r="I66" s="33">
        <v>1842.83</v>
      </c>
      <c r="J66" s="32">
        <v>10</v>
      </c>
      <c r="K66" s="34">
        <f>Table1789101112132357834[[#This Row],[On Time Counts]]/45</f>
        <v>0.22222222222222221</v>
      </c>
      <c r="L66" s="35">
        <v>2791.49</v>
      </c>
      <c r="M66" s="36">
        <f>Table1789101112132357834[[#This Row],[Wipers +/-]]/Table1789101112132357834[[#This Row],[Comp Sales]]</f>
        <v>-6.0899376318740176E-3</v>
      </c>
      <c r="N66" s="39"/>
      <c r="O66" s="36">
        <f>Table1789101112132357834[[#This Row],[Big 4 Items]]/Table1789101112132357834[[#This Row],[Oil +/- ]]</f>
        <v>0</v>
      </c>
      <c r="P66" s="38">
        <f>J66/S66</f>
        <v>0.90909090909090906</v>
      </c>
      <c r="S66" s="6">
        <f t="shared" si="8"/>
        <v>11</v>
      </c>
    </row>
    <row r="67" spans="1:19" ht="15">
      <c r="A67" s="44" t="s">
        <v>27</v>
      </c>
      <c r="B67" s="45">
        <v>870</v>
      </c>
      <c r="C67" s="31">
        <v>69</v>
      </c>
      <c r="D67" s="32">
        <v>69</v>
      </c>
      <c r="E67" s="32">
        <v>-1</v>
      </c>
      <c r="F67" s="32">
        <v>22</v>
      </c>
      <c r="G67" s="32">
        <v>-1</v>
      </c>
      <c r="H67" s="32"/>
      <c r="I67" s="33">
        <v>295.11</v>
      </c>
      <c r="J67" s="32">
        <v>9</v>
      </c>
      <c r="K67" s="46">
        <f>Table1789101112132357834[[#This Row],[On Time Counts]]/45</f>
        <v>0.2</v>
      </c>
      <c r="L67" s="47"/>
      <c r="M67" s="41" t="e">
        <f>Table1789101112132357834[[#This Row],[Wipers +/-]]/Table1789101112132357834[[#This Row],[Comp Sales]]</f>
        <v>#DIV/0!</v>
      </c>
      <c r="N67" s="48"/>
      <c r="O67" s="41">
        <f>Table1789101112132357834[[#This Row],[Big 4 Items]]/Table1789101112132357834[[#This Row],[Oil +/- ]]</f>
        <v>0</v>
      </c>
      <c r="P67" s="38">
        <f>J67/S67</f>
        <v>0.81818181818181823</v>
      </c>
      <c r="S67" s="6">
        <f t="shared" si="8"/>
        <v>11</v>
      </c>
    </row>
    <row r="68" spans="1:19" ht="15">
      <c r="A68" s="30" t="s">
        <v>27</v>
      </c>
      <c r="B68" s="40">
        <v>3004</v>
      </c>
      <c r="C68" s="31">
        <v>848</v>
      </c>
      <c r="D68" s="32">
        <v>886</v>
      </c>
      <c r="E68" s="50"/>
      <c r="F68" s="50"/>
      <c r="G68" s="32">
        <v>-8</v>
      </c>
      <c r="H68" s="50">
        <v>21</v>
      </c>
      <c r="I68" s="51">
        <v>4575.08</v>
      </c>
      <c r="J68" s="50">
        <v>5</v>
      </c>
      <c r="K68" s="34">
        <f>Table1789101112132357834[[#This Row],[On Time Counts]]/45</f>
        <v>0.1111111111111111</v>
      </c>
      <c r="L68" s="35"/>
      <c r="M68" s="36" t="e">
        <f>Table1789101112132357834[[#This Row],[Wipers +/-]]/Table1789101112132357834[[#This Row],[Comp Sales]]</f>
        <v>#DIV/0!</v>
      </c>
      <c r="N68" s="39"/>
      <c r="O68" s="36">
        <f>Table1789101112132357834[[#This Row],[Big 4 Items]]/Table1789101112132357834[[#This Row],[Oil +/- ]]</f>
        <v>0</v>
      </c>
      <c r="P68" s="38">
        <f>J68/S68</f>
        <v>0.45454545454545453</v>
      </c>
      <c r="S68" s="6">
        <f>$T$1</f>
        <v>11</v>
      </c>
    </row>
    <row r="274" spans="1:2" hidden="1"/>
    <row r="275" spans="1:2" hidden="1"/>
    <row r="276" spans="1:2" hidden="1"/>
    <row r="277" spans="1:2" hidden="1"/>
    <row r="278" spans="1:2" hidden="1"/>
    <row r="279" spans="1:2" hidden="1"/>
    <row r="280" spans="1:2" hidden="1"/>
    <row r="281" spans="1:2" hidden="1"/>
    <row r="282" spans="1:2" hidden="1"/>
    <row r="283" spans="1:2" hidden="1"/>
    <row r="284" spans="1:2" hidden="1">
      <c r="A284" s="42">
        <v>0.01</v>
      </c>
      <c r="B284" s="42">
        <v>-0.01</v>
      </c>
    </row>
    <row r="285" spans="1:2" hidden="1">
      <c r="A285" s="43">
        <f>A284+1%</f>
        <v>0.02</v>
      </c>
      <c r="B285" s="42">
        <f>B284-1%</f>
        <v>-0.02</v>
      </c>
    </row>
    <row r="286" spans="1:2" hidden="1">
      <c r="A286" s="43">
        <f t="shared" ref="A286:A349" si="9">A285+1%</f>
        <v>0.03</v>
      </c>
      <c r="B286" s="42">
        <f t="shared" ref="B286:B349" si="10">B285-1%</f>
        <v>-0.03</v>
      </c>
    </row>
    <row r="287" spans="1:2" hidden="1">
      <c r="A287" s="43">
        <f t="shared" si="9"/>
        <v>0.04</v>
      </c>
      <c r="B287" s="42">
        <f t="shared" si="10"/>
        <v>-0.04</v>
      </c>
    </row>
    <row r="288" spans="1:2" hidden="1">
      <c r="A288" s="43">
        <f t="shared" si="9"/>
        <v>0.05</v>
      </c>
      <c r="B288" s="42">
        <f t="shared" si="10"/>
        <v>-0.05</v>
      </c>
    </row>
    <row r="289" spans="1:2" hidden="1">
      <c r="A289" s="43">
        <f t="shared" si="9"/>
        <v>6.0000000000000005E-2</v>
      </c>
      <c r="B289" s="42">
        <f t="shared" si="10"/>
        <v>-6.0000000000000005E-2</v>
      </c>
    </row>
    <row r="290" spans="1:2" hidden="1">
      <c r="A290" s="43">
        <f t="shared" si="9"/>
        <v>7.0000000000000007E-2</v>
      </c>
      <c r="B290" s="42">
        <f t="shared" si="10"/>
        <v>-7.0000000000000007E-2</v>
      </c>
    </row>
    <row r="291" spans="1:2" hidden="1">
      <c r="A291" s="43">
        <f t="shared" si="9"/>
        <v>0.08</v>
      </c>
      <c r="B291" s="42">
        <f t="shared" si="10"/>
        <v>-0.08</v>
      </c>
    </row>
    <row r="292" spans="1:2" hidden="1">
      <c r="A292" s="43">
        <f t="shared" si="9"/>
        <v>0.09</v>
      </c>
      <c r="B292" s="42">
        <f t="shared" si="10"/>
        <v>-0.09</v>
      </c>
    </row>
    <row r="293" spans="1:2" hidden="1">
      <c r="A293" s="43">
        <f t="shared" si="9"/>
        <v>9.9999999999999992E-2</v>
      </c>
      <c r="B293" s="42">
        <f t="shared" si="10"/>
        <v>-9.9999999999999992E-2</v>
      </c>
    </row>
    <row r="294" spans="1:2" hidden="1">
      <c r="A294" s="43">
        <f t="shared" si="9"/>
        <v>0.10999999999999999</v>
      </c>
      <c r="B294" s="42">
        <f t="shared" si="10"/>
        <v>-0.10999999999999999</v>
      </c>
    </row>
    <row r="295" spans="1:2" hidden="1">
      <c r="A295" s="43">
        <f t="shared" si="9"/>
        <v>0.11999999999999998</v>
      </c>
      <c r="B295" s="42">
        <f t="shared" si="10"/>
        <v>-0.11999999999999998</v>
      </c>
    </row>
    <row r="296" spans="1:2" hidden="1">
      <c r="A296" s="43">
        <f t="shared" si="9"/>
        <v>0.12999999999999998</v>
      </c>
      <c r="B296" s="42">
        <f t="shared" si="10"/>
        <v>-0.12999999999999998</v>
      </c>
    </row>
    <row r="297" spans="1:2" hidden="1">
      <c r="A297" s="43">
        <f t="shared" si="9"/>
        <v>0.13999999999999999</v>
      </c>
      <c r="B297" s="42">
        <f t="shared" si="10"/>
        <v>-0.13999999999999999</v>
      </c>
    </row>
    <row r="298" spans="1:2" hidden="1">
      <c r="A298" s="43">
        <f t="shared" si="9"/>
        <v>0.15</v>
      </c>
      <c r="B298" s="42">
        <f t="shared" si="10"/>
        <v>-0.15</v>
      </c>
    </row>
    <row r="299" spans="1:2" hidden="1">
      <c r="A299" s="43">
        <f t="shared" si="9"/>
        <v>0.16</v>
      </c>
      <c r="B299" s="42">
        <f t="shared" si="10"/>
        <v>-0.16</v>
      </c>
    </row>
    <row r="300" spans="1:2" hidden="1">
      <c r="A300" s="43">
        <f t="shared" si="9"/>
        <v>0.17</v>
      </c>
      <c r="B300" s="42">
        <f t="shared" si="10"/>
        <v>-0.17</v>
      </c>
    </row>
    <row r="301" spans="1:2" hidden="1">
      <c r="A301" s="43">
        <f t="shared" si="9"/>
        <v>0.18000000000000002</v>
      </c>
      <c r="B301" s="42">
        <f t="shared" si="10"/>
        <v>-0.18000000000000002</v>
      </c>
    </row>
    <row r="302" spans="1:2" hidden="1">
      <c r="A302" s="43">
        <f t="shared" si="9"/>
        <v>0.19000000000000003</v>
      </c>
      <c r="B302" s="42">
        <f t="shared" si="10"/>
        <v>-0.19000000000000003</v>
      </c>
    </row>
    <row r="303" spans="1:2" hidden="1">
      <c r="A303" s="43">
        <f t="shared" si="9"/>
        <v>0.20000000000000004</v>
      </c>
      <c r="B303" s="42">
        <f t="shared" si="10"/>
        <v>-0.20000000000000004</v>
      </c>
    </row>
    <row r="304" spans="1:2" hidden="1">
      <c r="A304" s="43">
        <f t="shared" si="9"/>
        <v>0.21000000000000005</v>
      </c>
      <c r="B304" s="42">
        <f t="shared" si="10"/>
        <v>-0.21000000000000005</v>
      </c>
    </row>
    <row r="305" spans="1:2" hidden="1">
      <c r="A305" s="43">
        <f t="shared" si="9"/>
        <v>0.22000000000000006</v>
      </c>
      <c r="B305" s="42">
        <f t="shared" si="10"/>
        <v>-0.22000000000000006</v>
      </c>
    </row>
    <row r="306" spans="1:2" hidden="1">
      <c r="A306" s="43">
        <f t="shared" si="9"/>
        <v>0.23000000000000007</v>
      </c>
      <c r="B306" s="42">
        <f t="shared" si="10"/>
        <v>-0.23000000000000007</v>
      </c>
    </row>
    <row r="307" spans="1:2" hidden="1">
      <c r="A307" s="43">
        <f t="shared" si="9"/>
        <v>0.24000000000000007</v>
      </c>
      <c r="B307" s="42">
        <f t="shared" si="10"/>
        <v>-0.24000000000000007</v>
      </c>
    </row>
    <row r="308" spans="1:2" hidden="1">
      <c r="A308" s="43">
        <f t="shared" si="9"/>
        <v>0.25000000000000006</v>
      </c>
      <c r="B308" s="42">
        <f t="shared" si="10"/>
        <v>-0.25000000000000006</v>
      </c>
    </row>
    <row r="309" spans="1:2" hidden="1">
      <c r="A309" s="43">
        <f t="shared" si="9"/>
        <v>0.26000000000000006</v>
      </c>
      <c r="B309" s="42">
        <f t="shared" si="10"/>
        <v>-0.26000000000000006</v>
      </c>
    </row>
    <row r="310" spans="1:2" hidden="1">
      <c r="A310" s="43">
        <f t="shared" si="9"/>
        <v>0.27000000000000007</v>
      </c>
      <c r="B310" s="42">
        <f t="shared" si="10"/>
        <v>-0.27000000000000007</v>
      </c>
    </row>
    <row r="311" spans="1:2" hidden="1">
      <c r="A311" s="43">
        <f t="shared" si="9"/>
        <v>0.28000000000000008</v>
      </c>
      <c r="B311" s="42">
        <f t="shared" si="10"/>
        <v>-0.28000000000000008</v>
      </c>
    </row>
    <row r="312" spans="1:2" hidden="1">
      <c r="A312" s="43">
        <f t="shared" si="9"/>
        <v>0.29000000000000009</v>
      </c>
      <c r="B312" s="42">
        <f t="shared" si="10"/>
        <v>-0.29000000000000009</v>
      </c>
    </row>
    <row r="313" spans="1:2" hidden="1">
      <c r="A313" s="43">
        <f t="shared" si="9"/>
        <v>0.3000000000000001</v>
      </c>
      <c r="B313" s="42">
        <f t="shared" si="10"/>
        <v>-0.3000000000000001</v>
      </c>
    </row>
    <row r="314" spans="1:2" hidden="1">
      <c r="A314" s="43">
        <f t="shared" si="9"/>
        <v>0.31000000000000011</v>
      </c>
      <c r="B314" s="42">
        <f t="shared" si="10"/>
        <v>-0.31000000000000011</v>
      </c>
    </row>
    <row r="315" spans="1:2" hidden="1">
      <c r="A315" s="43">
        <f t="shared" si="9"/>
        <v>0.32000000000000012</v>
      </c>
      <c r="B315" s="42">
        <f t="shared" si="10"/>
        <v>-0.32000000000000012</v>
      </c>
    </row>
    <row r="316" spans="1:2" hidden="1">
      <c r="A316" s="43">
        <f t="shared" si="9"/>
        <v>0.33000000000000013</v>
      </c>
      <c r="B316" s="42">
        <f t="shared" si="10"/>
        <v>-0.33000000000000013</v>
      </c>
    </row>
    <row r="317" spans="1:2" hidden="1">
      <c r="A317" s="43">
        <f t="shared" si="9"/>
        <v>0.34000000000000014</v>
      </c>
      <c r="B317" s="42">
        <f t="shared" si="10"/>
        <v>-0.34000000000000014</v>
      </c>
    </row>
    <row r="318" spans="1:2" hidden="1">
      <c r="A318" s="43">
        <f t="shared" si="9"/>
        <v>0.35000000000000014</v>
      </c>
      <c r="B318" s="42">
        <f t="shared" si="10"/>
        <v>-0.35000000000000014</v>
      </c>
    </row>
    <row r="319" spans="1:2" hidden="1">
      <c r="A319" s="43">
        <f t="shared" si="9"/>
        <v>0.36000000000000015</v>
      </c>
      <c r="B319" s="42">
        <f t="shared" si="10"/>
        <v>-0.36000000000000015</v>
      </c>
    </row>
    <row r="320" spans="1:2" hidden="1">
      <c r="A320" s="43">
        <f t="shared" si="9"/>
        <v>0.37000000000000016</v>
      </c>
      <c r="B320" s="42">
        <f t="shared" si="10"/>
        <v>-0.37000000000000016</v>
      </c>
    </row>
    <row r="321" spans="1:2" hidden="1">
      <c r="A321" s="43">
        <f t="shared" si="9"/>
        <v>0.38000000000000017</v>
      </c>
      <c r="B321" s="42">
        <f t="shared" si="10"/>
        <v>-0.38000000000000017</v>
      </c>
    </row>
    <row r="322" spans="1:2" hidden="1">
      <c r="A322" s="43">
        <f t="shared" si="9"/>
        <v>0.39000000000000018</v>
      </c>
      <c r="B322" s="42">
        <f t="shared" si="10"/>
        <v>-0.39000000000000018</v>
      </c>
    </row>
    <row r="323" spans="1:2" hidden="1">
      <c r="A323" s="43">
        <f t="shared" si="9"/>
        <v>0.40000000000000019</v>
      </c>
      <c r="B323" s="42">
        <f t="shared" si="10"/>
        <v>-0.40000000000000019</v>
      </c>
    </row>
    <row r="324" spans="1:2" hidden="1">
      <c r="A324" s="43">
        <f t="shared" si="9"/>
        <v>0.4100000000000002</v>
      </c>
      <c r="B324" s="42">
        <f t="shared" si="10"/>
        <v>-0.4100000000000002</v>
      </c>
    </row>
    <row r="325" spans="1:2" hidden="1">
      <c r="A325" s="43">
        <f t="shared" si="9"/>
        <v>0.42000000000000021</v>
      </c>
      <c r="B325" s="42">
        <f t="shared" si="10"/>
        <v>-0.42000000000000021</v>
      </c>
    </row>
    <row r="326" spans="1:2" hidden="1">
      <c r="A326" s="43">
        <f t="shared" si="9"/>
        <v>0.43000000000000022</v>
      </c>
      <c r="B326" s="42">
        <f t="shared" si="10"/>
        <v>-0.43000000000000022</v>
      </c>
    </row>
    <row r="327" spans="1:2" hidden="1">
      <c r="A327" s="43">
        <f t="shared" si="9"/>
        <v>0.44000000000000022</v>
      </c>
      <c r="B327" s="42">
        <f t="shared" si="10"/>
        <v>-0.44000000000000022</v>
      </c>
    </row>
    <row r="328" spans="1:2" hidden="1">
      <c r="A328" s="43">
        <f t="shared" si="9"/>
        <v>0.45000000000000023</v>
      </c>
      <c r="B328" s="42">
        <f t="shared" si="10"/>
        <v>-0.45000000000000023</v>
      </c>
    </row>
    <row r="329" spans="1:2" hidden="1">
      <c r="A329" s="43">
        <f t="shared" si="9"/>
        <v>0.46000000000000024</v>
      </c>
      <c r="B329" s="42">
        <f t="shared" si="10"/>
        <v>-0.46000000000000024</v>
      </c>
    </row>
    <row r="330" spans="1:2" hidden="1">
      <c r="A330" s="43">
        <f t="shared" si="9"/>
        <v>0.47000000000000025</v>
      </c>
      <c r="B330" s="42">
        <f t="shared" si="10"/>
        <v>-0.47000000000000025</v>
      </c>
    </row>
    <row r="331" spans="1:2" hidden="1">
      <c r="A331" s="43">
        <f t="shared" si="9"/>
        <v>0.48000000000000026</v>
      </c>
      <c r="B331" s="42">
        <f t="shared" si="10"/>
        <v>-0.48000000000000026</v>
      </c>
    </row>
    <row r="332" spans="1:2" hidden="1">
      <c r="A332" s="43">
        <f t="shared" si="9"/>
        <v>0.49000000000000027</v>
      </c>
      <c r="B332" s="42">
        <f t="shared" si="10"/>
        <v>-0.49000000000000027</v>
      </c>
    </row>
    <row r="333" spans="1:2" hidden="1">
      <c r="A333" s="43">
        <f t="shared" si="9"/>
        <v>0.50000000000000022</v>
      </c>
      <c r="B333" s="42">
        <f t="shared" si="10"/>
        <v>-0.50000000000000022</v>
      </c>
    </row>
    <row r="334" spans="1:2" hidden="1">
      <c r="A334" s="43">
        <f t="shared" si="9"/>
        <v>0.51000000000000023</v>
      </c>
      <c r="B334" s="42">
        <f t="shared" si="10"/>
        <v>-0.51000000000000023</v>
      </c>
    </row>
    <row r="335" spans="1:2" hidden="1">
      <c r="A335" s="43">
        <f t="shared" si="9"/>
        <v>0.52000000000000024</v>
      </c>
      <c r="B335" s="42">
        <f t="shared" si="10"/>
        <v>-0.52000000000000024</v>
      </c>
    </row>
    <row r="336" spans="1:2" hidden="1">
      <c r="A336" s="43">
        <f t="shared" si="9"/>
        <v>0.53000000000000025</v>
      </c>
      <c r="B336" s="42">
        <f t="shared" si="10"/>
        <v>-0.53000000000000025</v>
      </c>
    </row>
    <row r="337" spans="1:2" hidden="1">
      <c r="A337" s="43">
        <f t="shared" si="9"/>
        <v>0.54000000000000026</v>
      </c>
      <c r="B337" s="42">
        <f t="shared" si="10"/>
        <v>-0.54000000000000026</v>
      </c>
    </row>
    <row r="338" spans="1:2" hidden="1">
      <c r="A338" s="43">
        <f t="shared" si="9"/>
        <v>0.55000000000000027</v>
      </c>
      <c r="B338" s="42">
        <f t="shared" si="10"/>
        <v>-0.55000000000000027</v>
      </c>
    </row>
    <row r="339" spans="1:2" hidden="1">
      <c r="A339" s="43">
        <f t="shared" si="9"/>
        <v>0.56000000000000028</v>
      </c>
      <c r="B339" s="42">
        <f t="shared" si="10"/>
        <v>-0.56000000000000028</v>
      </c>
    </row>
    <row r="340" spans="1:2" hidden="1">
      <c r="A340" s="43">
        <f t="shared" si="9"/>
        <v>0.57000000000000028</v>
      </c>
      <c r="B340" s="42">
        <f t="shared" si="10"/>
        <v>-0.57000000000000028</v>
      </c>
    </row>
    <row r="341" spans="1:2" hidden="1">
      <c r="A341" s="43">
        <f t="shared" si="9"/>
        <v>0.58000000000000029</v>
      </c>
      <c r="B341" s="42">
        <f t="shared" si="10"/>
        <v>-0.58000000000000029</v>
      </c>
    </row>
    <row r="342" spans="1:2" hidden="1">
      <c r="A342" s="43">
        <f t="shared" si="9"/>
        <v>0.5900000000000003</v>
      </c>
      <c r="B342" s="42">
        <f t="shared" si="10"/>
        <v>-0.5900000000000003</v>
      </c>
    </row>
    <row r="343" spans="1:2" hidden="1">
      <c r="A343" s="43">
        <f t="shared" si="9"/>
        <v>0.60000000000000031</v>
      </c>
      <c r="B343" s="42">
        <f t="shared" si="10"/>
        <v>-0.60000000000000031</v>
      </c>
    </row>
    <row r="344" spans="1:2" hidden="1">
      <c r="A344" s="43">
        <f t="shared" si="9"/>
        <v>0.61000000000000032</v>
      </c>
      <c r="B344" s="42">
        <f t="shared" si="10"/>
        <v>-0.61000000000000032</v>
      </c>
    </row>
    <row r="345" spans="1:2" hidden="1">
      <c r="A345" s="43">
        <f t="shared" si="9"/>
        <v>0.62000000000000033</v>
      </c>
      <c r="B345" s="42">
        <f t="shared" si="10"/>
        <v>-0.62000000000000033</v>
      </c>
    </row>
    <row r="346" spans="1:2" hidden="1">
      <c r="A346" s="43">
        <f t="shared" si="9"/>
        <v>0.63000000000000034</v>
      </c>
      <c r="B346" s="42">
        <f t="shared" si="10"/>
        <v>-0.63000000000000034</v>
      </c>
    </row>
    <row r="347" spans="1:2" hidden="1">
      <c r="A347" s="43">
        <f t="shared" si="9"/>
        <v>0.64000000000000035</v>
      </c>
      <c r="B347" s="42">
        <f t="shared" si="10"/>
        <v>-0.64000000000000035</v>
      </c>
    </row>
    <row r="348" spans="1:2" hidden="1">
      <c r="A348" s="43">
        <f t="shared" si="9"/>
        <v>0.65000000000000036</v>
      </c>
      <c r="B348" s="42">
        <f t="shared" si="10"/>
        <v>-0.65000000000000036</v>
      </c>
    </row>
    <row r="349" spans="1:2" hidden="1">
      <c r="A349" s="43">
        <f t="shared" si="9"/>
        <v>0.66000000000000036</v>
      </c>
      <c r="B349" s="42">
        <f t="shared" si="10"/>
        <v>-0.66000000000000036</v>
      </c>
    </row>
    <row r="350" spans="1:2" hidden="1">
      <c r="A350" s="43">
        <f t="shared" ref="A350:A383" si="11">A349+1%</f>
        <v>0.67000000000000037</v>
      </c>
      <c r="B350" s="42">
        <f t="shared" ref="B350:B383" si="12">B349-1%</f>
        <v>-0.67000000000000037</v>
      </c>
    </row>
    <row r="351" spans="1:2" hidden="1">
      <c r="A351" s="43">
        <f t="shared" si="11"/>
        <v>0.68000000000000038</v>
      </c>
      <c r="B351" s="42">
        <f t="shared" si="12"/>
        <v>-0.68000000000000038</v>
      </c>
    </row>
    <row r="352" spans="1:2" hidden="1">
      <c r="A352" s="43">
        <f t="shared" si="11"/>
        <v>0.69000000000000039</v>
      </c>
      <c r="B352" s="42">
        <f t="shared" si="12"/>
        <v>-0.69000000000000039</v>
      </c>
    </row>
    <row r="353" spans="1:2" hidden="1">
      <c r="A353" s="43">
        <f t="shared" si="11"/>
        <v>0.7000000000000004</v>
      </c>
      <c r="B353" s="42">
        <f t="shared" si="12"/>
        <v>-0.7000000000000004</v>
      </c>
    </row>
    <row r="354" spans="1:2" hidden="1">
      <c r="A354" s="43">
        <f t="shared" si="11"/>
        <v>0.71000000000000041</v>
      </c>
      <c r="B354" s="42">
        <f t="shared" si="12"/>
        <v>-0.71000000000000041</v>
      </c>
    </row>
    <row r="355" spans="1:2" hidden="1">
      <c r="A355" s="43">
        <f t="shared" si="11"/>
        <v>0.72000000000000042</v>
      </c>
      <c r="B355" s="42">
        <f t="shared" si="12"/>
        <v>-0.72000000000000042</v>
      </c>
    </row>
    <row r="356" spans="1:2" hidden="1">
      <c r="A356" s="43">
        <f t="shared" si="11"/>
        <v>0.73000000000000043</v>
      </c>
      <c r="B356" s="42">
        <f t="shared" si="12"/>
        <v>-0.73000000000000043</v>
      </c>
    </row>
    <row r="357" spans="1:2" hidden="1">
      <c r="A357" s="43">
        <f t="shared" si="11"/>
        <v>0.74000000000000044</v>
      </c>
      <c r="B357" s="42">
        <f t="shared" si="12"/>
        <v>-0.74000000000000044</v>
      </c>
    </row>
    <row r="358" spans="1:2" hidden="1">
      <c r="A358" s="43">
        <f t="shared" si="11"/>
        <v>0.75000000000000044</v>
      </c>
      <c r="B358" s="42">
        <f t="shared" si="12"/>
        <v>-0.75000000000000044</v>
      </c>
    </row>
    <row r="359" spans="1:2" hidden="1">
      <c r="A359" s="43">
        <f t="shared" si="11"/>
        <v>0.76000000000000045</v>
      </c>
      <c r="B359" s="42">
        <f t="shared" si="12"/>
        <v>-0.76000000000000045</v>
      </c>
    </row>
    <row r="360" spans="1:2" hidden="1">
      <c r="A360" s="43">
        <f t="shared" si="11"/>
        <v>0.77000000000000046</v>
      </c>
      <c r="B360" s="42">
        <f t="shared" si="12"/>
        <v>-0.77000000000000046</v>
      </c>
    </row>
    <row r="361" spans="1:2" hidden="1">
      <c r="A361" s="43">
        <f t="shared" si="11"/>
        <v>0.78000000000000047</v>
      </c>
      <c r="B361" s="42">
        <f t="shared" si="12"/>
        <v>-0.78000000000000047</v>
      </c>
    </row>
    <row r="362" spans="1:2" hidden="1">
      <c r="A362" s="43">
        <f t="shared" si="11"/>
        <v>0.79000000000000048</v>
      </c>
      <c r="B362" s="42">
        <f t="shared" si="12"/>
        <v>-0.79000000000000048</v>
      </c>
    </row>
    <row r="363" spans="1:2" hidden="1">
      <c r="A363" s="43">
        <f t="shared" si="11"/>
        <v>0.80000000000000049</v>
      </c>
      <c r="B363" s="42">
        <f t="shared" si="12"/>
        <v>-0.80000000000000049</v>
      </c>
    </row>
    <row r="364" spans="1:2" hidden="1">
      <c r="A364" s="43">
        <f t="shared" si="11"/>
        <v>0.8100000000000005</v>
      </c>
      <c r="B364" s="42">
        <f t="shared" si="12"/>
        <v>-0.8100000000000005</v>
      </c>
    </row>
    <row r="365" spans="1:2" hidden="1">
      <c r="A365" s="43">
        <f t="shared" si="11"/>
        <v>0.82000000000000051</v>
      </c>
      <c r="B365" s="42">
        <f t="shared" si="12"/>
        <v>-0.82000000000000051</v>
      </c>
    </row>
    <row r="366" spans="1:2" hidden="1">
      <c r="A366" s="43">
        <f t="shared" si="11"/>
        <v>0.83000000000000052</v>
      </c>
      <c r="B366" s="42">
        <f t="shared" si="12"/>
        <v>-0.83000000000000052</v>
      </c>
    </row>
    <row r="367" spans="1:2" hidden="1">
      <c r="A367" s="43">
        <f t="shared" si="11"/>
        <v>0.84000000000000052</v>
      </c>
      <c r="B367" s="42">
        <f t="shared" si="12"/>
        <v>-0.84000000000000052</v>
      </c>
    </row>
    <row r="368" spans="1:2" hidden="1">
      <c r="A368" s="43">
        <f t="shared" si="11"/>
        <v>0.85000000000000053</v>
      </c>
      <c r="B368" s="42">
        <f t="shared" si="12"/>
        <v>-0.85000000000000053</v>
      </c>
    </row>
    <row r="369" spans="1:2" hidden="1">
      <c r="A369" s="43">
        <f t="shared" si="11"/>
        <v>0.86000000000000054</v>
      </c>
      <c r="B369" s="42">
        <f t="shared" si="12"/>
        <v>-0.86000000000000054</v>
      </c>
    </row>
    <row r="370" spans="1:2" hidden="1">
      <c r="A370" s="43">
        <f t="shared" si="11"/>
        <v>0.87000000000000055</v>
      </c>
      <c r="B370" s="42">
        <f t="shared" si="12"/>
        <v>-0.87000000000000055</v>
      </c>
    </row>
    <row r="371" spans="1:2" hidden="1">
      <c r="A371" s="43">
        <f t="shared" si="11"/>
        <v>0.88000000000000056</v>
      </c>
      <c r="B371" s="42">
        <f t="shared" si="12"/>
        <v>-0.88000000000000056</v>
      </c>
    </row>
    <row r="372" spans="1:2" hidden="1">
      <c r="A372" s="43">
        <f t="shared" si="11"/>
        <v>0.89000000000000057</v>
      </c>
      <c r="B372" s="42">
        <f t="shared" si="12"/>
        <v>-0.89000000000000057</v>
      </c>
    </row>
    <row r="373" spans="1:2" hidden="1">
      <c r="A373" s="43">
        <f t="shared" si="11"/>
        <v>0.90000000000000058</v>
      </c>
      <c r="B373" s="42">
        <f t="shared" si="12"/>
        <v>-0.90000000000000058</v>
      </c>
    </row>
    <row r="374" spans="1:2">
      <c r="A374" s="43">
        <f t="shared" si="11"/>
        <v>0.91000000000000059</v>
      </c>
      <c r="B374" s="42">
        <f t="shared" si="12"/>
        <v>-0.91000000000000059</v>
      </c>
    </row>
    <row r="375" spans="1:2">
      <c r="A375" s="43">
        <f t="shared" si="11"/>
        <v>0.9200000000000006</v>
      </c>
      <c r="B375" s="42">
        <f t="shared" si="12"/>
        <v>-0.9200000000000006</v>
      </c>
    </row>
    <row r="376" spans="1:2">
      <c r="A376" s="43">
        <f t="shared" si="11"/>
        <v>0.9300000000000006</v>
      </c>
      <c r="B376" s="42">
        <f t="shared" si="12"/>
        <v>-0.9300000000000006</v>
      </c>
    </row>
    <row r="377" spans="1:2">
      <c r="A377" s="43">
        <f t="shared" si="11"/>
        <v>0.94000000000000061</v>
      </c>
      <c r="B377" s="42">
        <f t="shared" si="12"/>
        <v>-0.94000000000000061</v>
      </c>
    </row>
    <row r="378" spans="1:2">
      <c r="A378" s="43">
        <f t="shared" si="11"/>
        <v>0.95000000000000062</v>
      </c>
      <c r="B378" s="42">
        <f t="shared" si="12"/>
        <v>-0.95000000000000062</v>
      </c>
    </row>
    <row r="379" spans="1:2">
      <c r="A379" s="43">
        <f t="shared" si="11"/>
        <v>0.96000000000000063</v>
      </c>
      <c r="B379" s="42">
        <f t="shared" si="12"/>
        <v>-0.96000000000000063</v>
      </c>
    </row>
    <row r="380" spans="1:2">
      <c r="A380" s="43">
        <f t="shared" si="11"/>
        <v>0.97000000000000064</v>
      </c>
      <c r="B380" s="42">
        <f t="shared" si="12"/>
        <v>-0.97000000000000064</v>
      </c>
    </row>
    <row r="381" spans="1:2">
      <c r="A381" s="43">
        <f t="shared" si="11"/>
        <v>0.98000000000000065</v>
      </c>
      <c r="B381" s="42">
        <f t="shared" si="12"/>
        <v>-0.98000000000000065</v>
      </c>
    </row>
    <row r="382" spans="1:2">
      <c r="A382" s="43">
        <f t="shared" si="11"/>
        <v>0.99000000000000066</v>
      </c>
      <c r="B382" s="42">
        <f t="shared" si="12"/>
        <v>-0.99000000000000066</v>
      </c>
    </row>
    <row r="383" spans="1:2">
      <c r="A383" s="43">
        <f t="shared" si="11"/>
        <v>1.0000000000000007</v>
      </c>
      <c r="B383" s="42">
        <f t="shared" si="12"/>
        <v>-1.0000000000000007</v>
      </c>
    </row>
  </sheetData>
  <sheetProtection selectLockedCells="1" autoFilter="0" pivotTables="0"/>
  <conditionalFormatting sqref="A67 A168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84:A383 J9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84:B383 M9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84:B383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2:J68">
    <cfRule type="containsBlanks" dxfId="90" priority="10">
      <formula>LEN(TRIM(C12))=0</formula>
    </cfRule>
  </conditionalFormatting>
  <conditionalFormatting sqref="D12:D68">
    <cfRule type="cellIs" dxfId="89" priority="8" operator="lessThan">
      <formula>-200</formula>
    </cfRule>
    <cfRule type="cellIs" dxfId="88" priority="9" operator="greaterThan">
      <formula>200</formula>
    </cfRule>
  </conditionalFormatting>
  <conditionalFormatting sqref="E12:G68">
    <cfRule type="cellIs" dxfId="87" priority="6" operator="lessThan">
      <formula>-6</formula>
    </cfRule>
    <cfRule type="cellIs" dxfId="86" priority="7" operator="greaterThan">
      <formula>6</formula>
    </cfRule>
  </conditionalFormatting>
  <conditionalFormatting sqref="H12:H68">
    <cfRule type="cellIs" dxfId="85" priority="4" operator="lessThan">
      <formula>-3</formula>
    </cfRule>
    <cfRule type="cellIs" dxfId="84" priority="5" operator="greaterThan">
      <formula>3</formula>
    </cfRule>
  </conditionalFormatting>
  <conditionalFormatting sqref="I12:I68">
    <cfRule type="cellIs" dxfId="83" priority="2" operator="lessThan">
      <formula>-1000</formula>
    </cfRule>
    <cfRule type="cellIs" dxfId="82" priority="3" operator="greaterThan">
      <formula>1000</formula>
    </cfRule>
  </conditionalFormatting>
  <conditionalFormatting sqref="J2:J8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:M8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:N9">
    <cfRule type="cellIs" dxfId="81" priority="24" operator="lessThan">
      <formula>0.516</formula>
    </cfRule>
    <cfRule type="cellIs" dxfId="80" priority="25" operator="greaterThan">
      <formula>0.516</formula>
    </cfRule>
  </conditionalFormatting>
  <conditionalFormatting sqref="O2:O9">
    <cfRule type="cellIs" dxfId="79" priority="22" operator="lessThan">
      <formula>0.0659</formula>
    </cfRule>
    <cfRule type="cellIs" dxfId="78" priority="23" operator="greaterThan">
      <formula>0.0659</formula>
    </cfRule>
  </conditionalFormatting>
  <conditionalFormatting sqref="P12:P6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D93B1-8AA2-49BC-B6B7-D3971825C5B6}">
  <dimension ref="A1:T384"/>
  <sheetViews>
    <sheetView zoomScale="84" zoomScaleNormal="100" workbookViewId="0">
      <selection activeCell="S69" sqref="S69"/>
    </sheetView>
  </sheetViews>
  <sheetFormatPr defaultColWidth="9.140625" defaultRowHeight="12.75"/>
  <cols>
    <col min="1" max="1" width="25.28515625" style="6" bestFit="1" customWidth="1"/>
    <col min="2" max="2" width="22" style="6" bestFit="1" customWidth="1"/>
    <col min="3" max="3" width="18.85546875" style="6" bestFit="1" customWidth="1"/>
    <col min="4" max="4" width="22.5703125" style="6" bestFit="1" customWidth="1"/>
    <col min="5" max="5" width="18" style="6" bestFit="1" customWidth="1"/>
    <col min="6" max="6" width="17.85546875" style="6" bestFit="1" customWidth="1"/>
    <col min="7" max="7" width="27" style="6" bestFit="1" customWidth="1"/>
    <col min="8" max="8" width="26.7109375" style="6" bestFit="1" customWidth="1"/>
    <col min="9" max="10" width="24" style="6" bestFit="1" customWidth="1"/>
    <col min="11" max="11" width="22.5703125" style="6" hidden="1" customWidth="1"/>
    <col min="12" max="12" width="25" style="6" hidden="1" customWidth="1"/>
    <col min="13" max="13" width="13.28515625" style="6" hidden="1" customWidth="1"/>
    <col min="14" max="14" width="7.85546875" style="6" hidden="1" customWidth="1"/>
    <col min="15" max="15" width="11.140625" style="6" hidden="1" customWidth="1"/>
    <col min="16" max="16" width="11.140625" style="6" bestFit="1" customWidth="1"/>
    <col min="17" max="17" width="9.140625" style="6"/>
    <col min="18" max="18" width="16.28515625" style="6" hidden="1" customWidth="1"/>
    <col min="19" max="19" width="16.7109375" style="6" bestFit="1" customWidth="1"/>
    <col min="20" max="20" width="3.140625" style="6" bestFit="1" customWidth="1"/>
    <col min="21" max="16384" width="9.140625" style="6"/>
  </cols>
  <sheetData>
    <row r="1" spans="1:20" ht="18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4"/>
      <c r="L1" s="5" t="s">
        <v>10</v>
      </c>
      <c r="M1" s="2" t="s">
        <v>11</v>
      </c>
      <c r="N1" s="2" t="s">
        <v>12</v>
      </c>
      <c r="O1" s="3" t="s">
        <v>13</v>
      </c>
      <c r="S1" s="6" t="s">
        <v>14</v>
      </c>
      <c r="T1" s="6">
        <v>15</v>
      </c>
    </row>
    <row r="2" spans="1:20" ht="18">
      <c r="A2" s="7" t="str">
        <f>A12</f>
        <v>Baton Rouge North</v>
      </c>
      <c r="B2" s="8">
        <f>SUM(C12:C19)</f>
        <v>6752.18</v>
      </c>
      <c r="C2" s="8">
        <f t="shared" ref="C2:I2" si="0">SUM(D12:D19)</f>
        <v>4623.4800000000005</v>
      </c>
      <c r="D2" s="8">
        <f t="shared" si="0"/>
        <v>545</v>
      </c>
      <c r="E2" s="8">
        <f t="shared" si="0"/>
        <v>-1572</v>
      </c>
      <c r="F2" s="8">
        <f t="shared" si="0"/>
        <v>57</v>
      </c>
      <c r="G2" s="8">
        <f t="shared" si="0"/>
        <v>15</v>
      </c>
      <c r="H2" s="9">
        <f>SUM(I12:I19)</f>
        <v>27207.7438</v>
      </c>
      <c r="I2" s="8">
        <f t="shared" si="0"/>
        <v>31</v>
      </c>
      <c r="J2" s="10">
        <f>I2/SUM(S12:S19)</f>
        <v>0.34444444444444444</v>
      </c>
      <c r="K2" s="11"/>
      <c r="L2" s="12">
        <f>SUM(L12:L12)</f>
        <v>4238.9799999999996</v>
      </c>
      <c r="M2" s="13">
        <f>((F2-G12)/L2)-100%</f>
        <v>-0.98655336897083734</v>
      </c>
      <c r="N2" s="13">
        <f>SUM(N12:N12)/C2</f>
        <v>0</v>
      </c>
      <c r="O2" s="14">
        <f>SUM(P12:P12)/C2</f>
        <v>2.8838306499289132E-5</v>
      </c>
    </row>
    <row r="3" spans="1:20" ht="18">
      <c r="A3" s="7" t="str">
        <f>A20</f>
        <v>Baton Rouge South</v>
      </c>
      <c r="B3" s="8">
        <f>SUM(C20:C26)</f>
        <v>3585.9000000000005</v>
      </c>
      <c r="C3" s="8">
        <f t="shared" ref="C3:I3" si="1">SUM(D20:D26)</f>
        <v>3330.4000000000005</v>
      </c>
      <c r="D3" s="15">
        <f t="shared" si="1"/>
        <v>88</v>
      </c>
      <c r="E3" s="15">
        <f t="shared" si="1"/>
        <v>268</v>
      </c>
      <c r="F3" s="15">
        <f t="shared" si="1"/>
        <v>446</v>
      </c>
      <c r="G3" s="15">
        <f t="shared" si="1"/>
        <v>106</v>
      </c>
      <c r="H3" s="9">
        <f t="shared" si="1"/>
        <v>17740.486799999999</v>
      </c>
      <c r="I3" s="8">
        <f t="shared" si="1"/>
        <v>67</v>
      </c>
      <c r="J3" s="10">
        <f>I3/SUM(S20:S26)</f>
        <v>0.63809523809523805</v>
      </c>
      <c r="K3" s="11"/>
      <c r="L3" s="12">
        <f>SUM(L13:L13)</f>
        <v>5844.34</v>
      </c>
      <c r="M3" s="13">
        <f>((F3-G13)/L3)-100%</f>
        <v>-0.89819209696903335</v>
      </c>
      <c r="N3" s="13">
        <f>SUM(N13:N13)/C3</f>
        <v>0</v>
      </c>
      <c r="O3" s="14">
        <f>SUM(P13:P13)/C3</f>
        <v>1.8015853951477298E-4</v>
      </c>
    </row>
    <row r="4" spans="1:20" ht="18">
      <c r="A4" s="7" t="str">
        <f>A27</f>
        <v>Gulf Coast North</v>
      </c>
      <c r="B4" s="8">
        <f>SUM(C27:C35)</f>
        <v>3616</v>
      </c>
      <c r="C4" s="8">
        <f t="shared" ref="C4:I4" si="2">SUM(D27:D35)</f>
        <v>-950</v>
      </c>
      <c r="D4" s="8">
        <f t="shared" si="2"/>
        <v>-336</v>
      </c>
      <c r="E4" s="8">
        <f t="shared" si="2"/>
        <v>54</v>
      </c>
      <c r="F4" s="8">
        <f t="shared" si="2"/>
        <v>116</v>
      </c>
      <c r="G4" s="8">
        <f t="shared" si="2"/>
        <v>49</v>
      </c>
      <c r="H4" s="9">
        <f t="shared" si="2"/>
        <v>-3083.4999999999991</v>
      </c>
      <c r="I4" s="8">
        <f t="shared" si="2"/>
        <v>86</v>
      </c>
      <c r="J4" s="10">
        <f>I4/SUM(S27:S35)</f>
        <v>0.63703703703703707</v>
      </c>
      <c r="K4" s="11"/>
      <c r="L4" s="12">
        <f>SUM(L14:L24)</f>
        <v>52541.38</v>
      </c>
      <c r="M4" s="13">
        <f>(F4/L4)-100%</f>
        <v>-0.99779221634452697</v>
      </c>
      <c r="N4" s="13">
        <f>SUM(N14:N24)/C4</f>
        <v>0</v>
      </c>
      <c r="O4" s="14" t="e">
        <f>SUM(P14:P24)/C4</f>
        <v>#DIV/0!</v>
      </c>
    </row>
    <row r="5" spans="1:20" ht="18">
      <c r="A5" s="7" t="str">
        <f>A36</f>
        <v>Gulf Coast West</v>
      </c>
      <c r="B5" s="8">
        <f>SUM(C36:C42)</f>
        <v>1742</v>
      </c>
      <c r="C5" s="8">
        <f t="shared" ref="C5:I5" si="3">SUM(D36:D42)</f>
        <v>2452</v>
      </c>
      <c r="D5" s="8">
        <f t="shared" si="3"/>
        <v>179</v>
      </c>
      <c r="E5" s="8">
        <f t="shared" si="3"/>
        <v>81</v>
      </c>
      <c r="F5" s="8">
        <f t="shared" si="3"/>
        <v>154</v>
      </c>
      <c r="G5" s="8">
        <f t="shared" si="3"/>
        <v>-25</v>
      </c>
      <c r="H5" s="9">
        <f t="shared" si="3"/>
        <v>14292.78</v>
      </c>
      <c r="I5" s="8">
        <f t="shared" si="3"/>
        <v>50</v>
      </c>
      <c r="J5" s="10">
        <f>I5/SUM(S36:S42)</f>
        <v>0.47619047619047616</v>
      </c>
      <c r="K5" s="11"/>
      <c r="L5" s="12">
        <f>SUM(L25:L37)</f>
        <v>80972.98000000001</v>
      </c>
      <c r="M5" s="13">
        <f>((F5-G35-G36-G37)/L5)-100%</f>
        <v>-1.0008397863089638</v>
      </c>
      <c r="N5" s="13">
        <f>SUM(N25:N37)/C5</f>
        <v>0</v>
      </c>
      <c r="O5" s="14">
        <f>SUM(P25:P37)/C5</f>
        <v>3.3713974986405667E-3</v>
      </c>
    </row>
    <row r="6" spans="1:20" ht="18">
      <c r="A6" s="7" t="str">
        <f>A43</f>
        <v>Lafayette</v>
      </c>
      <c r="B6" s="8">
        <f>SUM(C43:C50)</f>
        <v>2905</v>
      </c>
      <c r="C6" s="8">
        <f t="shared" ref="C6:I6" si="4">SUM(D43:D50)</f>
        <v>350</v>
      </c>
      <c r="D6" s="8">
        <f t="shared" si="4"/>
        <v>71</v>
      </c>
      <c r="E6" s="8">
        <f t="shared" si="4"/>
        <v>4</v>
      </c>
      <c r="F6" s="8">
        <f t="shared" si="4"/>
        <v>-155</v>
      </c>
      <c r="G6" s="8">
        <f t="shared" si="4"/>
        <v>-9</v>
      </c>
      <c r="H6" s="9">
        <f t="shared" si="4"/>
        <v>2781.12</v>
      </c>
      <c r="I6" s="8">
        <f t="shared" si="4"/>
        <v>74</v>
      </c>
      <c r="J6" s="10">
        <f>I6/SUM(S43:S50)</f>
        <v>0.6166666666666667</v>
      </c>
      <c r="K6" s="11"/>
      <c r="L6" s="12"/>
      <c r="M6" s="13"/>
      <c r="N6" s="13"/>
      <c r="O6" s="14"/>
    </row>
    <row r="7" spans="1:20" ht="18">
      <c r="A7" s="7" t="str">
        <f>A51</f>
        <v>NOLA North</v>
      </c>
      <c r="B7" s="8">
        <f>SUM(C51:C59)</f>
        <v>1032</v>
      </c>
      <c r="C7" s="8">
        <f t="shared" ref="C7:I7" si="5">SUM(D51:D59)</f>
        <v>-1261</v>
      </c>
      <c r="D7" s="8">
        <f t="shared" si="5"/>
        <v>60</v>
      </c>
      <c r="E7" s="8">
        <f t="shared" si="5"/>
        <v>66</v>
      </c>
      <c r="F7" s="8">
        <f t="shared" si="5"/>
        <v>-30</v>
      </c>
      <c r="G7" s="8">
        <f t="shared" si="5"/>
        <v>28</v>
      </c>
      <c r="H7" s="9">
        <f t="shared" si="5"/>
        <v>-4229.01</v>
      </c>
      <c r="I7" s="8">
        <f t="shared" si="5"/>
        <v>93</v>
      </c>
      <c r="J7" s="10">
        <f>I7/SUM(S51:S59)</f>
        <v>0.69402985074626866</v>
      </c>
      <c r="K7" s="11"/>
      <c r="L7" s="12">
        <f>SUM(L38:L46)</f>
        <v>38554.76</v>
      </c>
      <c r="M7" s="13">
        <f>(F7/L7)-100%</f>
        <v>-1.0007781140383185</v>
      </c>
      <c r="N7" s="13">
        <f>SUM(N38:N46)/C7</f>
        <v>0</v>
      </c>
      <c r="O7" s="14">
        <f>SUM(P38:P46)/C7</f>
        <v>-3.9651070578905637E-3</v>
      </c>
    </row>
    <row r="8" spans="1:20" ht="18">
      <c r="A8" s="16" t="str">
        <f>A60</f>
        <v>NOLA South</v>
      </c>
      <c r="B8" s="17">
        <f>SUM(C60:C68)</f>
        <v>1061</v>
      </c>
      <c r="C8" s="17">
        <f t="shared" ref="C8:I8" si="6">SUM(D60:D68)</f>
        <v>-372</v>
      </c>
      <c r="D8" s="17">
        <f t="shared" si="6"/>
        <v>427</v>
      </c>
      <c r="E8" s="17">
        <f t="shared" si="6"/>
        <v>5857</v>
      </c>
      <c r="F8" s="17">
        <f t="shared" si="6"/>
        <v>-87</v>
      </c>
      <c r="G8" s="17">
        <f t="shared" si="6"/>
        <v>8</v>
      </c>
      <c r="H8" s="18">
        <f t="shared" si="6"/>
        <v>17691.089999999993</v>
      </c>
      <c r="I8" s="17">
        <f t="shared" si="6"/>
        <v>100</v>
      </c>
      <c r="J8" s="19">
        <f>I8/SUM(S60:S68)</f>
        <v>0.7407407407407407</v>
      </c>
      <c r="K8" s="11"/>
      <c r="L8" s="12">
        <f>SUM(L47:L55)</f>
        <v>19465.43</v>
      </c>
      <c r="M8" s="13">
        <f>((F8-G55)/L8)-100%</f>
        <v>-1.0036474919896452</v>
      </c>
      <c r="N8" s="13">
        <f>SUM(N47:N55)/C8</f>
        <v>-2.6881720430107529E-3</v>
      </c>
      <c r="O8" s="14">
        <f>SUM(P47:P55)/C8</f>
        <v>-1.6845878136200719E-2</v>
      </c>
    </row>
    <row r="9" spans="1:20" ht="18">
      <c r="A9" s="20" t="s">
        <v>15</v>
      </c>
      <c r="B9" s="21">
        <f>SUM(B2:B8)</f>
        <v>20694.080000000002</v>
      </c>
      <c r="C9" s="21">
        <f t="shared" ref="C9:I9" si="7">SUM(C2:C8)</f>
        <v>8172.880000000001</v>
      </c>
      <c r="D9" s="22">
        <f t="shared" si="7"/>
        <v>1034</v>
      </c>
      <c r="E9" s="22">
        <f t="shared" si="7"/>
        <v>4758</v>
      </c>
      <c r="F9" s="22">
        <f t="shared" si="7"/>
        <v>501</v>
      </c>
      <c r="G9" s="22">
        <f t="shared" si="7"/>
        <v>172</v>
      </c>
      <c r="H9" s="23">
        <f>SUM(H2:H8)</f>
        <v>72400.710599999991</v>
      </c>
      <c r="I9" s="21">
        <f>SUM(I2:I8)</f>
        <v>501</v>
      </c>
      <c r="J9" s="24">
        <f>I9/SUM(S12:S68)</f>
        <v>0.60800970873786409</v>
      </c>
      <c r="K9" s="25"/>
      <c r="L9" s="26">
        <f>SUM(L2:L8)</f>
        <v>201617.87</v>
      </c>
      <c r="M9" s="27">
        <f>((F9-G12-G13-G35-G36-G37-G55)/L9)-100%</f>
        <v>-0.99779781425128633</v>
      </c>
      <c r="N9" s="27" cm="1">
        <f t="array" ref="N9">SUM(Table17891011121323578345[Big 4 Items]/C9)</f>
        <v>1.2235588923366057E-4</v>
      </c>
      <c r="O9" s="28" t="e">
        <f>SUM(Table17891011121323578345[Count Compliance2])/C9</f>
        <v>#DIV/0!</v>
      </c>
    </row>
    <row r="11" spans="1:20">
      <c r="A11" s="6" t="s">
        <v>0</v>
      </c>
      <c r="B11" s="6" t="s">
        <v>16</v>
      </c>
      <c r="C11" s="6" t="s">
        <v>1</v>
      </c>
      <c r="D11" s="6" t="s">
        <v>17</v>
      </c>
      <c r="E11" s="6" t="s">
        <v>3</v>
      </c>
      <c r="F11" s="6" t="s">
        <v>4</v>
      </c>
      <c r="G11" s="6" t="s">
        <v>5</v>
      </c>
      <c r="H11" s="6" t="s">
        <v>6</v>
      </c>
      <c r="I11" s="6" t="s">
        <v>7</v>
      </c>
      <c r="J11" s="6" t="s">
        <v>8</v>
      </c>
      <c r="K11" s="6" t="s">
        <v>9</v>
      </c>
      <c r="L11" s="6" t="s">
        <v>10</v>
      </c>
      <c r="M11" s="6" t="s">
        <v>18</v>
      </c>
      <c r="N11" s="6" t="s">
        <v>19</v>
      </c>
      <c r="O11" s="6" t="s">
        <v>12</v>
      </c>
      <c r="P11" s="6" t="s">
        <v>20</v>
      </c>
    </row>
    <row r="12" spans="1:20" ht="15" hidden="1">
      <c r="A12" s="29" t="s">
        <v>21</v>
      </c>
      <c r="B12" s="30">
        <v>17</v>
      </c>
      <c r="C12" s="31">
        <v>-839.93</v>
      </c>
      <c r="D12" s="32">
        <v>-839.93</v>
      </c>
      <c r="E12" s="32"/>
      <c r="F12" s="32">
        <v>-1484</v>
      </c>
      <c r="G12" s="32"/>
      <c r="H12" s="32"/>
      <c r="I12" s="33">
        <v>-2211.9839000000002</v>
      </c>
      <c r="J12" s="32">
        <v>2</v>
      </c>
      <c r="K12" s="34">
        <f>Table17891011121323578345[[#This Row],[On Time Counts]]/45</f>
        <v>4.4444444444444446E-2</v>
      </c>
      <c r="L12" s="35">
        <v>4238.9799999999996</v>
      </c>
      <c r="M12" s="36">
        <f>Table17891011121323578345[[#This Row],[Wipers +/-]]/Table17891011121323578345[[#This Row],[Comp Sales]]</f>
        <v>0</v>
      </c>
      <c r="N12" s="37">
        <v>0</v>
      </c>
      <c r="O12" s="36">
        <f>Table17891011121323578345[[#This Row],[Big 4 Items]]/Table17891011121323578345[[#This Row],[Oil +/- ]]</f>
        <v>0</v>
      </c>
      <c r="P12" s="38">
        <f>J12/S12</f>
        <v>0.13333333333333333</v>
      </c>
      <c r="S12" s="6">
        <f>$T$1</f>
        <v>15</v>
      </c>
    </row>
    <row r="13" spans="1:20" ht="15" hidden="1">
      <c r="A13" s="29" t="s">
        <v>21</v>
      </c>
      <c r="B13" s="30">
        <v>22</v>
      </c>
      <c r="C13" s="31">
        <v>3996.7</v>
      </c>
      <c r="D13" s="32">
        <v>2068.6999999999998</v>
      </c>
      <c r="E13" s="32">
        <v>-67</v>
      </c>
      <c r="F13" s="32">
        <v>-17</v>
      </c>
      <c r="G13" s="32">
        <v>-149</v>
      </c>
      <c r="H13" s="32">
        <v>-21</v>
      </c>
      <c r="I13" s="33">
        <v>6899.6729999999998</v>
      </c>
      <c r="J13" s="32">
        <v>9</v>
      </c>
      <c r="K13" s="34">
        <f>Table17891011121323578345[[#This Row],[On Time Counts]]/45</f>
        <v>0.2</v>
      </c>
      <c r="L13" s="35">
        <v>5844.34</v>
      </c>
      <c r="M13" s="36">
        <f>Table17891011121323578345[[#This Row],[Wipers +/-]]/Table17891011121323578345[[#This Row],[Comp Sales]]</f>
        <v>-2.5494752187586622E-2</v>
      </c>
      <c r="N13" s="37">
        <v>0</v>
      </c>
      <c r="O13" s="36">
        <f>Table17891011121323578345[[#This Row],[Big 4 Items]]/Table17891011121323578345[[#This Row],[Oil +/- ]]</f>
        <v>0</v>
      </c>
      <c r="P13" s="38">
        <f>J13/S13</f>
        <v>0.6</v>
      </c>
      <c r="S13" s="6">
        <f t="shared" ref="S13:S68" si="8">$T$1</f>
        <v>15</v>
      </c>
    </row>
    <row r="14" spans="1:20" ht="15" hidden="1">
      <c r="A14" s="29" t="s">
        <v>21</v>
      </c>
      <c r="B14" s="30">
        <v>641</v>
      </c>
      <c r="C14" s="31">
        <v>-348.87</v>
      </c>
      <c r="D14" s="32">
        <v>-325.07</v>
      </c>
      <c r="E14" s="32">
        <v>-9</v>
      </c>
      <c r="F14" s="32"/>
      <c r="G14" s="32">
        <v>-3</v>
      </c>
      <c r="H14" s="32">
        <v>3</v>
      </c>
      <c r="I14" s="33">
        <v>-1808.8018999999999</v>
      </c>
      <c r="J14" s="32">
        <v>9</v>
      </c>
      <c r="K14" s="34">
        <f>Table17891011121323578345[[#This Row],[On Time Counts]]/45</f>
        <v>0.2</v>
      </c>
      <c r="L14" s="35">
        <v>3219.34</v>
      </c>
      <c r="M14" s="36">
        <f>Table17891011121323578345[[#This Row],[Wipers +/-]]/Table17891011121323578345[[#This Row],[Comp Sales]]</f>
        <v>-9.3186802263818048E-4</v>
      </c>
      <c r="N14" s="37">
        <v>0</v>
      </c>
      <c r="O14" s="36">
        <f>Table17891011121323578345[[#This Row],[Big 4 Items]]/Table17891011121323578345[[#This Row],[Oil +/- ]]</f>
        <v>0</v>
      </c>
      <c r="P14" s="38">
        <f>J14/S14</f>
        <v>0.6</v>
      </c>
      <c r="S14" s="6">
        <f t="shared" si="8"/>
        <v>15</v>
      </c>
    </row>
    <row r="15" spans="1:20" ht="15" hidden="1">
      <c r="A15" s="29" t="s">
        <v>21</v>
      </c>
      <c r="B15" s="30">
        <v>717</v>
      </c>
      <c r="C15" s="31">
        <v>1330.94</v>
      </c>
      <c r="D15" s="32">
        <v>1092.94</v>
      </c>
      <c r="E15" s="32">
        <v>176</v>
      </c>
      <c r="F15" s="32">
        <v>-19</v>
      </c>
      <c r="G15" s="32">
        <v>-63</v>
      </c>
      <c r="H15" s="32">
        <v>1</v>
      </c>
      <c r="I15" s="33">
        <v>3295.8926000000001</v>
      </c>
      <c r="J15" s="32">
        <v>3</v>
      </c>
      <c r="K15" s="34">
        <f>Table17891011121323578345[[#This Row],[On Time Counts]]/45</f>
        <v>6.6666666666666666E-2</v>
      </c>
      <c r="L15" s="35">
        <v>8034.77</v>
      </c>
      <c r="M15" s="36">
        <f>Table17891011121323578345[[#This Row],[Wipers +/-]]/Table17891011121323578345[[#This Row],[Comp Sales]]</f>
        <v>-7.8409213953853068E-3</v>
      </c>
      <c r="N15" s="37">
        <v>0</v>
      </c>
      <c r="O15" s="36">
        <f>Table17891011121323578345[[#This Row],[Big 4 Items]]/Table17891011121323578345[[#This Row],[Oil +/- ]]</f>
        <v>0</v>
      </c>
      <c r="P15" s="38">
        <f>J15/S15</f>
        <v>0.2</v>
      </c>
      <c r="S15" s="6">
        <f t="shared" si="8"/>
        <v>15</v>
      </c>
    </row>
    <row r="16" spans="1:20" ht="15" hidden="1">
      <c r="A16" s="29" t="s">
        <v>21</v>
      </c>
      <c r="B16" s="30">
        <v>843</v>
      </c>
      <c r="C16" s="31">
        <v>2278.34</v>
      </c>
      <c r="D16" s="32">
        <v>2291.84</v>
      </c>
      <c r="E16" s="32">
        <v>363</v>
      </c>
      <c r="F16" s="32">
        <v>-52</v>
      </c>
      <c r="G16" s="32">
        <v>272</v>
      </c>
      <c r="H16" s="32">
        <v>-5</v>
      </c>
      <c r="I16" s="33">
        <v>18180.114000000001</v>
      </c>
      <c r="J16" s="32">
        <v>6</v>
      </c>
      <c r="K16" s="34">
        <f>Table17891011121323578345[[#This Row],[On Time Counts]]/45</f>
        <v>0.13333333333333333</v>
      </c>
      <c r="L16" s="35">
        <v>6497.34</v>
      </c>
      <c r="M16" s="36">
        <f>Table17891011121323578345[[#This Row],[Wipers +/-]]/Table17891011121323578345[[#This Row],[Comp Sales]]</f>
        <v>4.1863285590718662E-2</v>
      </c>
      <c r="N16" s="37">
        <v>0</v>
      </c>
      <c r="O16" s="36">
        <f>Table17891011121323578345[[#This Row],[Big 4 Items]]/Table17891011121323578345[[#This Row],[Oil +/- ]]</f>
        <v>0</v>
      </c>
      <c r="P16" s="38">
        <f>J16/S16</f>
        <v>0.4</v>
      </c>
      <c r="S16" s="6">
        <f t="shared" si="8"/>
        <v>15</v>
      </c>
    </row>
    <row r="17" spans="1:19" ht="15" hidden="1">
      <c r="A17" s="29" t="s">
        <v>21</v>
      </c>
      <c r="B17" s="40">
        <v>881</v>
      </c>
      <c r="C17" s="31">
        <v>335</v>
      </c>
      <c r="D17" s="32">
        <v>335</v>
      </c>
      <c r="E17" s="32">
        <v>82</v>
      </c>
      <c r="F17" s="32"/>
      <c r="G17" s="32"/>
      <c r="H17" s="32">
        <v>37</v>
      </c>
      <c r="I17" s="33">
        <v>2852.85</v>
      </c>
      <c r="J17" s="32">
        <v>2</v>
      </c>
      <c r="K17" s="34">
        <f>Table17891011121323578345[[#This Row],[On Time Counts]]/45</f>
        <v>4.4444444444444446E-2</v>
      </c>
      <c r="L17" s="35"/>
      <c r="M17" s="36" t="e">
        <f>Table17891011121323578345[[#This Row],[Wipers +/-]]/Table17891011121323578345[[#This Row],[Comp Sales]]</f>
        <v>#DIV/0!</v>
      </c>
      <c r="N17" s="39"/>
      <c r="O17" s="36">
        <f>Table17891011121323578345[[#This Row],[Big 4 Items]]/Table17891011121323578345[[#This Row],[Oil +/- ]]</f>
        <v>0</v>
      </c>
      <c r="P17" s="38">
        <f>J17/S17</f>
        <v>0.13333333333333333</v>
      </c>
      <c r="S17" s="6">
        <f t="shared" si="8"/>
        <v>15</v>
      </c>
    </row>
    <row r="18" spans="1:19" ht="15" hidden="1">
      <c r="A18" s="29" t="s">
        <v>21</v>
      </c>
      <c r="B18" s="40">
        <v>953</v>
      </c>
      <c r="C18" s="31">
        <v>0</v>
      </c>
      <c r="D18" s="32">
        <v>0</v>
      </c>
      <c r="E18" s="32">
        <v>0</v>
      </c>
      <c r="F18" s="32">
        <v>0</v>
      </c>
      <c r="G18" s="32">
        <v>0</v>
      </c>
      <c r="H18" s="32">
        <v>0</v>
      </c>
      <c r="I18" s="33">
        <v>0</v>
      </c>
      <c r="J18" s="32">
        <v>0</v>
      </c>
      <c r="K18" s="34">
        <f>Table17891011121323578345[[#This Row],[On Time Counts]]/45</f>
        <v>0</v>
      </c>
      <c r="L18" s="35"/>
      <c r="M18" s="36" t="e">
        <f>Table17891011121323578345[[#This Row],[Wipers +/-]]/Table17891011121323578345[[#This Row],[Comp Sales]]</f>
        <v>#DIV/0!</v>
      </c>
      <c r="N18" s="39"/>
      <c r="O18" s="36" t="e">
        <f>Table17891011121323578345[[#This Row],[Big 4 Items]]/Table17891011121323578345[[#This Row],[Oil +/- ]]</f>
        <v>#DIV/0!</v>
      </c>
      <c r="P18" s="38" t="e">
        <f>J18/S18</f>
        <v>#DIV/0!</v>
      </c>
      <c r="S18" s="6">
        <v>0</v>
      </c>
    </row>
    <row r="19" spans="1:19" ht="15" hidden="1">
      <c r="A19" s="29" t="s">
        <v>21</v>
      </c>
      <c r="B19" s="40">
        <v>3040</v>
      </c>
      <c r="C19" s="31">
        <v>0</v>
      </c>
      <c r="D19" s="32">
        <v>0</v>
      </c>
      <c r="E19" s="32">
        <v>0</v>
      </c>
      <c r="F19" s="32">
        <v>0</v>
      </c>
      <c r="G19" s="32">
        <v>0</v>
      </c>
      <c r="H19" s="32">
        <v>0</v>
      </c>
      <c r="I19" s="33">
        <v>0</v>
      </c>
      <c r="J19" s="32">
        <v>0</v>
      </c>
      <c r="K19" s="34">
        <f>Table17891011121323578345[[#This Row],[On Time Counts]]/45</f>
        <v>0</v>
      </c>
      <c r="L19" s="35">
        <v>7185.39</v>
      </c>
      <c r="M19" s="36">
        <f>Table17891011121323578345[[#This Row],[Wipers +/-]]/Table17891011121323578345[[#This Row],[Comp Sales]]</f>
        <v>0</v>
      </c>
      <c r="N19" s="37">
        <v>0</v>
      </c>
      <c r="O19" s="36" t="e">
        <f>Table17891011121323578345[[#This Row],[Big 4 Items]]/Table17891011121323578345[[#This Row],[Oil +/- ]]</f>
        <v>#DIV/0!</v>
      </c>
      <c r="P19" s="38" t="e">
        <f>J19/S19</f>
        <v>#DIV/0!</v>
      </c>
      <c r="S19" s="6">
        <v>0</v>
      </c>
    </row>
    <row r="20" spans="1:19" ht="15" hidden="1">
      <c r="A20" s="29" t="s">
        <v>22</v>
      </c>
      <c r="B20" s="30">
        <v>18</v>
      </c>
      <c r="C20" s="31">
        <v>685.18</v>
      </c>
      <c r="D20" s="32">
        <v>368.68</v>
      </c>
      <c r="E20" s="32">
        <v>73</v>
      </c>
      <c r="F20" s="32">
        <v>31</v>
      </c>
      <c r="G20" s="32">
        <v>1</v>
      </c>
      <c r="H20" s="32">
        <v>16</v>
      </c>
      <c r="I20" s="33">
        <v>2376.2561999999998</v>
      </c>
      <c r="J20" s="32">
        <v>8</v>
      </c>
      <c r="K20" s="34">
        <f>Table17891011121323578345[[#This Row],[On Time Counts]]/45</f>
        <v>0.17777777777777778</v>
      </c>
      <c r="L20" s="35">
        <v>6083.18</v>
      </c>
      <c r="M20" s="36">
        <f>Table17891011121323578345[[#This Row],[Wipers +/-]]/Table17891011121323578345[[#This Row],[Comp Sales]]</f>
        <v>1.6438770511475906E-4</v>
      </c>
      <c r="N20" s="37">
        <v>0</v>
      </c>
      <c r="O20" s="36">
        <f>Table17891011121323578345[[#This Row],[Big 4 Items]]/Table17891011121323578345[[#This Row],[Oil +/- ]]</f>
        <v>0</v>
      </c>
      <c r="P20" s="38">
        <f>J20/S20</f>
        <v>0.53333333333333333</v>
      </c>
      <c r="S20" s="6">
        <f t="shared" si="8"/>
        <v>15</v>
      </c>
    </row>
    <row r="21" spans="1:19" ht="15" hidden="1">
      <c r="A21" s="29" t="s">
        <v>22</v>
      </c>
      <c r="B21" s="30">
        <v>19</v>
      </c>
      <c r="C21" s="31">
        <v>1321.24</v>
      </c>
      <c r="D21" s="32">
        <v>1321.24</v>
      </c>
      <c r="E21" s="32">
        <v>-88</v>
      </c>
      <c r="F21" s="32">
        <v>21</v>
      </c>
      <c r="G21" s="32">
        <v>17</v>
      </c>
      <c r="H21" s="32">
        <v>4</v>
      </c>
      <c r="I21" s="33">
        <v>5578.7664000000004</v>
      </c>
      <c r="J21" s="32">
        <v>11</v>
      </c>
      <c r="K21" s="34">
        <f>Table17891011121323578345[[#This Row],[On Time Counts]]/45</f>
        <v>0.24444444444444444</v>
      </c>
      <c r="L21" s="35">
        <v>4849.0200000000004</v>
      </c>
      <c r="M21" s="36">
        <f>Table17891011121323578345[[#This Row],[Wipers +/-]]/Table17891011121323578345[[#This Row],[Comp Sales]]</f>
        <v>3.5058630403669191E-3</v>
      </c>
      <c r="N21" s="37">
        <v>0</v>
      </c>
      <c r="O21" s="36">
        <f>Table17891011121323578345[[#This Row],[Big 4 Items]]/Table17891011121323578345[[#This Row],[Oil +/- ]]</f>
        <v>0</v>
      </c>
      <c r="P21" s="38">
        <f>J21/S21</f>
        <v>0.73333333333333328</v>
      </c>
      <c r="S21" s="6">
        <f t="shared" si="8"/>
        <v>15</v>
      </c>
    </row>
    <row r="22" spans="1:19" ht="15" hidden="1">
      <c r="A22" s="29" t="s">
        <v>22</v>
      </c>
      <c r="B22" s="30">
        <v>282</v>
      </c>
      <c r="C22" s="31">
        <v>270.88</v>
      </c>
      <c r="D22" s="32">
        <v>234.88</v>
      </c>
      <c r="E22" s="32">
        <v>-34</v>
      </c>
      <c r="F22" s="32">
        <v>-24</v>
      </c>
      <c r="G22" s="32">
        <v>-4</v>
      </c>
      <c r="H22" s="32">
        <v>51</v>
      </c>
      <c r="I22" s="33">
        <v>379.37799999999999</v>
      </c>
      <c r="J22" s="32">
        <v>8</v>
      </c>
      <c r="K22" s="34">
        <f>Table17891011121323578345[[#This Row],[On Time Counts]]/45</f>
        <v>0.17777777777777778</v>
      </c>
      <c r="L22" s="35">
        <v>2994.56</v>
      </c>
      <c r="M22" s="36">
        <f>Table17891011121323578345[[#This Row],[Wipers +/-]]/Table17891011121323578345[[#This Row],[Comp Sales]]</f>
        <v>-1.3357555033126738E-3</v>
      </c>
      <c r="N22" s="37">
        <v>0</v>
      </c>
      <c r="O22" s="36">
        <f>Table17891011121323578345[[#This Row],[Big 4 Items]]/Table17891011121323578345[[#This Row],[Oil +/- ]]</f>
        <v>0</v>
      </c>
      <c r="P22" s="38">
        <f>J22/S22</f>
        <v>0.53333333333333333</v>
      </c>
      <c r="S22" s="6">
        <f t="shared" si="8"/>
        <v>15</v>
      </c>
    </row>
    <row r="23" spans="1:19" ht="15" hidden="1">
      <c r="A23" s="29" t="s">
        <v>22</v>
      </c>
      <c r="B23" s="30">
        <v>447</v>
      </c>
      <c r="C23" s="31">
        <v>360.22</v>
      </c>
      <c r="D23" s="32">
        <v>457.22</v>
      </c>
      <c r="E23" s="32">
        <v>-49</v>
      </c>
      <c r="F23" s="32">
        <v>241</v>
      </c>
      <c r="G23" s="32">
        <v>322</v>
      </c>
      <c r="H23" s="32">
        <v>30</v>
      </c>
      <c r="I23" s="33">
        <v>3560.8824</v>
      </c>
      <c r="J23" s="32">
        <v>9</v>
      </c>
      <c r="K23" s="34">
        <f>Table17891011121323578345[[#This Row],[On Time Counts]]/45</f>
        <v>0.2</v>
      </c>
      <c r="L23" s="35">
        <v>6870.99</v>
      </c>
      <c r="M23" s="36">
        <f>Table17891011121323578345[[#This Row],[Wipers +/-]]/Table17891011121323578345[[#This Row],[Comp Sales]]</f>
        <v>4.6863697953278931E-2</v>
      </c>
      <c r="N23" s="37">
        <v>0</v>
      </c>
      <c r="O23" s="36">
        <f>Table17891011121323578345[[#This Row],[Big 4 Items]]/Table17891011121323578345[[#This Row],[Oil +/- ]]</f>
        <v>0</v>
      </c>
      <c r="P23" s="38">
        <f>J23/S23</f>
        <v>0.6</v>
      </c>
      <c r="S23" s="6">
        <f t="shared" si="8"/>
        <v>15</v>
      </c>
    </row>
    <row r="24" spans="1:19" ht="15" hidden="1">
      <c r="A24" s="29" t="s">
        <v>22</v>
      </c>
      <c r="B24" s="30">
        <v>448</v>
      </c>
      <c r="C24" s="31">
        <v>978.22</v>
      </c>
      <c r="D24" s="32">
        <v>978.22</v>
      </c>
      <c r="E24" s="32">
        <v>50</v>
      </c>
      <c r="F24" s="32">
        <v>-10</v>
      </c>
      <c r="G24" s="32">
        <v>113</v>
      </c>
      <c r="H24" s="32">
        <v>-4</v>
      </c>
      <c r="I24" s="33">
        <v>5193.6289999999999</v>
      </c>
      <c r="J24" s="32">
        <v>9</v>
      </c>
      <c r="K24" s="34">
        <f>Table17891011121323578345[[#This Row],[On Time Counts]]/45</f>
        <v>0.2</v>
      </c>
      <c r="L24" s="35">
        <v>6806.79</v>
      </c>
      <c r="M24" s="36">
        <f>Table17891011121323578345[[#This Row],[Wipers +/-]]/Table17891011121323578345[[#This Row],[Comp Sales]]</f>
        <v>1.6601070401760596E-2</v>
      </c>
      <c r="N24" s="37">
        <v>0</v>
      </c>
      <c r="O24" s="36">
        <f>Table17891011121323578345[[#This Row],[Big 4 Items]]/Table17891011121323578345[[#This Row],[Oil +/- ]]</f>
        <v>0</v>
      </c>
      <c r="P24" s="38">
        <f>J24/S24</f>
        <v>0.6</v>
      </c>
      <c r="S24" s="6">
        <f t="shared" si="8"/>
        <v>15</v>
      </c>
    </row>
    <row r="25" spans="1:19" ht="15" hidden="1">
      <c r="A25" s="29" t="s">
        <v>22</v>
      </c>
      <c r="B25" s="30">
        <v>531</v>
      </c>
      <c r="C25" s="31">
        <v>67.16</v>
      </c>
      <c r="D25" s="32">
        <v>67.16</v>
      </c>
      <c r="E25" s="32">
        <v>-2</v>
      </c>
      <c r="F25" s="32">
        <v>5</v>
      </c>
      <c r="G25" s="32">
        <v>-8</v>
      </c>
      <c r="H25" s="32">
        <v>1</v>
      </c>
      <c r="I25" s="33">
        <v>-67.345200000000006</v>
      </c>
      <c r="J25" s="32">
        <v>12</v>
      </c>
      <c r="K25" s="34">
        <f>Table17891011121323578345[[#This Row],[On Time Counts]]/45</f>
        <v>0.26666666666666666</v>
      </c>
      <c r="L25" s="35">
        <v>3933.29</v>
      </c>
      <c r="M25" s="36">
        <f>Table17891011121323578345[[#This Row],[Wipers +/-]]/Table17891011121323578345[[#This Row],[Comp Sales]]</f>
        <v>-2.0339207126858177E-3</v>
      </c>
      <c r="N25" s="37">
        <v>0</v>
      </c>
      <c r="O25" s="36">
        <f>Table17891011121323578345[[#This Row],[Big 4 Items]]/Table17891011121323578345[[#This Row],[Oil +/- ]]</f>
        <v>0</v>
      </c>
      <c r="P25" s="38">
        <f>J25/S25</f>
        <v>0.8</v>
      </c>
      <c r="S25" s="6">
        <f t="shared" si="8"/>
        <v>15</v>
      </c>
    </row>
    <row r="26" spans="1:19" ht="15" hidden="1">
      <c r="A26" s="29" t="s">
        <v>22</v>
      </c>
      <c r="B26" s="30">
        <v>832</v>
      </c>
      <c r="C26" s="31">
        <v>-97</v>
      </c>
      <c r="D26" s="32">
        <v>-97</v>
      </c>
      <c r="E26" s="32">
        <v>138</v>
      </c>
      <c r="F26" s="32">
        <v>4</v>
      </c>
      <c r="G26" s="32">
        <v>5</v>
      </c>
      <c r="H26" s="32">
        <v>8</v>
      </c>
      <c r="I26" s="33">
        <v>718.92</v>
      </c>
      <c r="J26" s="32">
        <v>10</v>
      </c>
      <c r="K26" s="34">
        <f>Table17891011121323578345[[#This Row],[On Time Counts]]/45</f>
        <v>0.22222222222222221</v>
      </c>
      <c r="L26" s="35">
        <v>6987.69</v>
      </c>
      <c r="M26" s="36">
        <f>Table17891011121323578345[[#This Row],[Wipers +/-]]/Table17891011121323578345[[#This Row],[Comp Sales]]</f>
        <v>7.1554404960723795E-4</v>
      </c>
      <c r="N26" s="37">
        <v>0</v>
      </c>
      <c r="O26" s="36">
        <f>Table17891011121323578345[[#This Row],[Big 4 Items]]/Table17891011121323578345[[#This Row],[Oil +/- ]]</f>
        <v>0</v>
      </c>
      <c r="P26" s="38">
        <f>J26/S26</f>
        <v>0.66666666666666663</v>
      </c>
      <c r="S26" s="6">
        <f t="shared" si="8"/>
        <v>15</v>
      </c>
    </row>
    <row r="27" spans="1:19" ht="15" hidden="1">
      <c r="A27" s="29" t="s">
        <v>23</v>
      </c>
      <c r="B27" s="30">
        <v>3</v>
      </c>
      <c r="C27" s="31">
        <v>-1934</v>
      </c>
      <c r="D27" s="32">
        <v>-2015</v>
      </c>
      <c r="E27" s="32">
        <v>-661</v>
      </c>
      <c r="F27" s="32">
        <v>33</v>
      </c>
      <c r="G27" s="32">
        <v>93</v>
      </c>
      <c r="H27" s="32">
        <v>13</v>
      </c>
      <c r="I27" s="33">
        <v>-5267.07</v>
      </c>
      <c r="J27" s="32">
        <v>7</v>
      </c>
      <c r="K27" s="34">
        <f>Table17891011121323578345[[#This Row],[On Time Counts]]/45</f>
        <v>0.15555555555555556</v>
      </c>
      <c r="L27" s="35">
        <v>5562.48</v>
      </c>
      <c r="M27" s="36">
        <f>Table17891011121323578345[[#This Row],[Wipers +/-]]/Table17891011121323578345[[#This Row],[Comp Sales]]</f>
        <v>1.6719161237433663E-2</v>
      </c>
      <c r="N27" s="37">
        <v>0</v>
      </c>
      <c r="O27" s="36">
        <f>Table17891011121323578345[[#This Row],[Big 4 Items]]/Table17891011121323578345[[#This Row],[Oil +/- ]]</f>
        <v>0</v>
      </c>
      <c r="P27" s="38">
        <f>J27/S27</f>
        <v>0.46666666666666667</v>
      </c>
      <c r="S27" s="6">
        <f t="shared" si="8"/>
        <v>15</v>
      </c>
    </row>
    <row r="28" spans="1:19" ht="15" hidden="1">
      <c r="A28" s="29" t="s">
        <v>23</v>
      </c>
      <c r="B28" s="30">
        <v>5</v>
      </c>
      <c r="C28" s="31">
        <v>3996</v>
      </c>
      <c r="D28" s="32">
        <v>142</v>
      </c>
      <c r="E28" s="32">
        <v>101</v>
      </c>
      <c r="F28" s="32">
        <v>12</v>
      </c>
      <c r="G28" s="32">
        <v>3</v>
      </c>
      <c r="H28" s="32">
        <v>10</v>
      </c>
      <c r="I28" s="33">
        <v>2259.2199999999998</v>
      </c>
      <c r="J28" s="32">
        <v>13</v>
      </c>
      <c r="K28" s="34">
        <f>Table17891011121323578345[[#This Row],[On Time Counts]]/45</f>
        <v>0.28888888888888886</v>
      </c>
      <c r="L28" s="35">
        <v>10385.27</v>
      </c>
      <c r="M28" s="36">
        <f>Table17891011121323578345[[#This Row],[Wipers +/-]]/Table17891011121323578345[[#This Row],[Comp Sales]]</f>
        <v>2.8887067933717656E-4</v>
      </c>
      <c r="N28" s="37">
        <v>0</v>
      </c>
      <c r="O28" s="36">
        <f>Table17891011121323578345[[#This Row],[Big 4 Items]]/Table17891011121323578345[[#This Row],[Oil +/- ]]</f>
        <v>0</v>
      </c>
      <c r="P28" s="38">
        <f>J28/S28</f>
        <v>0.8666666666666667</v>
      </c>
      <c r="S28" s="6">
        <f t="shared" si="8"/>
        <v>15</v>
      </c>
    </row>
    <row r="29" spans="1:19" ht="15" hidden="1">
      <c r="A29" s="29" t="s">
        <v>23</v>
      </c>
      <c r="B29" s="30">
        <v>11</v>
      </c>
      <c r="C29" s="31">
        <v>-410</v>
      </c>
      <c r="D29" s="32">
        <v>26</v>
      </c>
      <c r="E29" s="32">
        <v>130</v>
      </c>
      <c r="F29" s="32">
        <v>4</v>
      </c>
      <c r="G29" s="32">
        <v>1</v>
      </c>
      <c r="H29" s="32">
        <v>0</v>
      </c>
      <c r="I29" s="33">
        <v>-1562.96</v>
      </c>
      <c r="J29" s="32">
        <v>13</v>
      </c>
      <c r="K29" s="34">
        <f>Table17891011121323578345[[#This Row],[On Time Counts]]/45</f>
        <v>0.28888888888888886</v>
      </c>
      <c r="L29" s="35">
        <v>5512.41</v>
      </c>
      <c r="M29" s="36">
        <f>Table17891011121323578345[[#This Row],[Wipers +/-]]/Table17891011121323578345[[#This Row],[Comp Sales]]</f>
        <v>1.8140885746887478E-4</v>
      </c>
      <c r="N29" s="37">
        <v>0</v>
      </c>
      <c r="O29" s="36">
        <f>Table17891011121323578345[[#This Row],[Big 4 Items]]/Table17891011121323578345[[#This Row],[Oil +/- ]]</f>
        <v>0</v>
      </c>
      <c r="P29" s="38">
        <f>J29/S29</f>
        <v>0.8666666666666667</v>
      </c>
      <c r="S29" s="6">
        <f t="shared" si="8"/>
        <v>15</v>
      </c>
    </row>
    <row r="30" spans="1:19" ht="15" hidden="1">
      <c r="A30" s="29" t="s">
        <v>23</v>
      </c>
      <c r="B30" s="30">
        <v>14</v>
      </c>
      <c r="C30" s="31">
        <v>812</v>
      </c>
      <c r="D30" s="32">
        <v>816</v>
      </c>
      <c r="E30" s="32">
        <v>1</v>
      </c>
      <c r="F30" s="32"/>
      <c r="G30" s="32">
        <v>-5</v>
      </c>
      <c r="H30" s="32">
        <v>1</v>
      </c>
      <c r="I30" s="33">
        <v>2594.13</v>
      </c>
      <c r="J30" s="32">
        <v>7</v>
      </c>
      <c r="K30" s="34">
        <f>Table17891011121323578345[[#This Row],[On Time Counts]]/45</f>
        <v>0.15555555555555556</v>
      </c>
      <c r="L30" s="35">
        <v>7892.5</v>
      </c>
      <c r="M30" s="36">
        <f>Table17891011121323578345[[#This Row],[Wipers +/-]]/Table17891011121323578345[[#This Row],[Comp Sales]]</f>
        <v>-6.3351282863477985E-4</v>
      </c>
      <c r="N30" s="37">
        <v>0</v>
      </c>
      <c r="O30" s="36">
        <f>Table17891011121323578345[[#This Row],[Big 4 Items]]/Table17891011121323578345[[#This Row],[Oil +/- ]]</f>
        <v>0</v>
      </c>
      <c r="P30" s="38">
        <f>J30/S30</f>
        <v>0.46666666666666667</v>
      </c>
      <c r="S30" s="6">
        <f t="shared" si="8"/>
        <v>15</v>
      </c>
    </row>
    <row r="31" spans="1:19" ht="15" hidden="1">
      <c r="A31" s="29" t="s">
        <v>23</v>
      </c>
      <c r="B31" s="30">
        <v>20</v>
      </c>
      <c r="C31" s="31">
        <v>867</v>
      </c>
      <c r="D31" s="32">
        <v>-53</v>
      </c>
      <c r="E31" s="32">
        <v>-2</v>
      </c>
      <c r="F31" s="32">
        <v>0</v>
      </c>
      <c r="G31" s="32">
        <v>-6</v>
      </c>
      <c r="H31" s="32">
        <v>-5</v>
      </c>
      <c r="I31" s="33">
        <v>194.91</v>
      </c>
      <c r="J31" s="32">
        <v>6</v>
      </c>
      <c r="K31" s="34">
        <f>Table17891011121323578345[[#This Row],[On Time Counts]]/45</f>
        <v>0.13333333333333333</v>
      </c>
      <c r="L31" s="35">
        <v>3854.43</v>
      </c>
      <c r="M31" s="36">
        <f>Table17891011121323578345[[#This Row],[Wipers +/-]]/Table17891011121323578345[[#This Row],[Comp Sales]]</f>
        <v>-1.5566503996699902E-3</v>
      </c>
      <c r="N31" s="37">
        <v>0</v>
      </c>
      <c r="O31" s="36">
        <f>Table17891011121323578345[[#This Row],[Big 4 Items]]/Table17891011121323578345[[#This Row],[Oil +/- ]]</f>
        <v>0</v>
      </c>
      <c r="P31" s="38">
        <f>J31/S31</f>
        <v>0.4</v>
      </c>
      <c r="S31" s="6">
        <f t="shared" si="8"/>
        <v>15</v>
      </c>
    </row>
    <row r="32" spans="1:19" ht="15" hidden="1">
      <c r="A32" s="29" t="s">
        <v>23</v>
      </c>
      <c r="B32" s="30">
        <v>21</v>
      </c>
      <c r="C32" s="31">
        <v>-47</v>
      </c>
      <c r="D32" s="32">
        <v>6</v>
      </c>
      <c r="E32" s="32">
        <v>69</v>
      </c>
      <c r="F32" s="32">
        <v>-13</v>
      </c>
      <c r="G32" s="32">
        <v>0</v>
      </c>
      <c r="H32" s="32">
        <v>13</v>
      </c>
      <c r="I32" s="33">
        <v>-110.29</v>
      </c>
      <c r="J32" s="32">
        <v>14</v>
      </c>
      <c r="K32" s="34">
        <f>Table17891011121323578345[[#This Row],[On Time Counts]]/45</f>
        <v>0.31111111111111112</v>
      </c>
      <c r="L32" s="35">
        <v>6979.44</v>
      </c>
      <c r="M32" s="36">
        <f>Table17891011121323578345[[#This Row],[Wipers +/-]]/Table17891011121323578345[[#This Row],[Comp Sales]]</f>
        <v>0</v>
      </c>
      <c r="N32" s="37">
        <v>0</v>
      </c>
      <c r="O32" s="36">
        <f>Table17891011121323578345[[#This Row],[Big 4 Items]]/Table17891011121323578345[[#This Row],[Oil +/- ]]</f>
        <v>0</v>
      </c>
      <c r="P32" s="38">
        <f>J32/S32</f>
        <v>0.93333333333333335</v>
      </c>
      <c r="S32" s="6">
        <f t="shared" si="8"/>
        <v>15</v>
      </c>
    </row>
    <row r="33" spans="1:19" ht="15" hidden="1">
      <c r="A33" s="29" t="s">
        <v>23</v>
      </c>
      <c r="B33" s="30">
        <v>23</v>
      </c>
      <c r="C33" s="31">
        <v>490</v>
      </c>
      <c r="D33" s="32">
        <v>276</v>
      </c>
      <c r="E33" s="32">
        <v>-2</v>
      </c>
      <c r="F33" s="32">
        <v>-6</v>
      </c>
      <c r="G33" s="32">
        <v>-23</v>
      </c>
      <c r="H33" s="32">
        <v>6</v>
      </c>
      <c r="I33" s="33">
        <v>289.55</v>
      </c>
      <c r="J33" s="32">
        <v>10</v>
      </c>
      <c r="K33" s="34">
        <f>Table17891011121323578345[[#This Row],[On Time Counts]]/45</f>
        <v>0.22222222222222221</v>
      </c>
      <c r="L33" s="35">
        <v>7573.54</v>
      </c>
      <c r="M33" s="36">
        <f>Table17891011121323578345[[#This Row],[Wipers +/-]]/Table17891011121323578345[[#This Row],[Comp Sales]]</f>
        <v>-3.0368889581358256E-3</v>
      </c>
      <c r="N33" s="37">
        <v>0</v>
      </c>
      <c r="O33" s="36">
        <f>Table17891011121323578345[[#This Row],[Big 4 Items]]/Table17891011121323578345[[#This Row],[Oil +/- ]]</f>
        <v>0</v>
      </c>
      <c r="P33" s="38">
        <f>J33/S33</f>
        <v>0.66666666666666663</v>
      </c>
      <c r="S33" s="6">
        <f t="shared" si="8"/>
        <v>15</v>
      </c>
    </row>
    <row r="34" spans="1:19" ht="15" hidden="1">
      <c r="A34" s="29" t="s">
        <v>23</v>
      </c>
      <c r="B34" s="30">
        <v>24</v>
      </c>
      <c r="C34" s="31">
        <v>49</v>
      </c>
      <c r="D34" s="32">
        <v>49</v>
      </c>
      <c r="E34" s="32">
        <v>28</v>
      </c>
      <c r="F34" s="32">
        <v>-8</v>
      </c>
      <c r="G34" s="32">
        <v>-2</v>
      </c>
      <c r="H34" s="32">
        <v>2</v>
      </c>
      <c r="I34" s="33">
        <v>-244.5</v>
      </c>
      <c r="J34" s="32">
        <v>10</v>
      </c>
      <c r="K34" s="34">
        <f>Table17891011121323578345[[#This Row],[On Time Counts]]/45</f>
        <v>0.22222222222222221</v>
      </c>
      <c r="L34" s="35">
        <v>5842.02</v>
      </c>
      <c r="M34" s="36">
        <f>Table17891011121323578345[[#This Row],[Wipers +/-]]/Table17891011121323578345[[#This Row],[Comp Sales]]</f>
        <v>-3.4234733876296208E-4</v>
      </c>
      <c r="N34" s="37">
        <v>0</v>
      </c>
      <c r="O34" s="36">
        <f>Table17891011121323578345[[#This Row],[Big 4 Items]]/Table17891011121323578345[[#This Row],[Oil +/- ]]</f>
        <v>0</v>
      </c>
      <c r="P34" s="38">
        <f>J34/S34</f>
        <v>0.66666666666666663</v>
      </c>
      <c r="S34" s="6">
        <f t="shared" si="8"/>
        <v>15</v>
      </c>
    </row>
    <row r="35" spans="1:19" ht="15" hidden="1">
      <c r="A35" s="29" t="s">
        <v>23</v>
      </c>
      <c r="B35" s="30">
        <v>26</v>
      </c>
      <c r="C35" s="31">
        <v>-207</v>
      </c>
      <c r="D35" s="32">
        <v>-197</v>
      </c>
      <c r="E35" s="32"/>
      <c r="F35" s="32">
        <v>32</v>
      </c>
      <c r="G35" s="32">
        <v>55</v>
      </c>
      <c r="H35" s="32">
        <v>9</v>
      </c>
      <c r="I35" s="33">
        <v>-1236.49</v>
      </c>
      <c r="J35" s="32">
        <v>6</v>
      </c>
      <c r="K35" s="34">
        <f>Table17891011121323578345[[#This Row],[On Time Counts]]/45</f>
        <v>0.13333333333333333</v>
      </c>
      <c r="L35" s="35">
        <v>6567.35</v>
      </c>
      <c r="M35" s="36">
        <f>Table17891011121323578345[[#This Row],[Wipers +/-]]/Table17891011121323578345[[#This Row],[Comp Sales]]</f>
        <v>8.3747630322732903E-3</v>
      </c>
      <c r="N35" s="37">
        <v>0</v>
      </c>
      <c r="O35" s="36">
        <f>Table17891011121323578345[[#This Row],[Big 4 Items]]/Table17891011121323578345[[#This Row],[Oil +/- ]]</f>
        <v>0</v>
      </c>
      <c r="P35" s="38">
        <f>J35/S35</f>
        <v>0.4</v>
      </c>
      <c r="S35" s="6">
        <f t="shared" si="8"/>
        <v>15</v>
      </c>
    </row>
    <row r="36" spans="1:19" ht="15" hidden="1">
      <c r="A36" s="29" t="s">
        <v>24</v>
      </c>
      <c r="B36" s="30">
        <v>46</v>
      </c>
      <c r="C36" s="31">
        <v>248</v>
      </c>
      <c r="D36" s="32">
        <v>265</v>
      </c>
      <c r="E36" s="32">
        <v>5</v>
      </c>
      <c r="F36" s="32">
        <v>0</v>
      </c>
      <c r="G36" s="32"/>
      <c r="H36" s="32">
        <v>1</v>
      </c>
      <c r="I36" s="33">
        <v>750.57</v>
      </c>
      <c r="J36" s="32">
        <v>10</v>
      </c>
      <c r="K36" s="34">
        <f>Table17891011121323578345[[#This Row],[On Time Counts]]/45</f>
        <v>0.22222222222222221</v>
      </c>
      <c r="L36" s="35">
        <v>5286.48</v>
      </c>
      <c r="M36" s="36">
        <f>Table17891011121323578345[[#This Row],[Wipers +/-]]/Table17891011121323578345[[#This Row],[Comp Sales]]</f>
        <v>0</v>
      </c>
      <c r="N36" s="37">
        <v>0</v>
      </c>
      <c r="O36" s="36">
        <f>Table17891011121323578345[[#This Row],[Big 4 Items]]/Table17891011121323578345[[#This Row],[Oil +/- ]]</f>
        <v>0</v>
      </c>
      <c r="P36" s="38">
        <f>J36/S36</f>
        <v>0.66666666666666663</v>
      </c>
      <c r="S36" s="6">
        <f t="shared" si="8"/>
        <v>15</v>
      </c>
    </row>
    <row r="37" spans="1:19" ht="15" hidden="1">
      <c r="A37" s="29" t="s">
        <v>24</v>
      </c>
      <c r="B37" s="30">
        <v>283</v>
      </c>
      <c r="C37" s="31">
        <v>-260</v>
      </c>
      <c r="D37" s="32">
        <v>430</v>
      </c>
      <c r="E37" s="32">
        <v>133</v>
      </c>
      <c r="F37" s="32">
        <v>41</v>
      </c>
      <c r="G37" s="32">
        <v>167</v>
      </c>
      <c r="H37" s="32">
        <v>9</v>
      </c>
      <c r="I37" s="33">
        <v>3864.05</v>
      </c>
      <c r="J37" s="32">
        <v>6</v>
      </c>
      <c r="K37" s="34">
        <f>Table17891011121323578345[[#This Row],[On Time Counts]]/45</f>
        <v>0.13333333333333333</v>
      </c>
      <c r="L37" s="35">
        <v>4596.08</v>
      </c>
      <c r="M37" s="36">
        <f>Table17891011121323578345[[#This Row],[Wipers +/-]]/Table17891011121323578345[[#This Row],[Comp Sales]]</f>
        <v>3.6335311830951594E-2</v>
      </c>
      <c r="N37" s="39">
        <v>0</v>
      </c>
      <c r="O37" s="36">
        <f>Table17891011121323578345[[#This Row],[Big 4 Items]]/Table17891011121323578345[[#This Row],[Oil +/- ]]</f>
        <v>0</v>
      </c>
      <c r="P37" s="38">
        <f>J37/S37</f>
        <v>0.4</v>
      </c>
      <c r="S37" s="6">
        <f t="shared" si="8"/>
        <v>15</v>
      </c>
    </row>
    <row r="38" spans="1:19" ht="15" hidden="1">
      <c r="A38" s="29" t="s">
        <v>24</v>
      </c>
      <c r="B38" s="30">
        <v>847</v>
      </c>
      <c r="C38" s="31">
        <v>710</v>
      </c>
      <c r="D38" s="32">
        <v>710</v>
      </c>
      <c r="E38" s="32"/>
      <c r="F38" s="32">
        <v>2</v>
      </c>
      <c r="G38" s="32"/>
      <c r="H38" s="32">
        <v>-10</v>
      </c>
      <c r="I38" s="33">
        <v>3832.78</v>
      </c>
      <c r="J38" s="32">
        <v>4</v>
      </c>
      <c r="K38" s="34">
        <f>Table17891011121323578345[[#This Row],[On Time Counts]]/45</f>
        <v>8.8888888888888892E-2</v>
      </c>
      <c r="L38" s="35">
        <v>7096.63</v>
      </c>
      <c r="M38" s="36">
        <f>Table17891011121323578345[[#This Row],[Wipers +/-]]/Table17891011121323578345[[#This Row],[Comp Sales]]</f>
        <v>0</v>
      </c>
      <c r="N38" s="37">
        <v>0</v>
      </c>
      <c r="O38" s="36">
        <f>Table17891011121323578345[[#This Row],[Big 4 Items]]/Table17891011121323578345[[#This Row],[Oil +/- ]]</f>
        <v>0</v>
      </c>
      <c r="P38" s="38">
        <f>J38/S38</f>
        <v>0.26666666666666666</v>
      </c>
      <c r="S38" s="6">
        <f t="shared" si="8"/>
        <v>15</v>
      </c>
    </row>
    <row r="39" spans="1:19" ht="15" hidden="1">
      <c r="A39" s="29" t="s">
        <v>24</v>
      </c>
      <c r="B39" s="30">
        <v>865</v>
      </c>
      <c r="C39" s="31">
        <v>-86</v>
      </c>
      <c r="D39" s="32">
        <v>-120</v>
      </c>
      <c r="E39" s="32">
        <v>2</v>
      </c>
      <c r="F39" s="32">
        <v>-4</v>
      </c>
      <c r="G39" s="32">
        <v>-1</v>
      </c>
      <c r="H39" s="32">
        <v>-14</v>
      </c>
      <c r="I39" s="33">
        <v>-345.16</v>
      </c>
      <c r="J39" s="32">
        <v>8</v>
      </c>
      <c r="K39" s="34">
        <f>Table17891011121323578345[[#This Row],[On Time Counts]]/45</f>
        <v>0.17777777777777778</v>
      </c>
      <c r="L39" s="35">
        <v>6662.04</v>
      </c>
      <c r="M39" s="36">
        <f>Table17891011121323578345[[#This Row],[Wipers +/-]]/Table17891011121323578345[[#This Row],[Comp Sales]]</f>
        <v>-1.5010417229557312E-4</v>
      </c>
      <c r="N39" s="37">
        <v>0</v>
      </c>
      <c r="O39" s="36">
        <f>Table17891011121323578345[[#This Row],[Big 4 Items]]/Table17891011121323578345[[#This Row],[Oil +/- ]]</f>
        <v>0</v>
      </c>
      <c r="P39" s="38">
        <f>J39/S39</f>
        <v>0.53333333333333333</v>
      </c>
      <c r="S39" s="6">
        <f t="shared" si="8"/>
        <v>15</v>
      </c>
    </row>
    <row r="40" spans="1:19" ht="15" hidden="1">
      <c r="A40" s="29" t="s">
        <v>24</v>
      </c>
      <c r="B40" s="30">
        <v>919</v>
      </c>
      <c r="C40" s="31">
        <v>-11</v>
      </c>
      <c r="D40" s="32">
        <v>-10</v>
      </c>
      <c r="E40" s="32">
        <v>24</v>
      </c>
      <c r="F40" s="32">
        <v>-1</v>
      </c>
      <c r="G40" s="32">
        <v>-1</v>
      </c>
      <c r="H40" s="32">
        <v>0</v>
      </c>
      <c r="I40" s="33">
        <v>24.55</v>
      </c>
      <c r="J40" s="32">
        <v>9</v>
      </c>
      <c r="K40" s="34">
        <f>Table17891011121323578345[[#This Row],[On Time Counts]]/45</f>
        <v>0.2</v>
      </c>
      <c r="L40" s="35">
        <v>3219.44</v>
      </c>
      <c r="M40" s="36">
        <f>Table17891011121323578345[[#This Row],[Wipers +/-]]/Table17891011121323578345[[#This Row],[Comp Sales]]</f>
        <v>-3.1061302586785278E-4</v>
      </c>
      <c r="N40" s="37">
        <v>0</v>
      </c>
      <c r="O40" s="36">
        <f>Table17891011121323578345[[#This Row],[Big 4 Items]]/Table17891011121323578345[[#This Row],[Oil +/- ]]</f>
        <v>0</v>
      </c>
      <c r="P40" s="38">
        <f>J40/S40</f>
        <v>0.6</v>
      </c>
      <c r="S40" s="6">
        <f t="shared" si="8"/>
        <v>15</v>
      </c>
    </row>
    <row r="41" spans="1:19" ht="15" hidden="1">
      <c r="A41" s="29" t="s">
        <v>24</v>
      </c>
      <c r="B41" s="30">
        <v>954</v>
      </c>
      <c r="C41" s="31">
        <v>209</v>
      </c>
      <c r="D41" s="32">
        <v>209</v>
      </c>
      <c r="E41" s="32"/>
      <c r="F41" s="32"/>
      <c r="G41" s="32">
        <v>0</v>
      </c>
      <c r="H41" s="32">
        <v>0</v>
      </c>
      <c r="I41" s="33">
        <v>704.98</v>
      </c>
      <c r="J41" s="32">
        <v>3</v>
      </c>
      <c r="K41" s="34">
        <f>Table17891011121323578345[[#This Row],[On Time Counts]]/45</f>
        <v>6.6666666666666666E-2</v>
      </c>
      <c r="L41" s="35"/>
      <c r="M41" s="36" t="e">
        <f>Table17891011121323578345[[#This Row],[Wipers +/-]]/Table17891011121323578345[[#This Row],[Comp Sales]]</f>
        <v>#DIV/0!</v>
      </c>
      <c r="N41" s="39"/>
      <c r="O41" s="36">
        <f>Table17891011121323578345[[#This Row],[Big 4 Items]]/Table17891011121323578345[[#This Row],[Oil +/- ]]</f>
        <v>0</v>
      </c>
      <c r="P41" s="38">
        <f>J41/S41</f>
        <v>0.2</v>
      </c>
      <c r="S41" s="6">
        <f t="shared" si="8"/>
        <v>15</v>
      </c>
    </row>
    <row r="42" spans="1:19" ht="15" hidden="1">
      <c r="A42" s="29" t="s">
        <v>24</v>
      </c>
      <c r="B42" s="30">
        <v>3017</v>
      </c>
      <c r="C42" s="31">
        <v>932</v>
      </c>
      <c r="D42" s="32">
        <v>968</v>
      </c>
      <c r="E42" s="32">
        <v>15</v>
      </c>
      <c r="F42" s="32">
        <v>43</v>
      </c>
      <c r="G42" s="32">
        <v>-11</v>
      </c>
      <c r="H42" s="32">
        <v>-11</v>
      </c>
      <c r="I42" s="33">
        <v>5461.01</v>
      </c>
      <c r="J42" s="32">
        <v>10</v>
      </c>
      <c r="K42" s="34">
        <f>Table17891011121323578345[[#This Row],[On Time Counts]]/45</f>
        <v>0.22222222222222221</v>
      </c>
      <c r="L42" s="35">
        <v>3981.57</v>
      </c>
      <c r="M42" s="36">
        <f>Table17891011121323578345[[#This Row],[Wipers +/-]]/Table17891011121323578345[[#This Row],[Comp Sales]]</f>
        <v>-2.7627292751351853E-3</v>
      </c>
      <c r="N42" s="37">
        <v>0</v>
      </c>
      <c r="O42" s="36">
        <f>Table17891011121323578345[[#This Row],[Big 4 Items]]/Table17891011121323578345[[#This Row],[Oil +/- ]]</f>
        <v>0</v>
      </c>
      <c r="P42" s="38">
        <f>J42/S42</f>
        <v>0.66666666666666663</v>
      </c>
      <c r="S42" s="6">
        <f t="shared" si="8"/>
        <v>15</v>
      </c>
    </row>
    <row r="43" spans="1:19" ht="15" hidden="1">
      <c r="A43" s="29" t="s">
        <v>25</v>
      </c>
      <c r="B43" s="30">
        <v>29</v>
      </c>
      <c r="C43" s="31">
        <v>2556</v>
      </c>
      <c r="D43" s="32">
        <v>202</v>
      </c>
      <c r="E43" s="32">
        <v>3</v>
      </c>
      <c r="F43" s="32">
        <v>2</v>
      </c>
      <c r="G43" s="32">
        <v>-101</v>
      </c>
      <c r="H43" s="32">
        <v>-7</v>
      </c>
      <c r="I43" s="33">
        <v>1262.77</v>
      </c>
      <c r="J43" s="32">
        <v>9</v>
      </c>
      <c r="K43" s="34">
        <f>Table17891011121323578345[[#This Row],[On Time Counts]]/45</f>
        <v>0.2</v>
      </c>
      <c r="L43" s="35">
        <v>4219.46</v>
      </c>
      <c r="M43" s="36">
        <f>Table17891011121323578345[[#This Row],[Wipers +/-]]/Table17891011121323578345[[#This Row],[Comp Sales]]</f>
        <v>-2.3936712280718385E-2</v>
      </c>
      <c r="N43" s="37">
        <v>0</v>
      </c>
      <c r="O43" s="36">
        <f>Table17891011121323578345[[#This Row],[Big 4 Items]]/Table17891011121323578345[[#This Row],[Oil +/- ]]</f>
        <v>0</v>
      </c>
      <c r="P43" s="38">
        <f>J43/S43</f>
        <v>0.6</v>
      </c>
      <c r="S43" s="6">
        <f t="shared" si="8"/>
        <v>15</v>
      </c>
    </row>
    <row r="44" spans="1:19" ht="15" hidden="1">
      <c r="A44" s="29" t="s">
        <v>25</v>
      </c>
      <c r="B44" s="30">
        <v>40</v>
      </c>
      <c r="C44" s="31">
        <v>186</v>
      </c>
      <c r="D44" s="32">
        <v>186</v>
      </c>
      <c r="E44" s="32">
        <v>-2</v>
      </c>
      <c r="F44" s="32">
        <v>7</v>
      </c>
      <c r="G44" s="32">
        <v>-78</v>
      </c>
      <c r="H44" s="32">
        <v>30</v>
      </c>
      <c r="I44" s="33">
        <v>468.56</v>
      </c>
      <c r="J44" s="32">
        <v>9</v>
      </c>
      <c r="K44" s="34">
        <f>Table17891011121323578345[[#This Row],[On Time Counts]]/45</f>
        <v>0.2</v>
      </c>
      <c r="L44" s="35">
        <v>6761.54</v>
      </c>
      <c r="M44" s="36">
        <f>Table17891011121323578345[[#This Row],[Wipers +/-]]/Table17891011121323578345[[#This Row],[Comp Sales]]</f>
        <v>-1.1535833552711365E-2</v>
      </c>
      <c r="N44" s="37">
        <v>0</v>
      </c>
      <c r="O44" s="36">
        <f>Table17891011121323578345[[#This Row],[Big 4 Items]]/Table17891011121323578345[[#This Row],[Oil +/- ]]</f>
        <v>0</v>
      </c>
      <c r="P44" s="38">
        <f>J44/S44</f>
        <v>0.6</v>
      </c>
      <c r="S44" s="6">
        <f t="shared" si="8"/>
        <v>15</v>
      </c>
    </row>
    <row r="45" spans="1:19" ht="15" hidden="1">
      <c r="A45" s="29" t="s">
        <v>25</v>
      </c>
      <c r="B45" s="30">
        <v>280</v>
      </c>
      <c r="C45" s="31">
        <v>313</v>
      </c>
      <c r="D45" s="32">
        <v>125</v>
      </c>
      <c r="E45" s="32">
        <v>1</v>
      </c>
      <c r="F45" s="32">
        <v>-1</v>
      </c>
      <c r="G45" s="32">
        <v>8</v>
      </c>
      <c r="H45" s="32">
        <v>-4</v>
      </c>
      <c r="I45" s="33">
        <v>755.06</v>
      </c>
      <c r="J45" s="32">
        <v>13</v>
      </c>
      <c r="K45" s="34">
        <f>Table17891011121323578345[[#This Row],[On Time Counts]]/45</f>
        <v>0.28888888888888886</v>
      </c>
      <c r="L45" s="35">
        <v>4100.43</v>
      </c>
      <c r="M45" s="36">
        <f>Table17891011121323578345[[#This Row],[Wipers +/-]]/Table17891011121323578345[[#This Row],[Comp Sales]]</f>
        <v>1.9510148935599435E-3</v>
      </c>
      <c r="N45" s="37">
        <v>0</v>
      </c>
      <c r="O45" s="36">
        <f>Table17891011121323578345[[#This Row],[Big 4 Items]]/Table17891011121323578345[[#This Row],[Oil +/- ]]</f>
        <v>0</v>
      </c>
      <c r="P45" s="38">
        <f>J45/S45</f>
        <v>0.8666666666666667</v>
      </c>
      <c r="S45" s="6">
        <f t="shared" si="8"/>
        <v>15</v>
      </c>
    </row>
    <row r="46" spans="1:19" ht="15" hidden="1">
      <c r="A46" s="29" t="s">
        <v>25</v>
      </c>
      <c r="B46" s="30">
        <v>599</v>
      </c>
      <c r="C46" s="31">
        <v>-16</v>
      </c>
      <c r="D46" s="32">
        <v>-24</v>
      </c>
      <c r="E46" s="32">
        <v>-13</v>
      </c>
      <c r="F46" s="32">
        <v>-4</v>
      </c>
      <c r="G46" s="32">
        <v>12</v>
      </c>
      <c r="H46" s="32">
        <v>7</v>
      </c>
      <c r="I46" s="33">
        <v>61.28</v>
      </c>
      <c r="J46" s="32">
        <v>10</v>
      </c>
      <c r="K46" s="34">
        <f>Table17891011121323578345[[#This Row],[On Time Counts]]/45</f>
        <v>0.22222222222222221</v>
      </c>
      <c r="L46" s="35">
        <v>2513.65</v>
      </c>
      <c r="M46" s="36">
        <f>Table17891011121323578345[[#This Row],[Wipers +/-]]/Table17891011121323578345[[#This Row],[Comp Sales]]</f>
        <v>4.7739343186203329E-3</v>
      </c>
      <c r="N46" s="37">
        <v>0</v>
      </c>
      <c r="O46" s="36">
        <f>Table17891011121323578345[[#This Row],[Big 4 Items]]/Table17891011121323578345[[#This Row],[Oil +/- ]]</f>
        <v>0</v>
      </c>
      <c r="P46" s="38">
        <f>J46/S46</f>
        <v>0.66666666666666663</v>
      </c>
      <c r="S46" s="6">
        <f t="shared" si="8"/>
        <v>15</v>
      </c>
    </row>
    <row r="47" spans="1:19" ht="15" hidden="1">
      <c r="A47" s="29" t="s">
        <v>25</v>
      </c>
      <c r="B47" s="30">
        <v>720</v>
      </c>
      <c r="C47" s="31">
        <v>-97</v>
      </c>
      <c r="D47" s="32">
        <v>-97</v>
      </c>
      <c r="E47" s="32">
        <v>84</v>
      </c>
      <c r="F47" s="32">
        <v>1</v>
      </c>
      <c r="G47" s="32">
        <v>4</v>
      </c>
      <c r="H47" s="32">
        <v>-7</v>
      </c>
      <c r="I47" s="33">
        <v>-17.809999999999999</v>
      </c>
      <c r="J47" s="32">
        <v>7</v>
      </c>
      <c r="K47" s="34">
        <f>Table17891011121323578345[[#This Row],[On Time Counts]]/45</f>
        <v>0.15555555555555556</v>
      </c>
      <c r="L47" s="35">
        <v>2026.59</v>
      </c>
      <c r="M47" s="36">
        <f>Table17891011121323578345[[#This Row],[Wipers +/-]]/Table17891011121323578345[[#This Row],[Comp Sales]]</f>
        <v>1.9737588757469445E-3</v>
      </c>
      <c r="N47" s="37">
        <v>0</v>
      </c>
      <c r="O47" s="36">
        <f>Table17891011121323578345[[#This Row],[Big 4 Items]]/Table17891011121323578345[[#This Row],[Oil +/- ]]</f>
        <v>0</v>
      </c>
      <c r="P47" s="38">
        <f>J47/S47</f>
        <v>0.46666666666666667</v>
      </c>
      <c r="S47" s="6">
        <f t="shared" si="8"/>
        <v>15</v>
      </c>
    </row>
    <row r="48" spans="1:19" ht="15" hidden="1">
      <c r="A48" s="29" t="s">
        <v>25</v>
      </c>
      <c r="B48" s="30">
        <v>728</v>
      </c>
      <c r="C48" s="31">
        <v>-22</v>
      </c>
      <c r="D48" s="32">
        <v>-22</v>
      </c>
      <c r="E48" s="32">
        <v>0</v>
      </c>
      <c r="F48" s="32">
        <v>-3</v>
      </c>
      <c r="G48" s="32">
        <v>-8</v>
      </c>
      <c r="H48" s="32">
        <v>0</v>
      </c>
      <c r="I48" s="33">
        <v>258.72000000000003</v>
      </c>
      <c r="J48" s="32">
        <v>10</v>
      </c>
      <c r="K48" s="34">
        <f>Table17891011121323578345[[#This Row],[On Time Counts]]/45</f>
        <v>0.22222222222222221</v>
      </c>
      <c r="L48" s="35">
        <v>0</v>
      </c>
      <c r="M48" s="36" t="e">
        <f>Table17891011121323578345[[#This Row],[Wipers +/-]]/Table17891011121323578345[[#This Row],[Comp Sales]]</f>
        <v>#DIV/0!</v>
      </c>
      <c r="N48" s="37">
        <v>0</v>
      </c>
      <c r="O48" s="36">
        <f>Table17891011121323578345[[#This Row],[Big 4 Items]]/Table17891011121323578345[[#This Row],[Oil +/- ]]</f>
        <v>0</v>
      </c>
      <c r="P48" s="38">
        <f>J48/S48</f>
        <v>0.66666666666666663</v>
      </c>
      <c r="S48" s="6">
        <f t="shared" si="8"/>
        <v>15</v>
      </c>
    </row>
    <row r="49" spans="1:19" ht="15" hidden="1">
      <c r="A49" s="29" t="s">
        <v>25</v>
      </c>
      <c r="B49" s="30">
        <v>830</v>
      </c>
      <c r="C49" s="31">
        <v>33</v>
      </c>
      <c r="D49" s="32">
        <v>28</v>
      </c>
      <c r="E49" s="32">
        <v>33</v>
      </c>
      <c r="F49" s="32">
        <v>2</v>
      </c>
      <c r="G49" s="32">
        <v>0</v>
      </c>
      <c r="H49" s="32">
        <v>-26</v>
      </c>
      <c r="I49" s="33">
        <v>130.19999999999999</v>
      </c>
      <c r="J49" s="32">
        <v>7</v>
      </c>
      <c r="K49" s="34">
        <f>Table17891011121323578345[[#This Row],[On Time Counts]]/45</f>
        <v>0.15555555555555556</v>
      </c>
      <c r="L49" s="35">
        <v>3487.35</v>
      </c>
      <c r="M49" s="36">
        <f>Table17891011121323578345[[#This Row],[Wipers +/-]]/Table17891011121323578345[[#This Row],[Comp Sales]]</f>
        <v>0</v>
      </c>
      <c r="N49" s="37">
        <v>0</v>
      </c>
      <c r="O49" s="36">
        <f>Table17891011121323578345[[#This Row],[Big 4 Items]]/Table17891011121323578345[[#This Row],[Oil +/- ]]</f>
        <v>0</v>
      </c>
      <c r="P49" s="38">
        <f>J49/S49</f>
        <v>0.46666666666666667</v>
      </c>
      <c r="S49" s="6">
        <f t="shared" si="8"/>
        <v>15</v>
      </c>
    </row>
    <row r="50" spans="1:19" ht="15" hidden="1">
      <c r="A50" s="29" t="s">
        <v>25</v>
      </c>
      <c r="B50" s="30">
        <v>975</v>
      </c>
      <c r="C50" s="31">
        <v>-48</v>
      </c>
      <c r="D50" s="32">
        <v>-48</v>
      </c>
      <c r="E50" s="32">
        <v>-35</v>
      </c>
      <c r="F50" s="32"/>
      <c r="G50" s="32">
        <v>8</v>
      </c>
      <c r="H50" s="32">
        <v>-2</v>
      </c>
      <c r="I50" s="33">
        <v>-137.66</v>
      </c>
      <c r="J50" s="32">
        <v>9</v>
      </c>
      <c r="K50" s="34">
        <f>Table17891011121323578345[[#This Row],[On Time Counts]]/45</f>
        <v>0.2</v>
      </c>
      <c r="L50" s="35">
        <v>3488.35</v>
      </c>
      <c r="M50" s="36">
        <f>Table17891011121323578345[[#This Row],[Wipers +/-]]/Table17891011121323578345[[#This Row],[Comp Sales]]</f>
        <v>2.2933478578697664E-3</v>
      </c>
      <c r="N50" s="37">
        <v>1</v>
      </c>
      <c r="O50" s="36">
        <f>Table17891011121323578345[[#This Row],[Big 4 Items]]/Table17891011121323578345[[#This Row],[Oil +/- ]]</f>
        <v>-2.0833333333333332E-2</v>
      </c>
      <c r="P50" s="38">
        <f>J50/S50</f>
        <v>0.6</v>
      </c>
      <c r="S50" s="6">
        <f t="shared" si="8"/>
        <v>15</v>
      </c>
    </row>
    <row r="51" spans="1:19" ht="15" hidden="1">
      <c r="A51" s="29" t="s">
        <v>26</v>
      </c>
      <c r="B51" s="30">
        <v>1</v>
      </c>
      <c r="C51" s="31">
        <v>-645</v>
      </c>
      <c r="D51" s="32">
        <v>-645</v>
      </c>
      <c r="E51" s="32">
        <v>73</v>
      </c>
      <c r="F51" s="32">
        <v>6</v>
      </c>
      <c r="G51" s="32">
        <v>2</v>
      </c>
      <c r="H51" s="32">
        <v>10</v>
      </c>
      <c r="I51" s="33">
        <v>-6266.7</v>
      </c>
      <c r="J51" s="32">
        <v>15</v>
      </c>
      <c r="K51" s="34">
        <f>Table17891011121323578345[[#This Row],[On Time Counts]]/45</f>
        <v>0.33333333333333331</v>
      </c>
      <c r="L51" s="35">
        <v>1986.68</v>
      </c>
      <c r="M51" s="36">
        <f>Table17891011121323578345[[#This Row],[Wipers +/-]]/Table17891011121323578345[[#This Row],[Comp Sales]]</f>
        <v>1.006704652988906E-3</v>
      </c>
      <c r="N51" s="37">
        <v>0</v>
      </c>
      <c r="O51" s="36">
        <f>Table17891011121323578345[[#This Row],[Big 4 Items]]/Table17891011121323578345[[#This Row],[Oil +/- ]]</f>
        <v>0</v>
      </c>
      <c r="P51" s="38">
        <f>J51/S51</f>
        <v>1</v>
      </c>
      <c r="S51" s="6">
        <f t="shared" si="8"/>
        <v>15</v>
      </c>
    </row>
    <row r="52" spans="1:19" ht="15" hidden="1">
      <c r="A52" s="29" t="s">
        <v>26</v>
      </c>
      <c r="B52" s="30">
        <v>2</v>
      </c>
      <c r="C52" s="31">
        <v>-136</v>
      </c>
      <c r="D52" s="32">
        <v>-136</v>
      </c>
      <c r="E52" s="32">
        <v>7</v>
      </c>
      <c r="F52" s="32">
        <v>4</v>
      </c>
      <c r="G52" s="32">
        <v>1</v>
      </c>
      <c r="H52" s="32">
        <v>3</v>
      </c>
      <c r="I52" s="33">
        <v>-249.46</v>
      </c>
      <c r="J52" s="32">
        <v>10</v>
      </c>
      <c r="K52" s="34">
        <f>Table17891011121323578345[[#This Row],[On Time Counts]]/45</f>
        <v>0.22222222222222221</v>
      </c>
      <c r="L52" s="35">
        <v>2791.49</v>
      </c>
      <c r="M52" s="36">
        <f>Table17891011121323578345[[#This Row],[Wipers +/-]]/Table17891011121323578345[[#This Row],[Comp Sales]]</f>
        <v>3.5823162540435399E-4</v>
      </c>
      <c r="N52" s="37">
        <v>0</v>
      </c>
      <c r="O52" s="36">
        <f>Table17891011121323578345[[#This Row],[Big 4 Items]]/Table17891011121323578345[[#This Row],[Oil +/- ]]</f>
        <v>0</v>
      </c>
      <c r="P52" s="38">
        <f>J52/S52</f>
        <v>0.66666666666666663</v>
      </c>
      <c r="S52" s="6">
        <f t="shared" si="8"/>
        <v>15</v>
      </c>
    </row>
    <row r="53" spans="1:19" ht="15" hidden="1">
      <c r="A53" s="29" t="s">
        <v>26</v>
      </c>
      <c r="B53" s="30">
        <v>4</v>
      </c>
      <c r="C53" s="31">
        <v>1107</v>
      </c>
      <c r="D53" s="32">
        <v>9</v>
      </c>
      <c r="E53" s="32">
        <v>30</v>
      </c>
      <c r="F53" s="32">
        <v>27</v>
      </c>
      <c r="G53" s="32">
        <v>0</v>
      </c>
      <c r="H53" s="32">
        <v>10</v>
      </c>
      <c r="I53" s="33">
        <v>1288.1500000000001</v>
      </c>
      <c r="J53" s="32">
        <v>12</v>
      </c>
      <c r="K53" s="34">
        <f>Table17891011121323578345[[#This Row],[On Time Counts]]/45</f>
        <v>0.26666666666666666</v>
      </c>
      <c r="L53" s="35">
        <v>5684.97</v>
      </c>
      <c r="M53" s="36">
        <f>Table17891011121323578345[[#This Row],[Wipers +/-]]/Table17891011121323578345[[#This Row],[Comp Sales]]</f>
        <v>0</v>
      </c>
      <c r="N53" s="37">
        <v>0</v>
      </c>
      <c r="O53" s="36">
        <f>Table17891011121323578345[[#This Row],[Big 4 Items]]/Table17891011121323578345[[#This Row],[Oil +/- ]]</f>
        <v>0</v>
      </c>
      <c r="P53" s="38">
        <f>J53/S53</f>
        <v>0.8</v>
      </c>
      <c r="S53" s="6">
        <f t="shared" si="8"/>
        <v>15</v>
      </c>
    </row>
    <row r="54" spans="1:19" ht="15" hidden="1">
      <c r="A54" s="29" t="s">
        <v>26</v>
      </c>
      <c r="B54" s="30">
        <v>6</v>
      </c>
      <c r="C54" s="31">
        <v>-87</v>
      </c>
      <c r="D54" s="32">
        <v>-87</v>
      </c>
      <c r="E54" s="32">
        <v>4</v>
      </c>
      <c r="F54" s="32">
        <v>1</v>
      </c>
      <c r="G54" s="32">
        <v>0</v>
      </c>
      <c r="H54" s="32">
        <v>-3</v>
      </c>
      <c r="I54" s="33">
        <v>-147.13</v>
      </c>
      <c r="J54" s="32">
        <v>11</v>
      </c>
      <c r="K54" s="34">
        <f>Table17891011121323578345[[#This Row],[On Time Counts]]/45</f>
        <v>0.24444444444444444</v>
      </c>
      <c r="L54" s="35">
        <v>0</v>
      </c>
      <c r="M54" s="36" t="e">
        <f>Table17891011121323578345[[#This Row],[Wipers +/-]]/Table17891011121323578345[[#This Row],[Comp Sales]]</f>
        <v>#DIV/0!</v>
      </c>
      <c r="N54" s="37">
        <v>0</v>
      </c>
      <c r="O54" s="36">
        <f>Table17891011121323578345[[#This Row],[Big 4 Items]]/Table17891011121323578345[[#This Row],[Oil +/- ]]</f>
        <v>0</v>
      </c>
      <c r="P54" s="38">
        <f>J54/S54</f>
        <v>0.73333333333333328</v>
      </c>
      <c r="S54" s="6">
        <f t="shared" si="8"/>
        <v>15</v>
      </c>
    </row>
    <row r="55" spans="1:19" ht="15" hidden="1">
      <c r="A55" s="29" t="s">
        <v>26</v>
      </c>
      <c r="B55" s="40">
        <v>15</v>
      </c>
      <c r="C55" s="31">
        <v>-112</v>
      </c>
      <c r="D55" s="32">
        <v>-112</v>
      </c>
      <c r="E55" s="32">
        <v>-13</v>
      </c>
      <c r="F55" s="32">
        <v>2</v>
      </c>
      <c r="G55" s="32">
        <v>-16</v>
      </c>
      <c r="H55" s="32">
        <v>3</v>
      </c>
      <c r="I55" s="33">
        <v>-429.52</v>
      </c>
      <c r="J55" s="32">
        <v>13</v>
      </c>
      <c r="K55" s="34">
        <f>Table17891011121323578345[[#This Row],[On Time Counts]]/45</f>
        <v>0.28888888888888886</v>
      </c>
      <c r="L55" s="35">
        <v>0</v>
      </c>
      <c r="M55" s="36" t="e">
        <f>Table17891011121323578345[[#This Row],[Wipers +/-]]/Table17891011121323578345[[#This Row],[Comp Sales]]</f>
        <v>#DIV/0!</v>
      </c>
      <c r="N55" s="37"/>
      <c r="O55" s="41">
        <f>Table17891011121323578345[[#This Row],[Big 4 Items]]/Table17891011121323578345[[#This Row],[Oil +/- ]]</f>
        <v>0</v>
      </c>
      <c r="P55" s="38">
        <f>J55/S55</f>
        <v>0.8666666666666667</v>
      </c>
      <c r="S55" s="6">
        <f t="shared" si="8"/>
        <v>15</v>
      </c>
    </row>
    <row r="56" spans="1:19" ht="15" hidden="1">
      <c r="A56" s="30" t="s">
        <v>26</v>
      </c>
      <c r="B56" s="40">
        <v>28</v>
      </c>
      <c r="C56" s="31">
        <v>-100</v>
      </c>
      <c r="D56" s="32">
        <v>-100</v>
      </c>
      <c r="E56" s="32">
        <v>-18</v>
      </c>
      <c r="F56" s="32">
        <v>35</v>
      </c>
      <c r="G56" s="32">
        <v>-13</v>
      </c>
      <c r="H56" s="32">
        <v>6</v>
      </c>
      <c r="I56" s="33">
        <v>243.74</v>
      </c>
      <c r="J56" s="32">
        <v>10</v>
      </c>
      <c r="K56" s="34">
        <f>Table17891011121323578345[[#This Row],[On Time Counts]]/45</f>
        <v>0.22222222222222221</v>
      </c>
      <c r="L56" s="35">
        <v>6979.44</v>
      </c>
      <c r="M56" s="36">
        <f>Table17891011121323578345[[#This Row],[Wipers +/-]]/Table17891011121323578345[[#This Row],[Comp Sales]]</f>
        <v>-1.8626136194307855E-3</v>
      </c>
      <c r="N56" s="39"/>
      <c r="O56" s="36">
        <f>Table17891011121323578345[[#This Row],[Big 4 Items]]/Table17891011121323578345[[#This Row],[Oil +/- ]]</f>
        <v>0</v>
      </c>
      <c r="P56" s="38">
        <f>J56/S56</f>
        <v>0.66666666666666663</v>
      </c>
      <c r="S56" s="6">
        <f t="shared" si="8"/>
        <v>15</v>
      </c>
    </row>
    <row r="57" spans="1:19" ht="15" hidden="1">
      <c r="A57" s="30" t="s">
        <v>26</v>
      </c>
      <c r="B57" s="40">
        <v>32</v>
      </c>
      <c r="C57" s="31">
        <v>116</v>
      </c>
      <c r="D57" s="32">
        <v>116</v>
      </c>
      <c r="E57" s="32">
        <v>-8</v>
      </c>
      <c r="F57" s="32">
        <v>-8</v>
      </c>
      <c r="G57" s="32">
        <v>-4</v>
      </c>
      <c r="H57" s="32">
        <v>-1</v>
      </c>
      <c r="I57" s="33">
        <v>223.49</v>
      </c>
      <c r="J57" s="32">
        <v>10</v>
      </c>
      <c r="K57" s="34">
        <f>Table17891011121323578345[[#This Row],[On Time Counts]]/45</f>
        <v>0.22222222222222221</v>
      </c>
      <c r="L57" s="35">
        <v>6567.35</v>
      </c>
      <c r="M57" s="36">
        <f>Table17891011121323578345[[#This Row],[Wipers +/-]]/Table17891011121323578345[[#This Row],[Comp Sales]]</f>
        <v>-6.0907367507442118E-4</v>
      </c>
      <c r="N57" s="39"/>
      <c r="O57" s="36">
        <f>Table17891011121323578345[[#This Row],[Big 4 Items]]/Table17891011121323578345[[#This Row],[Oil +/- ]]</f>
        <v>0</v>
      </c>
      <c r="P57" s="38">
        <f>J57/S57</f>
        <v>0.66666666666666663</v>
      </c>
      <c r="S57" s="6">
        <f t="shared" si="8"/>
        <v>15</v>
      </c>
    </row>
    <row r="58" spans="1:19" ht="15" hidden="1">
      <c r="A58" s="30" t="s">
        <v>26</v>
      </c>
      <c r="B58" s="40">
        <v>606</v>
      </c>
      <c r="C58" s="31">
        <v>30</v>
      </c>
      <c r="D58" s="32">
        <v>40</v>
      </c>
      <c r="E58" s="32">
        <v>-15</v>
      </c>
      <c r="F58" s="32">
        <v>-1</v>
      </c>
      <c r="G58" s="32">
        <v>0</v>
      </c>
      <c r="H58" s="32">
        <v>0</v>
      </c>
      <c r="I58" s="33">
        <v>35.54</v>
      </c>
      <c r="J58" s="32">
        <v>10</v>
      </c>
      <c r="K58" s="34">
        <f>Table17891011121323578345[[#This Row],[On Time Counts]]/45</f>
        <v>0.22222222222222221</v>
      </c>
      <c r="L58" s="35"/>
      <c r="M58" s="36" t="e">
        <f>Table17891011121323578345[[#This Row],[Wipers +/-]]/Table17891011121323578345[[#This Row],[Comp Sales]]</f>
        <v>#DIV/0!</v>
      </c>
      <c r="N58" s="39"/>
      <c r="O58" s="36">
        <f>Table17891011121323578345[[#This Row],[Big 4 Items]]/Table17891011121323578345[[#This Row],[Oil +/- ]]</f>
        <v>0</v>
      </c>
      <c r="P58" s="38">
        <f>J58/S58</f>
        <v>0.66666666666666663</v>
      </c>
      <c r="S58" s="6">
        <f t="shared" si="8"/>
        <v>15</v>
      </c>
    </row>
    <row r="59" spans="1:19" ht="15" hidden="1">
      <c r="A59" s="30" t="s">
        <v>26</v>
      </c>
      <c r="B59" s="40">
        <v>999</v>
      </c>
      <c r="C59" s="31">
        <v>859</v>
      </c>
      <c r="D59" s="32">
        <v>-346</v>
      </c>
      <c r="E59" s="32"/>
      <c r="F59" s="32"/>
      <c r="G59" s="32"/>
      <c r="H59" s="32"/>
      <c r="I59" s="33">
        <v>1072.8800000000001</v>
      </c>
      <c r="J59" s="32">
        <v>2</v>
      </c>
      <c r="K59" s="34">
        <f>Table17891011121323578345[[#This Row],[On Time Counts]]/45</f>
        <v>4.4444444444444446E-2</v>
      </c>
      <c r="L59" s="35">
        <v>6761.54</v>
      </c>
      <c r="M59" s="36">
        <f>Table17891011121323578345[[#This Row],[Wipers +/-]]/Table17891011121323578345[[#This Row],[Comp Sales]]</f>
        <v>0</v>
      </c>
      <c r="N59" s="39"/>
      <c r="O59" s="36">
        <f>Table17891011121323578345[[#This Row],[Big 4 Items]]/Table17891011121323578345[[#This Row],[Oil +/- ]]</f>
        <v>0</v>
      </c>
      <c r="P59" s="38">
        <f>J59/S59</f>
        <v>0.14285714285714285</v>
      </c>
      <c r="S59" s="6">
        <v>14</v>
      </c>
    </row>
    <row r="60" spans="1:19" ht="15">
      <c r="A60" s="30" t="s">
        <v>27</v>
      </c>
      <c r="B60" s="40">
        <v>8</v>
      </c>
      <c r="C60" s="31">
        <v>198</v>
      </c>
      <c r="D60" s="32">
        <v>198</v>
      </c>
      <c r="E60" s="32">
        <v>172</v>
      </c>
      <c r="F60" s="32">
        <v>-2</v>
      </c>
      <c r="G60" s="32">
        <v>-4</v>
      </c>
      <c r="H60" s="32">
        <v>5</v>
      </c>
      <c r="I60" s="33">
        <v>312.19</v>
      </c>
      <c r="J60" s="32">
        <v>5</v>
      </c>
      <c r="K60" s="34">
        <f>Table17891011121323578345[[#This Row],[On Time Counts]]/45</f>
        <v>0.1111111111111111</v>
      </c>
      <c r="L60" s="35">
        <v>6083.18</v>
      </c>
      <c r="M60" s="36">
        <f>Table17891011121323578345[[#This Row],[Wipers +/-]]/Table17891011121323578345[[#This Row],[Comp Sales]]</f>
        <v>-6.5755082045903623E-4</v>
      </c>
      <c r="N60" s="39"/>
      <c r="O60" s="36">
        <f>Table17891011121323578345[[#This Row],[Big 4 Items]]/Table17891011121323578345[[#This Row],[Oil +/- ]]</f>
        <v>0</v>
      </c>
      <c r="P60" s="38">
        <f>J60/S60</f>
        <v>0.33333333333333331</v>
      </c>
      <c r="S60" s="6">
        <f t="shared" si="8"/>
        <v>15</v>
      </c>
    </row>
    <row r="61" spans="1:19" ht="15">
      <c r="A61" s="30" t="s">
        <v>27</v>
      </c>
      <c r="B61" s="40">
        <v>10</v>
      </c>
      <c r="C61" s="31">
        <v>123</v>
      </c>
      <c r="D61" s="32">
        <v>123</v>
      </c>
      <c r="E61" s="32">
        <v>11</v>
      </c>
      <c r="F61" s="32">
        <v>5783</v>
      </c>
      <c r="G61" s="32">
        <v>2</v>
      </c>
      <c r="H61" s="32">
        <v>1</v>
      </c>
      <c r="I61" s="33">
        <v>18000.939999999999</v>
      </c>
      <c r="J61" s="32">
        <v>13</v>
      </c>
      <c r="K61" s="34">
        <f>Table17891011121323578345[[#This Row],[On Time Counts]]/45</f>
        <v>0.28888888888888886</v>
      </c>
      <c r="L61" s="35">
        <v>4849.0200000000004</v>
      </c>
      <c r="M61" s="36">
        <f>Table17891011121323578345[[#This Row],[Wipers +/-]]/Table17891011121323578345[[#This Row],[Comp Sales]]</f>
        <v>4.1245447533728459E-4</v>
      </c>
      <c r="N61" s="39"/>
      <c r="O61" s="36">
        <f>Table17891011121323578345[[#This Row],[Big 4 Items]]/Table17891011121323578345[[#This Row],[Oil +/- ]]</f>
        <v>0</v>
      </c>
      <c r="P61" s="38">
        <f>J61/S61</f>
        <v>0.8666666666666667</v>
      </c>
      <c r="S61" s="6">
        <f t="shared" si="8"/>
        <v>15</v>
      </c>
    </row>
    <row r="62" spans="1:19" ht="15">
      <c r="A62" s="30" t="s">
        <v>27</v>
      </c>
      <c r="B62" s="40">
        <v>12</v>
      </c>
      <c r="C62" s="31">
        <v>40</v>
      </c>
      <c r="D62" s="32">
        <v>40</v>
      </c>
      <c r="E62" s="32">
        <v>-3</v>
      </c>
      <c r="F62" s="32">
        <v>26</v>
      </c>
      <c r="G62" s="32">
        <v>-54</v>
      </c>
      <c r="H62" s="32">
        <v>10</v>
      </c>
      <c r="I62" s="33">
        <v>22.51</v>
      </c>
      <c r="J62" s="32">
        <v>12</v>
      </c>
      <c r="K62" s="34">
        <f>Table17891011121323578345[[#This Row],[On Time Counts]]/45</f>
        <v>0.26666666666666666</v>
      </c>
      <c r="L62" s="35">
        <v>6870.99</v>
      </c>
      <c r="M62" s="36">
        <f>Table17891011121323578345[[#This Row],[Wipers +/-]]/Table17891011121323578345[[#This Row],[Comp Sales]]</f>
        <v>-7.8591294704256597E-3</v>
      </c>
      <c r="N62" s="39"/>
      <c r="O62" s="36">
        <f>Table17891011121323578345[[#This Row],[Big 4 Items]]/Table17891011121323578345[[#This Row],[Oil +/- ]]</f>
        <v>0</v>
      </c>
      <c r="P62" s="38">
        <f>J62/S62</f>
        <v>0.8</v>
      </c>
      <c r="S62" s="6">
        <f t="shared" si="8"/>
        <v>15</v>
      </c>
    </row>
    <row r="63" spans="1:19" ht="15">
      <c r="A63" s="30" t="s">
        <v>27</v>
      </c>
      <c r="B63" s="40">
        <v>13</v>
      </c>
      <c r="C63" s="31">
        <v>184</v>
      </c>
      <c r="D63" s="32">
        <v>-29</v>
      </c>
      <c r="E63" s="32">
        <v>6</v>
      </c>
      <c r="F63" s="32">
        <v>-12</v>
      </c>
      <c r="G63" s="32">
        <v>-13</v>
      </c>
      <c r="H63" s="32">
        <v>10</v>
      </c>
      <c r="I63" s="33">
        <v>259.87</v>
      </c>
      <c r="J63" s="32">
        <v>13</v>
      </c>
      <c r="K63" s="34">
        <f>Table17891011121323578345[[#This Row],[On Time Counts]]/45</f>
        <v>0.28888888888888886</v>
      </c>
      <c r="L63" s="35">
        <v>6806.79</v>
      </c>
      <c r="M63" s="36">
        <f>Table17891011121323578345[[#This Row],[Wipers +/-]]/Table17891011121323578345[[#This Row],[Comp Sales]]</f>
        <v>-1.9098576568397144E-3</v>
      </c>
      <c r="N63" s="39"/>
      <c r="O63" s="36">
        <f>Table17891011121323578345[[#This Row],[Big 4 Items]]/Table17891011121323578345[[#This Row],[Oil +/- ]]</f>
        <v>0</v>
      </c>
      <c r="P63" s="38">
        <f>J63/S63</f>
        <v>0.8666666666666667</v>
      </c>
      <c r="S63" s="6">
        <f t="shared" si="8"/>
        <v>15</v>
      </c>
    </row>
    <row r="64" spans="1:19" ht="15">
      <c r="A64" s="30" t="s">
        <v>27</v>
      </c>
      <c r="B64" s="40">
        <v>31</v>
      </c>
      <c r="C64" s="31">
        <v>-109</v>
      </c>
      <c r="D64" s="32">
        <v>-121</v>
      </c>
      <c r="E64" s="32">
        <v>20</v>
      </c>
      <c r="F64" s="32">
        <v>23</v>
      </c>
      <c r="G64" s="32">
        <v>0</v>
      </c>
      <c r="H64" s="32">
        <v>10</v>
      </c>
      <c r="I64" s="33">
        <v>-58.27</v>
      </c>
      <c r="J64" s="32">
        <v>15</v>
      </c>
      <c r="K64" s="34">
        <f>Table17891011121323578345[[#This Row],[On Time Counts]]/45</f>
        <v>0.33333333333333331</v>
      </c>
      <c r="L64" s="35">
        <v>5842.02</v>
      </c>
      <c r="M64" s="36">
        <f>Table17891011121323578345[[#This Row],[Wipers +/-]]/Table17891011121323578345[[#This Row],[Comp Sales]]</f>
        <v>0</v>
      </c>
      <c r="N64" s="39"/>
      <c r="O64" s="36">
        <f>Table17891011121323578345[[#This Row],[Big 4 Items]]/Table17891011121323578345[[#This Row],[Oil +/- ]]</f>
        <v>0</v>
      </c>
      <c r="P64" s="38">
        <f>J64/S64</f>
        <v>1</v>
      </c>
      <c r="S64" s="6">
        <f t="shared" si="8"/>
        <v>15</v>
      </c>
    </row>
    <row r="65" spans="1:19" ht="15">
      <c r="A65" s="30" t="s">
        <v>27</v>
      </c>
      <c r="B65" s="40">
        <v>92</v>
      </c>
      <c r="C65" s="31">
        <v>60</v>
      </c>
      <c r="D65" s="32">
        <v>60</v>
      </c>
      <c r="E65" s="32">
        <v>51</v>
      </c>
      <c r="F65" s="32">
        <v>20</v>
      </c>
      <c r="G65" s="32">
        <v>-12</v>
      </c>
      <c r="H65" s="32">
        <v>-16</v>
      </c>
      <c r="I65" s="33">
        <v>1326.98</v>
      </c>
      <c r="J65" s="32">
        <v>14</v>
      </c>
      <c r="K65" s="34">
        <f>Table17891011121323578345[[#This Row],[On Time Counts]]/45</f>
        <v>0.31111111111111112</v>
      </c>
      <c r="L65" s="35">
        <v>7096.63</v>
      </c>
      <c r="M65" s="36">
        <f>Table17891011121323578345[[#This Row],[Wipers +/-]]/Table17891011121323578345[[#This Row],[Comp Sales]]</f>
        <v>-1.6909434478055076E-3</v>
      </c>
      <c r="N65" s="39"/>
      <c r="O65" s="36">
        <f>Table17891011121323578345[[#This Row],[Big 4 Items]]/Table17891011121323578345[[#This Row],[Oil +/- ]]</f>
        <v>0</v>
      </c>
      <c r="P65" s="38">
        <f>J65/S65</f>
        <v>0.93333333333333335</v>
      </c>
      <c r="S65" s="6">
        <f t="shared" si="8"/>
        <v>15</v>
      </c>
    </row>
    <row r="66" spans="1:19" ht="15">
      <c r="A66" s="30" t="s">
        <v>27</v>
      </c>
      <c r="B66" s="40">
        <v>116</v>
      </c>
      <c r="C66" s="31">
        <v>1595</v>
      </c>
      <c r="D66" s="32">
        <v>-58</v>
      </c>
      <c r="E66" s="32">
        <v>56</v>
      </c>
      <c r="F66" s="32">
        <v>-1</v>
      </c>
      <c r="G66" s="32">
        <v>-4</v>
      </c>
      <c r="H66" s="32">
        <v>1</v>
      </c>
      <c r="I66" s="33">
        <v>108.32</v>
      </c>
      <c r="J66" s="32">
        <v>14</v>
      </c>
      <c r="K66" s="34">
        <f>Table17891011121323578345[[#This Row],[On Time Counts]]/45</f>
        <v>0.31111111111111112</v>
      </c>
      <c r="L66" s="35">
        <v>6662.04</v>
      </c>
      <c r="M66" s="36">
        <f>Table17891011121323578345[[#This Row],[Wipers +/-]]/Table17891011121323578345[[#This Row],[Comp Sales]]</f>
        <v>-6.004166891822925E-4</v>
      </c>
      <c r="N66" s="39"/>
      <c r="O66" s="36">
        <f>Table17891011121323578345[[#This Row],[Big 4 Items]]/Table17891011121323578345[[#This Row],[Oil +/- ]]</f>
        <v>0</v>
      </c>
      <c r="P66" s="38">
        <f>J66/S66</f>
        <v>0.93333333333333335</v>
      </c>
      <c r="S66" s="6">
        <f t="shared" si="8"/>
        <v>15</v>
      </c>
    </row>
    <row r="67" spans="1:19" ht="15">
      <c r="A67" s="30" t="s">
        <v>27</v>
      </c>
      <c r="B67" s="40">
        <v>870</v>
      </c>
      <c r="C67" s="31">
        <v>-413</v>
      </c>
      <c r="D67" s="32">
        <v>-140</v>
      </c>
      <c r="E67" s="32">
        <v>-11</v>
      </c>
      <c r="F67" s="32"/>
      <c r="G67" s="32">
        <v>-2</v>
      </c>
      <c r="H67" s="32">
        <v>0</v>
      </c>
      <c r="I67" s="33">
        <v>-1041.3</v>
      </c>
      <c r="J67" s="32">
        <v>6</v>
      </c>
      <c r="K67" s="34">
        <f>Table17891011121323578345[[#This Row],[On Time Counts]]/45</f>
        <v>0.13333333333333333</v>
      </c>
      <c r="L67" s="35">
        <v>2791.49</v>
      </c>
      <c r="M67" s="36">
        <f>Table17891011121323578345[[#This Row],[Wipers +/-]]/Table17891011121323578345[[#This Row],[Comp Sales]]</f>
        <v>-7.1646325080870798E-4</v>
      </c>
      <c r="N67" s="39"/>
      <c r="O67" s="36">
        <f>Table17891011121323578345[[#This Row],[Big 4 Items]]/Table17891011121323578345[[#This Row],[Oil +/- ]]</f>
        <v>0</v>
      </c>
      <c r="P67" s="38">
        <f>J67/S67</f>
        <v>0.4</v>
      </c>
      <c r="S67" s="6">
        <f t="shared" si="8"/>
        <v>15</v>
      </c>
    </row>
    <row r="68" spans="1:19" ht="15">
      <c r="A68" s="44" t="s">
        <v>27</v>
      </c>
      <c r="B68" s="45">
        <v>3004</v>
      </c>
      <c r="C68" s="31">
        <v>-617</v>
      </c>
      <c r="D68" s="32">
        <v>-445</v>
      </c>
      <c r="E68" s="50">
        <v>125</v>
      </c>
      <c r="F68" s="50">
        <v>20</v>
      </c>
      <c r="G68" s="32"/>
      <c r="H68" s="50">
        <v>-13</v>
      </c>
      <c r="I68" s="51">
        <v>-1240.1500000000001</v>
      </c>
      <c r="J68" s="50">
        <v>8</v>
      </c>
      <c r="K68" s="46">
        <f>Table17891011121323578345[[#This Row],[On Time Counts]]/45</f>
        <v>0.17777777777777778</v>
      </c>
      <c r="L68" s="47"/>
      <c r="M68" s="41" t="e">
        <f>Table17891011121323578345[[#This Row],[Wipers +/-]]/Table17891011121323578345[[#This Row],[Comp Sales]]</f>
        <v>#DIV/0!</v>
      </c>
      <c r="N68" s="48"/>
      <c r="O68" s="41">
        <f>Table17891011121323578345[[#This Row],[Big 4 Items]]/Table17891011121323578345[[#This Row],[Oil +/- ]]</f>
        <v>0</v>
      </c>
      <c r="P68" s="38">
        <f>J68/S68</f>
        <v>0.53333333333333333</v>
      </c>
      <c r="S68" s="6">
        <f>$T$1</f>
        <v>15</v>
      </c>
    </row>
    <row r="275" spans="1:2" hidden="1"/>
    <row r="276" spans="1:2" hidden="1"/>
    <row r="277" spans="1:2" hidden="1"/>
    <row r="278" spans="1:2" hidden="1"/>
    <row r="279" spans="1:2" hidden="1"/>
    <row r="280" spans="1:2" hidden="1"/>
    <row r="281" spans="1:2" hidden="1"/>
    <row r="282" spans="1:2" hidden="1"/>
    <row r="283" spans="1:2" hidden="1"/>
    <row r="284" spans="1:2" hidden="1"/>
    <row r="285" spans="1:2" hidden="1">
      <c r="A285" s="42">
        <v>0.01</v>
      </c>
      <c r="B285" s="42">
        <v>-0.01</v>
      </c>
    </row>
    <row r="286" spans="1:2" hidden="1">
      <c r="A286" s="43">
        <f>A285+1%</f>
        <v>0.02</v>
      </c>
      <c r="B286" s="42">
        <f>B285-1%</f>
        <v>-0.02</v>
      </c>
    </row>
    <row r="287" spans="1:2" hidden="1">
      <c r="A287" s="43">
        <f t="shared" ref="A287:A350" si="9">A286+1%</f>
        <v>0.03</v>
      </c>
      <c r="B287" s="42">
        <f t="shared" ref="B287:B350" si="10">B286-1%</f>
        <v>-0.03</v>
      </c>
    </row>
    <row r="288" spans="1:2" hidden="1">
      <c r="A288" s="43">
        <f t="shared" si="9"/>
        <v>0.04</v>
      </c>
      <c r="B288" s="42">
        <f t="shared" si="10"/>
        <v>-0.04</v>
      </c>
    </row>
    <row r="289" spans="1:2" hidden="1">
      <c r="A289" s="43">
        <f t="shared" si="9"/>
        <v>0.05</v>
      </c>
      <c r="B289" s="42">
        <f t="shared" si="10"/>
        <v>-0.05</v>
      </c>
    </row>
    <row r="290" spans="1:2" hidden="1">
      <c r="A290" s="43">
        <f t="shared" si="9"/>
        <v>6.0000000000000005E-2</v>
      </c>
      <c r="B290" s="42">
        <f t="shared" si="10"/>
        <v>-6.0000000000000005E-2</v>
      </c>
    </row>
    <row r="291" spans="1:2" hidden="1">
      <c r="A291" s="43">
        <f t="shared" si="9"/>
        <v>7.0000000000000007E-2</v>
      </c>
      <c r="B291" s="42">
        <f t="shared" si="10"/>
        <v>-7.0000000000000007E-2</v>
      </c>
    </row>
    <row r="292" spans="1:2" hidden="1">
      <c r="A292" s="43">
        <f t="shared" si="9"/>
        <v>0.08</v>
      </c>
      <c r="B292" s="42">
        <f t="shared" si="10"/>
        <v>-0.08</v>
      </c>
    </row>
    <row r="293" spans="1:2" hidden="1">
      <c r="A293" s="43">
        <f t="shared" si="9"/>
        <v>0.09</v>
      </c>
      <c r="B293" s="42">
        <f t="shared" si="10"/>
        <v>-0.09</v>
      </c>
    </row>
    <row r="294" spans="1:2" hidden="1">
      <c r="A294" s="43">
        <f t="shared" si="9"/>
        <v>9.9999999999999992E-2</v>
      </c>
      <c r="B294" s="42">
        <f t="shared" si="10"/>
        <v>-9.9999999999999992E-2</v>
      </c>
    </row>
    <row r="295" spans="1:2" hidden="1">
      <c r="A295" s="43">
        <f t="shared" si="9"/>
        <v>0.10999999999999999</v>
      </c>
      <c r="B295" s="42">
        <f t="shared" si="10"/>
        <v>-0.10999999999999999</v>
      </c>
    </row>
    <row r="296" spans="1:2" hidden="1">
      <c r="A296" s="43">
        <f t="shared" si="9"/>
        <v>0.11999999999999998</v>
      </c>
      <c r="B296" s="42">
        <f t="shared" si="10"/>
        <v>-0.11999999999999998</v>
      </c>
    </row>
    <row r="297" spans="1:2" hidden="1">
      <c r="A297" s="43">
        <f t="shared" si="9"/>
        <v>0.12999999999999998</v>
      </c>
      <c r="B297" s="42">
        <f t="shared" si="10"/>
        <v>-0.12999999999999998</v>
      </c>
    </row>
    <row r="298" spans="1:2" hidden="1">
      <c r="A298" s="43">
        <f t="shared" si="9"/>
        <v>0.13999999999999999</v>
      </c>
      <c r="B298" s="42">
        <f t="shared" si="10"/>
        <v>-0.13999999999999999</v>
      </c>
    </row>
    <row r="299" spans="1:2" hidden="1">
      <c r="A299" s="43">
        <f t="shared" si="9"/>
        <v>0.15</v>
      </c>
      <c r="B299" s="42">
        <f t="shared" si="10"/>
        <v>-0.15</v>
      </c>
    </row>
    <row r="300" spans="1:2" hidden="1">
      <c r="A300" s="43">
        <f t="shared" si="9"/>
        <v>0.16</v>
      </c>
      <c r="B300" s="42">
        <f t="shared" si="10"/>
        <v>-0.16</v>
      </c>
    </row>
    <row r="301" spans="1:2" hidden="1">
      <c r="A301" s="43">
        <f t="shared" si="9"/>
        <v>0.17</v>
      </c>
      <c r="B301" s="42">
        <f t="shared" si="10"/>
        <v>-0.17</v>
      </c>
    </row>
    <row r="302" spans="1:2" hidden="1">
      <c r="A302" s="43">
        <f t="shared" si="9"/>
        <v>0.18000000000000002</v>
      </c>
      <c r="B302" s="42">
        <f t="shared" si="10"/>
        <v>-0.18000000000000002</v>
      </c>
    </row>
    <row r="303" spans="1:2" hidden="1">
      <c r="A303" s="43">
        <f t="shared" si="9"/>
        <v>0.19000000000000003</v>
      </c>
      <c r="B303" s="42">
        <f t="shared" si="10"/>
        <v>-0.19000000000000003</v>
      </c>
    </row>
    <row r="304" spans="1:2" hidden="1">
      <c r="A304" s="43">
        <f t="shared" si="9"/>
        <v>0.20000000000000004</v>
      </c>
      <c r="B304" s="42">
        <f t="shared" si="10"/>
        <v>-0.20000000000000004</v>
      </c>
    </row>
    <row r="305" spans="1:2" hidden="1">
      <c r="A305" s="43">
        <f t="shared" si="9"/>
        <v>0.21000000000000005</v>
      </c>
      <c r="B305" s="42">
        <f t="shared" si="10"/>
        <v>-0.21000000000000005</v>
      </c>
    </row>
    <row r="306" spans="1:2" hidden="1">
      <c r="A306" s="43">
        <f t="shared" si="9"/>
        <v>0.22000000000000006</v>
      </c>
      <c r="B306" s="42">
        <f t="shared" si="10"/>
        <v>-0.22000000000000006</v>
      </c>
    </row>
    <row r="307" spans="1:2" hidden="1">
      <c r="A307" s="43">
        <f t="shared" si="9"/>
        <v>0.23000000000000007</v>
      </c>
      <c r="B307" s="42">
        <f t="shared" si="10"/>
        <v>-0.23000000000000007</v>
      </c>
    </row>
    <row r="308" spans="1:2" hidden="1">
      <c r="A308" s="43">
        <f t="shared" si="9"/>
        <v>0.24000000000000007</v>
      </c>
      <c r="B308" s="42">
        <f t="shared" si="10"/>
        <v>-0.24000000000000007</v>
      </c>
    </row>
    <row r="309" spans="1:2" hidden="1">
      <c r="A309" s="43">
        <f t="shared" si="9"/>
        <v>0.25000000000000006</v>
      </c>
      <c r="B309" s="42">
        <f t="shared" si="10"/>
        <v>-0.25000000000000006</v>
      </c>
    </row>
    <row r="310" spans="1:2" hidden="1">
      <c r="A310" s="43">
        <f t="shared" si="9"/>
        <v>0.26000000000000006</v>
      </c>
      <c r="B310" s="42">
        <f t="shared" si="10"/>
        <v>-0.26000000000000006</v>
      </c>
    </row>
    <row r="311" spans="1:2" hidden="1">
      <c r="A311" s="43">
        <f t="shared" si="9"/>
        <v>0.27000000000000007</v>
      </c>
      <c r="B311" s="42">
        <f t="shared" si="10"/>
        <v>-0.27000000000000007</v>
      </c>
    </row>
    <row r="312" spans="1:2" hidden="1">
      <c r="A312" s="43">
        <f t="shared" si="9"/>
        <v>0.28000000000000008</v>
      </c>
      <c r="B312" s="42">
        <f t="shared" si="10"/>
        <v>-0.28000000000000008</v>
      </c>
    </row>
    <row r="313" spans="1:2" hidden="1">
      <c r="A313" s="43">
        <f t="shared" si="9"/>
        <v>0.29000000000000009</v>
      </c>
      <c r="B313" s="42">
        <f t="shared" si="10"/>
        <v>-0.29000000000000009</v>
      </c>
    </row>
    <row r="314" spans="1:2" hidden="1">
      <c r="A314" s="43">
        <f t="shared" si="9"/>
        <v>0.3000000000000001</v>
      </c>
      <c r="B314" s="42">
        <f t="shared" si="10"/>
        <v>-0.3000000000000001</v>
      </c>
    </row>
    <row r="315" spans="1:2" hidden="1">
      <c r="A315" s="43">
        <f t="shared" si="9"/>
        <v>0.31000000000000011</v>
      </c>
      <c r="B315" s="42">
        <f t="shared" si="10"/>
        <v>-0.31000000000000011</v>
      </c>
    </row>
    <row r="316" spans="1:2" hidden="1">
      <c r="A316" s="43">
        <f t="shared" si="9"/>
        <v>0.32000000000000012</v>
      </c>
      <c r="B316" s="42">
        <f t="shared" si="10"/>
        <v>-0.32000000000000012</v>
      </c>
    </row>
    <row r="317" spans="1:2" hidden="1">
      <c r="A317" s="43">
        <f t="shared" si="9"/>
        <v>0.33000000000000013</v>
      </c>
      <c r="B317" s="42">
        <f t="shared" si="10"/>
        <v>-0.33000000000000013</v>
      </c>
    </row>
    <row r="318" spans="1:2" hidden="1">
      <c r="A318" s="43">
        <f t="shared" si="9"/>
        <v>0.34000000000000014</v>
      </c>
      <c r="B318" s="42">
        <f t="shared" si="10"/>
        <v>-0.34000000000000014</v>
      </c>
    </row>
    <row r="319" spans="1:2" hidden="1">
      <c r="A319" s="43">
        <f t="shared" si="9"/>
        <v>0.35000000000000014</v>
      </c>
      <c r="B319" s="42">
        <f t="shared" si="10"/>
        <v>-0.35000000000000014</v>
      </c>
    </row>
    <row r="320" spans="1:2" hidden="1">
      <c r="A320" s="43">
        <f t="shared" si="9"/>
        <v>0.36000000000000015</v>
      </c>
      <c r="B320" s="42">
        <f t="shared" si="10"/>
        <v>-0.36000000000000015</v>
      </c>
    </row>
    <row r="321" spans="1:2" hidden="1">
      <c r="A321" s="43">
        <f t="shared" si="9"/>
        <v>0.37000000000000016</v>
      </c>
      <c r="B321" s="42">
        <f t="shared" si="10"/>
        <v>-0.37000000000000016</v>
      </c>
    </row>
    <row r="322" spans="1:2" hidden="1">
      <c r="A322" s="43">
        <f t="shared" si="9"/>
        <v>0.38000000000000017</v>
      </c>
      <c r="B322" s="42">
        <f t="shared" si="10"/>
        <v>-0.38000000000000017</v>
      </c>
    </row>
    <row r="323" spans="1:2" hidden="1">
      <c r="A323" s="43">
        <f t="shared" si="9"/>
        <v>0.39000000000000018</v>
      </c>
      <c r="B323" s="42">
        <f t="shared" si="10"/>
        <v>-0.39000000000000018</v>
      </c>
    </row>
    <row r="324" spans="1:2" hidden="1">
      <c r="A324" s="43">
        <f t="shared" si="9"/>
        <v>0.40000000000000019</v>
      </c>
      <c r="B324" s="42">
        <f t="shared" si="10"/>
        <v>-0.40000000000000019</v>
      </c>
    </row>
    <row r="325" spans="1:2" hidden="1">
      <c r="A325" s="43">
        <f t="shared" si="9"/>
        <v>0.4100000000000002</v>
      </c>
      <c r="B325" s="42">
        <f t="shared" si="10"/>
        <v>-0.4100000000000002</v>
      </c>
    </row>
    <row r="326" spans="1:2" hidden="1">
      <c r="A326" s="43">
        <f t="shared" si="9"/>
        <v>0.42000000000000021</v>
      </c>
      <c r="B326" s="42">
        <f t="shared" si="10"/>
        <v>-0.42000000000000021</v>
      </c>
    </row>
    <row r="327" spans="1:2" hidden="1">
      <c r="A327" s="43">
        <f t="shared" si="9"/>
        <v>0.43000000000000022</v>
      </c>
      <c r="B327" s="42">
        <f t="shared" si="10"/>
        <v>-0.43000000000000022</v>
      </c>
    </row>
    <row r="328" spans="1:2" hidden="1">
      <c r="A328" s="43">
        <f t="shared" si="9"/>
        <v>0.44000000000000022</v>
      </c>
      <c r="B328" s="42">
        <f t="shared" si="10"/>
        <v>-0.44000000000000022</v>
      </c>
    </row>
    <row r="329" spans="1:2" hidden="1">
      <c r="A329" s="43">
        <f t="shared" si="9"/>
        <v>0.45000000000000023</v>
      </c>
      <c r="B329" s="42">
        <f t="shared" si="10"/>
        <v>-0.45000000000000023</v>
      </c>
    </row>
    <row r="330" spans="1:2" hidden="1">
      <c r="A330" s="43">
        <f t="shared" si="9"/>
        <v>0.46000000000000024</v>
      </c>
      <c r="B330" s="42">
        <f t="shared" si="10"/>
        <v>-0.46000000000000024</v>
      </c>
    </row>
    <row r="331" spans="1:2" hidden="1">
      <c r="A331" s="43">
        <f t="shared" si="9"/>
        <v>0.47000000000000025</v>
      </c>
      <c r="B331" s="42">
        <f t="shared" si="10"/>
        <v>-0.47000000000000025</v>
      </c>
    </row>
    <row r="332" spans="1:2" hidden="1">
      <c r="A332" s="43">
        <f t="shared" si="9"/>
        <v>0.48000000000000026</v>
      </c>
      <c r="B332" s="42">
        <f t="shared" si="10"/>
        <v>-0.48000000000000026</v>
      </c>
    </row>
    <row r="333" spans="1:2" hidden="1">
      <c r="A333" s="43">
        <f t="shared" si="9"/>
        <v>0.49000000000000027</v>
      </c>
      <c r="B333" s="42">
        <f t="shared" si="10"/>
        <v>-0.49000000000000027</v>
      </c>
    </row>
    <row r="334" spans="1:2" hidden="1">
      <c r="A334" s="43">
        <f t="shared" si="9"/>
        <v>0.50000000000000022</v>
      </c>
      <c r="B334" s="42">
        <f t="shared" si="10"/>
        <v>-0.50000000000000022</v>
      </c>
    </row>
    <row r="335" spans="1:2" hidden="1">
      <c r="A335" s="43">
        <f t="shared" si="9"/>
        <v>0.51000000000000023</v>
      </c>
      <c r="B335" s="42">
        <f t="shared" si="10"/>
        <v>-0.51000000000000023</v>
      </c>
    </row>
    <row r="336" spans="1:2" hidden="1">
      <c r="A336" s="43">
        <f t="shared" si="9"/>
        <v>0.52000000000000024</v>
      </c>
      <c r="B336" s="42">
        <f t="shared" si="10"/>
        <v>-0.52000000000000024</v>
      </c>
    </row>
    <row r="337" spans="1:2" hidden="1">
      <c r="A337" s="43">
        <f t="shared" si="9"/>
        <v>0.53000000000000025</v>
      </c>
      <c r="B337" s="42">
        <f t="shared" si="10"/>
        <v>-0.53000000000000025</v>
      </c>
    </row>
    <row r="338" spans="1:2" hidden="1">
      <c r="A338" s="43">
        <f t="shared" si="9"/>
        <v>0.54000000000000026</v>
      </c>
      <c r="B338" s="42">
        <f t="shared" si="10"/>
        <v>-0.54000000000000026</v>
      </c>
    </row>
    <row r="339" spans="1:2" hidden="1">
      <c r="A339" s="43">
        <f t="shared" si="9"/>
        <v>0.55000000000000027</v>
      </c>
      <c r="B339" s="42">
        <f t="shared" si="10"/>
        <v>-0.55000000000000027</v>
      </c>
    </row>
    <row r="340" spans="1:2" hidden="1">
      <c r="A340" s="43">
        <f t="shared" si="9"/>
        <v>0.56000000000000028</v>
      </c>
      <c r="B340" s="42">
        <f t="shared" si="10"/>
        <v>-0.56000000000000028</v>
      </c>
    </row>
    <row r="341" spans="1:2" hidden="1">
      <c r="A341" s="43">
        <f t="shared" si="9"/>
        <v>0.57000000000000028</v>
      </c>
      <c r="B341" s="42">
        <f t="shared" si="10"/>
        <v>-0.57000000000000028</v>
      </c>
    </row>
    <row r="342" spans="1:2" hidden="1">
      <c r="A342" s="43">
        <f t="shared" si="9"/>
        <v>0.58000000000000029</v>
      </c>
      <c r="B342" s="42">
        <f t="shared" si="10"/>
        <v>-0.58000000000000029</v>
      </c>
    </row>
    <row r="343" spans="1:2" hidden="1">
      <c r="A343" s="43">
        <f t="shared" si="9"/>
        <v>0.5900000000000003</v>
      </c>
      <c r="B343" s="42">
        <f t="shared" si="10"/>
        <v>-0.5900000000000003</v>
      </c>
    </row>
    <row r="344" spans="1:2" hidden="1">
      <c r="A344" s="43">
        <f t="shared" si="9"/>
        <v>0.60000000000000031</v>
      </c>
      <c r="B344" s="42">
        <f t="shared" si="10"/>
        <v>-0.60000000000000031</v>
      </c>
    </row>
    <row r="345" spans="1:2" hidden="1">
      <c r="A345" s="43">
        <f t="shared" si="9"/>
        <v>0.61000000000000032</v>
      </c>
      <c r="B345" s="42">
        <f t="shared" si="10"/>
        <v>-0.61000000000000032</v>
      </c>
    </row>
    <row r="346" spans="1:2" hidden="1">
      <c r="A346" s="43">
        <f t="shared" si="9"/>
        <v>0.62000000000000033</v>
      </c>
      <c r="B346" s="42">
        <f t="shared" si="10"/>
        <v>-0.62000000000000033</v>
      </c>
    </row>
    <row r="347" spans="1:2" hidden="1">
      <c r="A347" s="43">
        <f t="shared" si="9"/>
        <v>0.63000000000000034</v>
      </c>
      <c r="B347" s="42">
        <f t="shared" si="10"/>
        <v>-0.63000000000000034</v>
      </c>
    </row>
    <row r="348" spans="1:2" hidden="1">
      <c r="A348" s="43">
        <f t="shared" si="9"/>
        <v>0.64000000000000035</v>
      </c>
      <c r="B348" s="42">
        <f t="shared" si="10"/>
        <v>-0.64000000000000035</v>
      </c>
    </row>
    <row r="349" spans="1:2" hidden="1">
      <c r="A349" s="43">
        <f t="shared" si="9"/>
        <v>0.65000000000000036</v>
      </c>
      <c r="B349" s="42">
        <f t="shared" si="10"/>
        <v>-0.65000000000000036</v>
      </c>
    </row>
    <row r="350" spans="1:2" hidden="1">
      <c r="A350" s="43">
        <f t="shared" si="9"/>
        <v>0.66000000000000036</v>
      </c>
      <c r="B350" s="42">
        <f t="shared" si="10"/>
        <v>-0.66000000000000036</v>
      </c>
    </row>
    <row r="351" spans="1:2" hidden="1">
      <c r="A351" s="43">
        <f t="shared" ref="A351:A384" si="11">A350+1%</f>
        <v>0.67000000000000037</v>
      </c>
      <c r="B351" s="42">
        <f t="shared" ref="B351:B384" si="12">B350-1%</f>
        <v>-0.67000000000000037</v>
      </c>
    </row>
    <row r="352" spans="1:2" hidden="1">
      <c r="A352" s="43">
        <f t="shared" si="11"/>
        <v>0.68000000000000038</v>
      </c>
      <c r="B352" s="42">
        <f t="shared" si="12"/>
        <v>-0.68000000000000038</v>
      </c>
    </row>
    <row r="353" spans="1:2" hidden="1">
      <c r="A353" s="43">
        <f t="shared" si="11"/>
        <v>0.69000000000000039</v>
      </c>
      <c r="B353" s="42">
        <f t="shared" si="12"/>
        <v>-0.69000000000000039</v>
      </c>
    </row>
    <row r="354" spans="1:2" hidden="1">
      <c r="A354" s="43">
        <f t="shared" si="11"/>
        <v>0.7000000000000004</v>
      </c>
      <c r="B354" s="42">
        <f t="shared" si="12"/>
        <v>-0.7000000000000004</v>
      </c>
    </row>
    <row r="355" spans="1:2" hidden="1">
      <c r="A355" s="43">
        <f t="shared" si="11"/>
        <v>0.71000000000000041</v>
      </c>
      <c r="B355" s="42">
        <f t="shared" si="12"/>
        <v>-0.71000000000000041</v>
      </c>
    </row>
    <row r="356" spans="1:2" hidden="1">
      <c r="A356" s="43">
        <f t="shared" si="11"/>
        <v>0.72000000000000042</v>
      </c>
      <c r="B356" s="42">
        <f t="shared" si="12"/>
        <v>-0.72000000000000042</v>
      </c>
    </row>
    <row r="357" spans="1:2" hidden="1">
      <c r="A357" s="43">
        <f t="shared" si="11"/>
        <v>0.73000000000000043</v>
      </c>
      <c r="B357" s="42">
        <f t="shared" si="12"/>
        <v>-0.73000000000000043</v>
      </c>
    </row>
    <row r="358" spans="1:2" hidden="1">
      <c r="A358" s="43">
        <f t="shared" si="11"/>
        <v>0.74000000000000044</v>
      </c>
      <c r="B358" s="42">
        <f t="shared" si="12"/>
        <v>-0.74000000000000044</v>
      </c>
    </row>
    <row r="359" spans="1:2" hidden="1">
      <c r="A359" s="43">
        <f t="shared" si="11"/>
        <v>0.75000000000000044</v>
      </c>
      <c r="B359" s="42">
        <f t="shared" si="12"/>
        <v>-0.75000000000000044</v>
      </c>
    </row>
    <row r="360" spans="1:2" hidden="1">
      <c r="A360" s="43">
        <f t="shared" si="11"/>
        <v>0.76000000000000045</v>
      </c>
      <c r="B360" s="42">
        <f t="shared" si="12"/>
        <v>-0.76000000000000045</v>
      </c>
    </row>
    <row r="361" spans="1:2" hidden="1">
      <c r="A361" s="43">
        <f t="shared" si="11"/>
        <v>0.77000000000000046</v>
      </c>
      <c r="B361" s="42">
        <f t="shared" si="12"/>
        <v>-0.77000000000000046</v>
      </c>
    </row>
    <row r="362" spans="1:2" hidden="1">
      <c r="A362" s="43">
        <f t="shared" si="11"/>
        <v>0.78000000000000047</v>
      </c>
      <c r="B362" s="42">
        <f t="shared" si="12"/>
        <v>-0.78000000000000047</v>
      </c>
    </row>
    <row r="363" spans="1:2" hidden="1">
      <c r="A363" s="43">
        <f t="shared" si="11"/>
        <v>0.79000000000000048</v>
      </c>
      <c r="B363" s="42">
        <f t="shared" si="12"/>
        <v>-0.79000000000000048</v>
      </c>
    </row>
    <row r="364" spans="1:2" hidden="1">
      <c r="A364" s="43">
        <f t="shared" si="11"/>
        <v>0.80000000000000049</v>
      </c>
      <c r="B364" s="42">
        <f t="shared" si="12"/>
        <v>-0.80000000000000049</v>
      </c>
    </row>
    <row r="365" spans="1:2" hidden="1">
      <c r="A365" s="43">
        <f t="shared" si="11"/>
        <v>0.8100000000000005</v>
      </c>
      <c r="B365" s="42">
        <f t="shared" si="12"/>
        <v>-0.8100000000000005</v>
      </c>
    </row>
    <row r="366" spans="1:2" hidden="1">
      <c r="A366" s="43">
        <f t="shared" si="11"/>
        <v>0.82000000000000051</v>
      </c>
      <c r="B366" s="42">
        <f t="shared" si="12"/>
        <v>-0.82000000000000051</v>
      </c>
    </row>
    <row r="367" spans="1:2" hidden="1">
      <c r="A367" s="43">
        <f t="shared" si="11"/>
        <v>0.83000000000000052</v>
      </c>
      <c r="B367" s="42">
        <f t="shared" si="12"/>
        <v>-0.83000000000000052</v>
      </c>
    </row>
    <row r="368" spans="1:2" hidden="1">
      <c r="A368" s="43">
        <f t="shared" si="11"/>
        <v>0.84000000000000052</v>
      </c>
      <c r="B368" s="42">
        <f t="shared" si="12"/>
        <v>-0.84000000000000052</v>
      </c>
    </row>
    <row r="369" spans="1:2" hidden="1">
      <c r="A369" s="43">
        <f t="shared" si="11"/>
        <v>0.85000000000000053</v>
      </c>
      <c r="B369" s="42">
        <f t="shared" si="12"/>
        <v>-0.85000000000000053</v>
      </c>
    </row>
    <row r="370" spans="1:2" hidden="1">
      <c r="A370" s="43">
        <f t="shared" si="11"/>
        <v>0.86000000000000054</v>
      </c>
      <c r="B370" s="42">
        <f t="shared" si="12"/>
        <v>-0.86000000000000054</v>
      </c>
    </row>
    <row r="371" spans="1:2" hidden="1">
      <c r="A371" s="43">
        <f t="shared" si="11"/>
        <v>0.87000000000000055</v>
      </c>
      <c r="B371" s="42">
        <f t="shared" si="12"/>
        <v>-0.87000000000000055</v>
      </c>
    </row>
    <row r="372" spans="1:2" hidden="1">
      <c r="A372" s="43">
        <f t="shared" si="11"/>
        <v>0.88000000000000056</v>
      </c>
      <c r="B372" s="42">
        <f t="shared" si="12"/>
        <v>-0.88000000000000056</v>
      </c>
    </row>
    <row r="373" spans="1:2" hidden="1">
      <c r="A373" s="43">
        <f t="shared" si="11"/>
        <v>0.89000000000000057</v>
      </c>
      <c r="B373" s="42">
        <f t="shared" si="12"/>
        <v>-0.89000000000000057</v>
      </c>
    </row>
    <row r="374" spans="1:2" hidden="1">
      <c r="A374" s="43">
        <f t="shared" si="11"/>
        <v>0.90000000000000058</v>
      </c>
      <c r="B374" s="42">
        <f t="shared" si="12"/>
        <v>-0.90000000000000058</v>
      </c>
    </row>
    <row r="375" spans="1:2">
      <c r="A375" s="43">
        <f t="shared" si="11"/>
        <v>0.91000000000000059</v>
      </c>
      <c r="B375" s="42">
        <f t="shared" si="12"/>
        <v>-0.91000000000000059</v>
      </c>
    </row>
    <row r="376" spans="1:2">
      <c r="A376" s="43">
        <f t="shared" si="11"/>
        <v>0.9200000000000006</v>
      </c>
      <c r="B376" s="42">
        <f t="shared" si="12"/>
        <v>-0.9200000000000006</v>
      </c>
    </row>
    <row r="377" spans="1:2">
      <c r="A377" s="43">
        <f t="shared" si="11"/>
        <v>0.9300000000000006</v>
      </c>
      <c r="B377" s="42">
        <f t="shared" si="12"/>
        <v>-0.9300000000000006</v>
      </c>
    </row>
    <row r="378" spans="1:2">
      <c r="A378" s="43">
        <f t="shared" si="11"/>
        <v>0.94000000000000061</v>
      </c>
      <c r="B378" s="42">
        <f t="shared" si="12"/>
        <v>-0.94000000000000061</v>
      </c>
    </row>
    <row r="379" spans="1:2">
      <c r="A379" s="43">
        <f t="shared" si="11"/>
        <v>0.95000000000000062</v>
      </c>
      <c r="B379" s="42">
        <f t="shared" si="12"/>
        <v>-0.95000000000000062</v>
      </c>
    </row>
    <row r="380" spans="1:2">
      <c r="A380" s="43">
        <f t="shared" si="11"/>
        <v>0.96000000000000063</v>
      </c>
      <c r="B380" s="42">
        <f t="shared" si="12"/>
        <v>-0.96000000000000063</v>
      </c>
    </row>
    <row r="381" spans="1:2">
      <c r="A381" s="43">
        <f t="shared" si="11"/>
        <v>0.97000000000000064</v>
      </c>
      <c r="B381" s="42">
        <f t="shared" si="12"/>
        <v>-0.97000000000000064</v>
      </c>
    </row>
    <row r="382" spans="1:2">
      <c r="A382" s="43">
        <f t="shared" si="11"/>
        <v>0.98000000000000065</v>
      </c>
      <c r="B382" s="42">
        <f t="shared" si="12"/>
        <v>-0.98000000000000065</v>
      </c>
    </row>
    <row r="383" spans="1:2">
      <c r="A383" s="43">
        <f t="shared" si="11"/>
        <v>0.99000000000000066</v>
      </c>
      <c r="B383" s="42">
        <f t="shared" si="12"/>
        <v>-0.99000000000000066</v>
      </c>
    </row>
    <row r="384" spans="1:2">
      <c r="A384" s="43">
        <f t="shared" si="11"/>
        <v>1.0000000000000007</v>
      </c>
      <c r="B384" s="42">
        <f t="shared" si="12"/>
        <v>-1.0000000000000007</v>
      </c>
    </row>
  </sheetData>
  <sheetProtection selectLockedCells="1" autoFilter="0" pivotTables="0"/>
  <conditionalFormatting sqref="A169 A68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85:A384 J9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85:B384 M9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85:B384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2:C68">
    <cfRule type="containsBlanks" dxfId="60" priority="19">
      <formula>LEN(TRIM(C12))=0</formula>
    </cfRule>
  </conditionalFormatting>
  <conditionalFormatting sqref="J2:J8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:M8"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:N9">
    <cfRule type="cellIs" dxfId="59" priority="33" operator="lessThan">
      <formula>0.516</formula>
    </cfRule>
    <cfRule type="cellIs" dxfId="58" priority="34" operator="greaterThan">
      <formula>0.516</formula>
    </cfRule>
  </conditionalFormatting>
  <conditionalFormatting sqref="O2:O9">
    <cfRule type="cellIs" dxfId="57" priority="31" operator="lessThan">
      <formula>0.0659</formula>
    </cfRule>
    <cfRule type="cellIs" dxfId="56" priority="32" operator="greaterThan">
      <formula>0.0659</formula>
    </cfRule>
  </conditionalFormatting>
  <conditionalFormatting sqref="D12:J68">
    <cfRule type="containsBlanks" dxfId="55" priority="10">
      <formula>LEN(TRIM(D12))=0</formula>
    </cfRule>
  </conditionalFormatting>
  <conditionalFormatting sqref="D12:D68">
    <cfRule type="cellIs" dxfId="54" priority="8" operator="lessThan">
      <formula>-200</formula>
    </cfRule>
    <cfRule type="cellIs" dxfId="53" priority="9" operator="greaterThan">
      <formula>200</formula>
    </cfRule>
  </conditionalFormatting>
  <conditionalFormatting sqref="E12:G68">
    <cfRule type="cellIs" dxfId="52" priority="6" operator="lessThan">
      <formula>-6</formula>
    </cfRule>
    <cfRule type="cellIs" dxfId="51" priority="7" operator="greaterThan">
      <formula>6</formula>
    </cfRule>
  </conditionalFormatting>
  <conditionalFormatting sqref="H12:H68">
    <cfRule type="cellIs" dxfId="50" priority="4" operator="lessThan">
      <formula>-3</formula>
    </cfRule>
    <cfRule type="cellIs" dxfId="49" priority="5" operator="greaterThan">
      <formula>3</formula>
    </cfRule>
  </conditionalFormatting>
  <conditionalFormatting sqref="I12:I68">
    <cfRule type="cellIs" dxfId="48" priority="2" operator="lessThan">
      <formula>-1000</formula>
    </cfRule>
    <cfRule type="cellIs" dxfId="47" priority="3" operator="greaterThan">
      <formula>1000</formula>
    </cfRule>
  </conditionalFormatting>
  <conditionalFormatting sqref="P12:P6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C9AFF-BC38-4067-8F7A-98E58D42A4FB}">
  <dimension ref="A1:T384"/>
  <sheetViews>
    <sheetView zoomScale="84" zoomScaleNormal="100" workbookViewId="0">
      <selection activeCell="C95" sqref="C95"/>
    </sheetView>
  </sheetViews>
  <sheetFormatPr defaultColWidth="9.140625" defaultRowHeight="12.75"/>
  <cols>
    <col min="1" max="1" width="25.28515625" style="6" bestFit="1" customWidth="1"/>
    <col min="2" max="2" width="22" style="6" bestFit="1" customWidth="1"/>
    <col min="3" max="3" width="18.85546875" style="6" bestFit="1" customWidth="1"/>
    <col min="4" max="4" width="22.5703125" style="6" bestFit="1" customWidth="1"/>
    <col min="5" max="5" width="18" style="6" bestFit="1" customWidth="1"/>
    <col min="6" max="6" width="17.85546875" style="6" bestFit="1" customWidth="1"/>
    <col min="7" max="7" width="27" style="6" bestFit="1" customWidth="1"/>
    <col min="8" max="8" width="26.7109375" style="6" bestFit="1" customWidth="1"/>
    <col min="9" max="10" width="24" style="6" bestFit="1" customWidth="1"/>
    <col min="11" max="11" width="22.5703125" style="6" hidden="1" customWidth="1"/>
    <col min="12" max="12" width="25" style="6" hidden="1" customWidth="1"/>
    <col min="13" max="13" width="13.28515625" style="6" hidden="1" customWidth="1"/>
    <col min="14" max="14" width="7.85546875" style="6" hidden="1" customWidth="1"/>
    <col min="15" max="15" width="11.140625" style="6" hidden="1" customWidth="1"/>
    <col min="16" max="16" width="11.140625" style="6" bestFit="1" customWidth="1"/>
    <col min="17" max="17" width="9.140625" style="6"/>
    <col min="18" max="18" width="16.28515625" style="6" hidden="1" customWidth="1"/>
    <col min="19" max="19" width="16.7109375" style="6" bestFit="1" customWidth="1"/>
    <col min="20" max="20" width="3.140625" style="6" bestFit="1" customWidth="1"/>
    <col min="21" max="16384" width="9.140625" style="6"/>
  </cols>
  <sheetData>
    <row r="1" spans="1:20" ht="18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4"/>
      <c r="L1" s="5" t="s">
        <v>10</v>
      </c>
      <c r="M1" s="2" t="s">
        <v>11</v>
      </c>
      <c r="N1" s="2" t="s">
        <v>12</v>
      </c>
      <c r="O1" s="3" t="s">
        <v>13</v>
      </c>
      <c r="S1" s="6" t="s">
        <v>14</v>
      </c>
      <c r="T1" s="6">
        <f>'P10 - 10-04'!T1+'P10 - 10-11'!T1+'P10 - 10-18'!T1+'P10 - 10-25'!T1+'P10 - 11-01'!T1</f>
        <v>58</v>
      </c>
    </row>
    <row r="2" spans="1:20" ht="18">
      <c r="A2" s="7" t="str">
        <f>A12</f>
        <v>Baton Rouge North</v>
      </c>
      <c r="B2" s="8">
        <f>SUM(C12:C19)</f>
        <v>10847.58</v>
      </c>
      <c r="C2" s="8">
        <f t="shared" ref="B2:I2" si="0">SUM(D12:D19)</f>
        <v>8082.7800000000007</v>
      </c>
      <c r="D2" s="8">
        <f t="shared" si="0"/>
        <v>4028</v>
      </c>
      <c r="E2" s="8">
        <f t="shared" si="0"/>
        <v>399</v>
      </c>
      <c r="F2" s="8">
        <f t="shared" si="0"/>
        <v>-144</v>
      </c>
      <c r="G2" s="8">
        <f t="shared" si="0"/>
        <v>436</v>
      </c>
      <c r="H2" s="9">
        <f t="shared" si="0"/>
        <v>45441.438000000009</v>
      </c>
      <c r="I2" s="8">
        <f t="shared" si="0"/>
        <v>132</v>
      </c>
      <c r="J2" s="10">
        <f>I2/SUM(S12:S19)</f>
        <v>0.37931034482758619</v>
      </c>
      <c r="K2" s="11"/>
      <c r="L2" s="12">
        <f>SUM(L12:L12)</f>
        <v>4238.9799999999996</v>
      </c>
      <c r="M2" s="13">
        <f>((F2-G12)/L2)-100%</f>
        <v>-1.0658177203006383</v>
      </c>
      <c r="N2" s="13">
        <f>SUM(N12:N12)/C2</f>
        <v>0</v>
      </c>
      <c r="O2" s="14">
        <f>SUM(P12:P12)/C2</f>
        <v>1.0665500799443278E-5</v>
      </c>
    </row>
    <row r="3" spans="1:20" ht="18">
      <c r="A3" s="7" t="str">
        <f>A20</f>
        <v>Baton Rouge South</v>
      </c>
      <c r="B3" s="8">
        <f t="shared" ref="B3:I3" si="1">SUM(C20:C26)</f>
        <v>22307.589999999997</v>
      </c>
      <c r="C3" s="8">
        <f t="shared" si="1"/>
        <v>21861.089999999997</v>
      </c>
      <c r="D3" s="15">
        <f t="shared" si="1"/>
        <v>1525</v>
      </c>
      <c r="E3" s="15">
        <f t="shared" si="1"/>
        <v>110</v>
      </c>
      <c r="F3" s="15">
        <f t="shared" si="1"/>
        <v>557</v>
      </c>
      <c r="G3" s="15">
        <f>SUM(H20:H26)</f>
        <v>143</v>
      </c>
      <c r="H3" s="9">
        <f t="shared" si="1"/>
        <v>72797.789699999994</v>
      </c>
      <c r="I3" s="8">
        <f t="shared" si="1"/>
        <v>255</v>
      </c>
      <c r="J3" s="10">
        <f>I3/SUM(S20:S26)</f>
        <v>0.6280788177339901</v>
      </c>
      <c r="K3" s="11"/>
      <c r="L3" s="12">
        <f>SUM(L13:L13)</f>
        <v>5844.34</v>
      </c>
      <c r="M3" s="13">
        <f>((F3-G13)/L3)-100%</f>
        <v>-0.90554964290236362</v>
      </c>
      <c r="N3" s="13">
        <f>SUM(N13:N13)/C3</f>
        <v>0</v>
      </c>
      <c r="O3" s="14">
        <f>SUM(P13:P13)/C3</f>
        <v>3.0758475131086709E-5</v>
      </c>
    </row>
    <row r="4" spans="1:20" ht="18">
      <c r="A4" s="7" t="str">
        <f>A27</f>
        <v>Gulf Coast North</v>
      </c>
      <c r="B4" s="8">
        <f t="shared" ref="B4:I4" si="2">SUM(C27:C35)</f>
        <v>17602</v>
      </c>
      <c r="C4" s="8">
        <f t="shared" si="2"/>
        <v>6372</v>
      </c>
      <c r="D4" s="8">
        <f t="shared" si="2"/>
        <v>600</v>
      </c>
      <c r="E4" s="8">
        <f t="shared" si="2"/>
        <v>127</v>
      </c>
      <c r="F4" s="8">
        <f t="shared" si="2"/>
        <v>96</v>
      </c>
      <c r="G4" s="8">
        <f t="shared" si="2"/>
        <v>187</v>
      </c>
      <c r="H4" s="9">
        <f t="shared" si="2"/>
        <v>41470.49</v>
      </c>
      <c r="I4" s="8">
        <f t="shared" si="2"/>
        <v>310</v>
      </c>
      <c r="J4" s="10">
        <f>I4/SUM(S27:S35)</f>
        <v>0.5938697318007663</v>
      </c>
      <c r="K4" s="11"/>
      <c r="L4" s="12">
        <f>SUM(L14:L24)</f>
        <v>52541.38</v>
      </c>
      <c r="M4" s="13">
        <f>(F4/L4)-100%</f>
        <v>-0.99817286869891886</v>
      </c>
      <c r="N4" s="13">
        <f>SUM(N14:N24)/C4</f>
        <v>0</v>
      </c>
      <c r="O4" s="14" t="e">
        <f>SUM(P14:P24)/C4</f>
        <v>#DIV/0!</v>
      </c>
    </row>
    <row r="5" spans="1:20" ht="18">
      <c r="A5" s="7" t="str">
        <f>A36</f>
        <v>Gulf Coast West</v>
      </c>
      <c r="B5" s="8">
        <f t="shared" ref="B5:I5" si="3">SUM(C36:C42)</f>
        <v>3217</v>
      </c>
      <c r="C5" s="8">
        <f t="shared" si="3"/>
        <v>3080</v>
      </c>
      <c r="D5" s="8">
        <f t="shared" si="3"/>
        <v>-116</v>
      </c>
      <c r="E5" s="8">
        <f t="shared" si="3"/>
        <v>235</v>
      </c>
      <c r="F5" s="8">
        <f t="shared" si="3"/>
        <v>208</v>
      </c>
      <c r="G5" s="8">
        <f t="shared" si="3"/>
        <v>8</v>
      </c>
      <c r="H5" s="9">
        <f t="shared" si="3"/>
        <v>20217.61</v>
      </c>
      <c r="I5" s="8">
        <f t="shared" si="3"/>
        <v>241</v>
      </c>
      <c r="J5" s="10">
        <f>I5/SUM(S36:S42)</f>
        <v>0.59359605911330049</v>
      </c>
      <c r="K5" s="11"/>
      <c r="L5" s="12">
        <f>SUM(L25:L37)</f>
        <v>80972.98000000001</v>
      </c>
      <c r="M5" s="13">
        <f>((F5-G35-G36-G37)/L5)-100%</f>
        <v>-0.99993825100669387</v>
      </c>
      <c r="N5" s="13">
        <f>SUM(N25:N37)/C5</f>
        <v>0</v>
      </c>
      <c r="O5" s="14">
        <f>SUM(P25:P37)/C5</f>
        <v>2.603000447828034E-3</v>
      </c>
    </row>
    <row r="6" spans="1:20" ht="18">
      <c r="A6" s="7" t="str">
        <f>A43</f>
        <v>Lafayette</v>
      </c>
      <c r="B6" s="8">
        <f>SUM(C43:C50)</f>
        <v>6626</v>
      </c>
      <c r="C6" s="8">
        <f t="shared" ref="C6:H6" si="4">SUM(D43:D50)</f>
        <v>2372</v>
      </c>
      <c r="D6" s="8">
        <f t="shared" si="4"/>
        <v>169</v>
      </c>
      <c r="E6" s="8">
        <f t="shared" si="4"/>
        <v>-3</v>
      </c>
      <c r="F6" s="8">
        <f t="shared" si="4"/>
        <v>-144</v>
      </c>
      <c r="G6" s="8">
        <f t="shared" si="4"/>
        <v>-7</v>
      </c>
      <c r="H6" s="9">
        <f t="shared" si="4"/>
        <v>13644.590000000002</v>
      </c>
      <c r="I6" s="8">
        <f>SUM(J43:J50)</f>
        <v>335</v>
      </c>
      <c r="J6" s="10">
        <f>I6/SUM(S43:S50)</f>
        <v>0.72198275862068961</v>
      </c>
      <c r="K6" s="11"/>
      <c r="L6" s="12"/>
      <c r="M6" s="13"/>
      <c r="N6" s="13"/>
      <c r="O6" s="14"/>
    </row>
    <row r="7" spans="1:20" ht="18">
      <c r="A7" s="7" t="str">
        <f>A51</f>
        <v>NOLA North</v>
      </c>
      <c r="B7" s="8">
        <f>SUM(C51:C59)</f>
        <v>18198</v>
      </c>
      <c r="C7" s="8">
        <f>SUM(D51:D59)</f>
        <v>4163</v>
      </c>
      <c r="D7" s="8">
        <f>SUM(E51:E59)</f>
        <v>104</v>
      </c>
      <c r="E7" s="8">
        <f>SUM(F51:F59)</f>
        <v>73</v>
      </c>
      <c r="F7" s="8">
        <f>SUM(G51:G59)</f>
        <v>-6</v>
      </c>
      <c r="G7" s="8">
        <f>SUM(H51:H59)</f>
        <v>34</v>
      </c>
      <c r="H7" s="9">
        <f>SUM(I51:I59)</f>
        <v>24316.879999999997</v>
      </c>
      <c r="I7" s="8">
        <f>SUM(J51:J59)</f>
        <v>381</v>
      </c>
      <c r="J7" s="10">
        <f>I7/SUM(S51:S59)</f>
        <v>0.79707112970711302</v>
      </c>
      <c r="K7" s="11"/>
      <c r="L7" s="12">
        <f>SUM(L38:L46)</f>
        <v>38554.76</v>
      </c>
      <c r="M7" s="13">
        <f>(F7/L7)-100%</f>
        <v>-1.0001556228076638</v>
      </c>
      <c r="N7" s="13">
        <f>SUM(N38:N46)/C7</f>
        <v>0</v>
      </c>
      <c r="O7" s="14">
        <f>SUM(P38:P46)/C7</f>
        <v>1.4868256479495061E-3</v>
      </c>
    </row>
    <row r="8" spans="1:20" ht="18">
      <c r="A8" s="16" t="str">
        <f>A60</f>
        <v>NOLA South</v>
      </c>
      <c r="B8" s="17">
        <f>SUM(C60:C68)</f>
        <v>17069</v>
      </c>
      <c r="C8" s="17">
        <f>SUM(D60:D68)</f>
        <v>12049</v>
      </c>
      <c r="D8" s="17">
        <f>SUM(E60:E68)</f>
        <v>1128</v>
      </c>
      <c r="E8" s="17">
        <f>SUM(F60:F68)</f>
        <v>92</v>
      </c>
      <c r="F8" s="17">
        <f>SUM(G60:G68)</f>
        <v>16</v>
      </c>
      <c r="G8" s="17">
        <f>SUM(H60:H68)</f>
        <v>108</v>
      </c>
      <c r="H8" s="18">
        <f>SUM(I60:I68)</f>
        <v>51591.969999999994</v>
      </c>
      <c r="I8" s="17">
        <f>SUM(J60:J68)</f>
        <v>376</v>
      </c>
      <c r="J8" s="19">
        <f>I8/SUM(S60:S68)</f>
        <v>0.72030651340996166</v>
      </c>
      <c r="K8" s="11"/>
      <c r="L8" s="12">
        <f>SUM(L47:L55)</f>
        <v>19465.43</v>
      </c>
      <c r="M8" s="13">
        <f>((F8-G55)/L8)-100%</f>
        <v>-0.99825331369509951</v>
      </c>
      <c r="N8" s="13">
        <f>SUM(N47:N55)/C8</f>
        <v>8.2994439372562041E-5</v>
      </c>
      <c r="O8" s="14">
        <f>SUM(P47:P55)/C8</f>
        <v>5.6951356672896021E-4</v>
      </c>
    </row>
    <row r="9" spans="1:20" ht="18">
      <c r="A9" s="20" t="s">
        <v>15</v>
      </c>
      <c r="B9" s="21">
        <f t="shared" ref="B9:H9" si="5">SUM(B2:B8)</f>
        <v>95867.17</v>
      </c>
      <c r="C9" s="21">
        <f t="shared" si="5"/>
        <v>57979.869999999995</v>
      </c>
      <c r="D9" s="22">
        <f t="shared" si="5"/>
        <v>7438</v>
      </c>
      <c r="E9" s="22">
        <f t="shared" si="5"/>
        <v>1033</v>
      </c>
      <c r="F9" s="22">
        <f t="shared" si="5"/>
        <v>583</v>
      </c>
      <c r="G9" s="22">
        <f t="shared" si="5"/>
        <v>909</v>
      </c>
      <c r="H9" s="23">
        <f t="shared" si="5"/>
        <v>269480.76770000003</v>
      </c>
      <c r="I9" s="21">
        <f>SUM(I2:I8)</f>
        <v>2030</v>
      </c>
      <c r="J9" s="24">
        <f>I9/SUM(S12:S68)</f>
        <v>0.64526382708200891</v>
      </c>
      <c r="K9" s="25"/>
      <c r="L9" s="26">
        <f>SUM(L2:L8)</f>
        <v>201617.87</v>
      </c>
      <c r="M9" s="27">
        <f>((F9-G12-G13-G35-G36-G37-G55)/L9)-100%</f>
        <v>-0.99872035152439609</v>
      </c>
      <c r="N9" s="27" cm="1">
        <f t="array" ref="N9">SUM(Table178910111213235783456[Big 4 Items]/C9)</f>
        <v>1.7247365335589749E-5</v>
      </c>
      <c r="O9" s="28" t="e">
        <f>SUM(Table178910111213235783456[Count Compliance2])/C9</f>
        <v>#DIV/0!</v>
      </c>
    </row>
    <row r="11" spans="1:20">
      <c r="A11" s="6" t="s">
        <v>0</v>
      </c>
      <c r="B11" s="6" t="s">
        <v>16</v>
      </c>
      <c r="C11" s="6" t="s">
        <v>1</v>
      </c>
      <c r="D11" s="6" t="s">
        <v>17</v>
      </c>
      <c r="E11" s="6" t="s">
        <v>3</v>
      </c>
      <c r="F11" s="6" t="s">
        <v>4</v>
      </c>
      <c r="G11" s="6" t="s">
        <v>5</v>
      </c>
      <c r="H11" s="6" t="s">
        <v>6</v>
      </c>
      <c r="I11" s="6" t="s">
        <v>7</v>
      </c>
      <c r="J11" s="6" t="s">
        <v>8</v>
      </c>
      <c r="K11" s="6" t="s">
        <v>9</v>
      </c>
      <c r="L11" s="6" t="s">
        <v>10</v>
      </c>
      <c r="M11" s="6" t="s">
        <v>18</v>
      </c>
      <c r="N11" s="6" t="s">
        <v>19</v>
      </c>
      <c r="O11" s="6" t="s">
        <v>12</v>
      </c>
      <c r="P11" s="6" t="s">
        <v>20</v>
      </c>
    </row>
    <row r="12" spans="1:20" ht="15" hidden="1">
      <c r="A12" s="29" t="s">
        <v>21</v>
      </c>
      <c r="B12" s="30">
        <v>17</v>
      </c>
      <c r="C12" s="31">
        <f>Table17891011121323578[[#This Row],[Lubricants/Oil +/-]]+Table178910111213235787[[#This Row],[Lubricants/Oil +/-]]+Table178910111213235783[[#This Row],[Lubricants/Oil +/-]]+Table1789101112132357834[[#This Row],[Lubricants/Oil +/-]]+Table17891011121323578345[[#This Row],[Lubricants/Oil +/-]]</f>
        <v>-791.93</v>
      </c>
      <c r="D12" s="32">
        <f>Table17891011121323578[[#This Row],[Oil +/- ]]+Table178910111213235787[[#This Row],[Oil +/- ]]+Table178910111213235783[[#This Row],[Oil +/- ]]+Table1789101112132357834[[#This Row],[Oil +/- ]]+Table17891011121323578345[[#This Row],[Oil +/- ]]</f>
        <v>-839.93</v>
      </c>
      <c r="E12" s="32">
        <f>Table17891011121323578[[#This Row],[Oil Filters +/-]]+Table178910111213235787[[#This Row],[Oil Filters +/-]]+Table178910111213235783[[#This Row],[Oil Filters +/-]]+Table1789101112132357834[[#This Row],[Oil Filters +/-]]+Table17891011121323578345[[#This Row],[Oil Filters +/-]]</f>
        <v>3112</v>
      </c>
      <c r="F12" s="32">
        <f>Table17891011121323578[[#This Row],[Air Filters +/-]]+Table178910111213235787[[#This Row],[Air Filters +/-]]+Table178910111213235783[[#This Row],[Air Filters +/-]]+Table1789101112132357834[[#This Row],[Air Filters +/-]]+Table17891011121323578345[[#This Row],[Air Filters +/-]]</f>
        <v>318</v>
      </c>
      <c r="G12" s="32">
        <f>Table17891011121323578[[#This Row],[Wipers +/-]]+Table178910111213235787[[#This Row],[Wipers +/-]]+Table178910111213235783[[#This Row],[Wipers +/-]]+Table1789101112132357834[[#This Row],[Wipers +/-]]+Table17891011121323578345[[#This Row],[Wipers +/-]]</f>
        <v>135</v>
      </c>
      <c r="H12" s="32">
        <f>Table17891011121323578[[#This Row],[Cabins +/-]]+Table178910111213235787[[#This Row],[Cabins +/-]]+Table178910111213235783[[#This Row],[Cabins +/-]]+Table1789101112132357834[[#This Row],[Cabins +/-]]+Table17891011121323578345[[#This Row],[Cabins +/-]]</f>
        <v>348</v>
      </c>
      <c r="I12" s="33">
        <f>Table17891011121323578[[#This Row],[Adjustment Variance]]+Table178910111213235787[[#This Row],[Adjustment Variance]]+Table178910111213235783[[#This Row],[Adjustment Variance]]+Table1789101112132357834[[#This Row],[Adjustment Variance]]+Table17891011121323578345[[#This Row],[Adjustment Variance]]</f>
        <v>6196.3360999999995</v>
      </c>
      <c r="J12" s="32">
        <f>Table17891011121323578[[#This Row],[On Time Counts]]+Table178910111213235787[[#This Row],[On Time Counts]]+Table178910111213235783[[#This Row],[On Time Counts]]+Table1789101112132357834[[#This Row],[On Time Counts]]+Table17891011121323578345[[#This Row],[On Time Counts]]</f>
        <v>5</v>
      </c>
      <c r="K12" s="34">
        <f>Table178910111213235783456[[#This Row],[On Time Counts]]/45</f>
        <v>0.1111111111111111</v>
      </c>
      <c r="L12" s="35">
        <v>4238.9799999999996</v>
      </c>
      <c r="M12" s="36">
        <f>Table178910111213235783456[[#This Row],[Wipers +/-]]/Table178910111213235783456[[#This Row],[Comp Sales]]</f>
        <v>3.1847284016437917E-2</v>
      </c>
      <c r="N12" s="37">
        <v>0</v>
      </c>
      <c r="O12" s="36">
        <f>Table178910111213235783456[[#This Row],[Big 4 Items]]/Table178910111213235783456[[#This Row],[Oil +/- ]]</f>
        <v>0</v>
      </c>
      <c r="P12" s="38">
        <f>J12/S12</f>
        <v>8.6206896551724144E-2</v>
      </c>
      <c r="S12" s="6">
        <f>'P10 - 10-04'!S12+'P10 - 10-11'!S12+'P10 - 10-18'!S12+'P10 - 10-25'!S12+'P10 - 11-01'!S12</f>
        <v>58</v>
      </c>
    </row>
    <row r="13" spans="1:20" ht="15" hidden="1">
      <c r="A13" s="29" t="s">
        <v>21</v>
      </c>
      <c r="B13" s="30">
        <v>22</v>
      </c>
      <c r="C13" s="31">
        <f>Table17891011121323578[[#This Row],[Lubricants/Oil +/-]]+Table178910111213235787[[#This Row],[Lubricants/Oil +/-]]+Table178910111213235783[[#This Row],[Lubricants/Oil +/-]]+Table1789101112132357834[[#This Row],[Lubricants/Oil +/-]]+Table17891011121323578345[[#This Row],[Lubricants/Oil +/-]]</f>
        <v>3451.5499999999997</v>
      </c>
      <c r="D13" s="32">
        <f>Table17891011121323578[[#This Row],[Oil +/- ]]+Table178910111213235787[[#This Row],[Oil +/- ]]+Table178910111213235783[[#This Row],[Oil +/- ]]+Table1789101112132357834[[#This Row],[Oil +/- ]]+Table17891011121323578345[[#This Row],[Oil +/- ]]</f>
        <v>1084.4499999999998</v>
      </c>
      <c r="E13" s="32">
        <f>Table17891011121323578[[#This Row],[Oil Filters +/-]]+Table178910111213235787[[#This Row],[Oil Filters +/-]]+Table178910111213235783[[#This Row],[Oil Filters +/-]]+Table1789101112132357834[[#This Row],[Oil Filters +/-]]+Table17891011121323578345[[#This Row],[Oil Filters +/-]]</f>
        <v>354</v>
      </c>
      <c r="F13" s="32">
        <f>Table17891011121323578[[#This Row],[Air Filters +/-]]+Table178910111213235787[[#This Row],[Air Filters +/-]]+Table178910111213235783[[#This Row],[Air Filters +/-]]+Table1789101112132357834[[#This Row],[Air Filters +/-]]+Table17891011121323578345[[#This Row],[Air Filters +/-]]</f>
        <v>119</v>
      </c>
      <c r="G13" s="32">
        <f>Table17891011121323578[[#This Row],[Wipers +/-]]+Table178910111213235787[[#This Row],[Wipers +/-]]+Table178910111213235783[[#This Row],[Wipers +/-]]+Table1789101112132357834[[#This Row],[Wipers +/-]]+Table17891011121323578345[[#This Row],[Wipers +/-]]</f>
        <v>5</v>
      </c>
      <c r="H13" s="32">
        <f>Table17891011121323578[[#This Row],[Cabins +/-]]+Table178910111213235787[[#This Row],[Cabins +/-]]+Table178910111213235783[[#This Row],[Cabins +/-]]+Table1789101112132357834[[#This Row],[Cabins +/-]]+Table17891011121323578345[[#This Row],[Cabins +/-]]</f>
        <v>79</v>
      </c>
      <c r="I13" s="33">
        <f>Table17891011121323578[[#This Row],[Adjustment Variance]]+Table178910111213235787[[#This Row],[Adjustment Variance]]+Table178910111213235783[[#This Row],[Adjustment Variance]]+Table1789101112132357834[[#This Row],[Adjustment Variance]]+Table17891011121323578345[[#This Row],[Adjustment Variance]]</f>
        <v>6456.1023999999998</v>
      </c>
      <c r="J13" s="32">
        <f>Table17891011121323578[[#This Row],[On Time Counts]]+Table178910111213235787[[#This Row],[On Time Counts]]+Table178910111213235783[[#This Row],[On Time Counts]]+Table1789101112132357834[[#This Row],[On Time Counts]]+Table17891011121323578345[[#This Row],[On Time Counts]]</f>
        <v>39</v>
      </c>
      <c r="K13" s="34">
        <f>Table178910111213235783456[[#This Row],[On Time Counts]]/45</f>
        <v>0.8666666666666667</v>
      </c>
      <c r="L13" s="35">
        <v>5844.34</v>
      </c>
      <c r="M13" s="36">
        <f>Table178910111213235783456[[#This Row],[Wipers +/-]]/Table178910111213235783456[[#This Row],[Comp Sales]]</f>
        <v>8.5552859689887997E-4</v>
      </c>
      <c r="N13" s="37">
        <v>0</v>
      </c>
      <c r="O13" s="36">
        <f>Table178910111213235783456[[#This Row],[Big 4 Items]]/Table178910111213235783456[[#This Row],[Oil +/- ]]</f>
        <v>0</v>
      </c>
      <c r="P13" s="38">
        <f t="shared" ref="P13:P68" si="6">J13/S13</f>
        <v>0.67241379310344829</v>
      </c>
      <c r="S13" s="6">
        <f>'P10 - 10-04'!S13+'P10 - 10-11'!S13+'P10 - 10-18'!S13+'P10 - 10-25'!S13+'P10 - 11-01'!S13</f>
        <v>58</v>
      </c>
    </row>
    <row r="14" spans="1:20" ht="15" hidden="1">
      <c r="A14" s="29" t="s">
        <v>21</v>
      </c>
      <c r="B14" s="30">
        <v>641</v>
      </c>
      <c r="C14" s="31">
        <f>Table17891011121323578[[#This Row],[Lubricants/Oil +/-]]+Table178910111213235787[[#This Row],[Lubricants/Oil +/-]]+Table178910111213235783[[#This Row],[Lubricants/Oil +/-]]+Table1789101112132357834[[#This Row],[Lubricants/Oil +/-]]+Table17891011121323578345[[#This Row],[Lubricants/Oil +/-]]</f>
        <v>-697.56000000000006</v>
      </c>
      <c r="D14" s="32">
        <f>Table17891011121323578[[#This Row],[Oil +/- ]]+Table178910111213235787[[#This Row],[Oil +/- ]]+Table178910111213235783[[#This Row],[Oil +/- ]]+Table1789101112132357834[[#This Row],[Oil +/- ]]+Table17891011121323578345[[#This Row],[Oil +/- ]]</f>
        <v>-497.46</v>
      </c>
      <c r="E14" s="32">
        <f>Table17891011121323578[[#This Row],[Oil Filters +/-]]+Table178910111213235787[[#This Row],[Oil Filters +/-]]+Table178910111213235783[[#This Row],[Oil Filters +/-]]+Table1789101112132357834[[#This Row],[Oil Filters +/-]]+Table17891011121323578345[[#This Row],[Oil Filters +/-]]</f>
        <v>-105</v>
      </c>
      <c r="F14" s="32">
        <f>Table17891011121323578[[#This Row],[Air Filters +/-]]+Table178910111213235787[[#This Row],[Air Filters +/-]]+Table178910111213235783[[#This Row],[Air Filters +/-]]+Table1789101112132357834[[#This Row],[Air Filters +/-]]+Table17891011121323578345[[#This Row],[Air Filters +/-]]</f>
        <v>1</v>
      </c>
      <c r="G14" s="32">
        <f>Table17891011121323578[[#This Row],[Wipers +/-]]+Table178910111213235787[[#This Row],[Wipers +/-]]+Table178910111213235783[[#This Row],[Wipers +/-]]+Table1789101112132357834[[#This Row],[Wipers +/-]]+Table17891011121323578345[[#This Row],[Wipers +/-]]</f>
        <v>-19</v>
      </c>
      <c r="H14" s="32">
        <f>Table17891011121323578[[#This Row],[Cabins +/-]]+Table178910111213235787[[#This Row],[Cabins +/-]]+Table178910111213235783[[#This Row],[Cabins +/-]]+Table1789101112132357834[[#This Row],[Cabins +/-]]+Table17891011121323578345[[#This Row],[Cabins +/-]]</f>
        <v>23</v>
      </c>
      <c r="I14" s="33">
        <f>Table17891011121323578[[#This Row],[Adjustment Variance]]+Table178910111213235787[[#This Row],[Adjustment Variance]]+Table178910111213235783[[#This Row],[Adjustment Variance]]+Table1789101112132357834[[#This Row],[Adjustment Variance]]+Table17891011121323578345[[#This Row],[Adjustment Variance]]</f>
        <v>-2705.9567000000002</v>
      </c>
      <c r="J14" s="32">
        <f>Table17891011121323578[[#This Row],[On Time Counts]]+Table178910111213235787[[#This Row],[On Time Counts]]+Table178910111213235783[[#This Row],[On Time Counts]]+Table1789101112132357834[[#This Row],[On Time Counts]]+Table17891011121323578345[[#This Row],[On Time Counts]]</f>
        <v>40</v>
      </c>
      <c r="K14" s="34">
        <f>Table178910111213235783456[[#This Row],[On Time Counts]]/45</f>
        <v>0.88888888888888884</v>
      </c>
      <c r="L14" s="35">
        <v>3219.34</v>
      </c>
      <c r="M14" s="36">
        <f>Table178910111213235783456[[#This Row],[Wipers +/-]]/Table178910111213235783456[[#This Row],[Comp Sales]]</f>
        <v>-5.9018308100418099E-3</v>
      </c>
      <c r="N14" s="37">
        <v>0</v>
      </c>
      <c r="O14" s="36">
        <f>Table178910111213235783456[[#This Row],[Big 4 Items]]/Table178910111213235783456[[#This Row],[Oil +/- ]]</f>
        <v>0</v>
      </c>
      <c r="P14" s="38">
        <f t="shared" si="6"/>
        <v>0.68965517241379315</v>
      </c>
      <c r="S14" s="6">
        <f>'P10 - 10-04'!S14+'P10 - 10-11'!S14+'P10 - 10-18'!S14+'P10 - 10-25'!S14+'P10 - 11-01'!S14</f>
        <v>58</v>
      </c>
    </row>
    <row r="15" spans="1:20" ht="15" hidden="1">
      <c r="A15" s="29" t="s">
        <v>21</v>
      </c>
      <c r="B15" s="30">
        <v>717</v>
      </c>
      <c r="C15" s="31">
        <f>Table17891011121323578[[#This Row],[Lubricants/Oil +/-]]+Table178910111213235787[[#This Row],[Lubricants/Oil +/-]]+Table178910111213235783[[#This Row],[Lubricants/Oil +/-]]+Table1789101112132357834[[#This Row],[Lubricants/Oil +/-]]+Table17891011121323578345[[#This Row],[Lubricants/Oil +/-]]</f>
        <v>3009.84</v>
      </c>
      <c r="D15" s="32">
        <f>Table17891011121323578[[#This Row],[Oil +/- ]]+Table178910111213235787[[#This Row],[Oil +/- ]]+Table178910111213235783[[#This Row],[Oil +/- ]]+Table1789101112132357834[[#This Row],[Oil +/- ]]+Table17891011121323578345[[#This Row],[Oil +/- ]]</f>
        <v>2659.54</v>
      </c>
      <c r="E15" s="32">
        <f>Table17891011121323578[[#This Row],[Oil Filters +/-]]+Table178910111213235787[[#This Row],[Oil Filters +/-]]+Table178910111213235783[[#This Row],[Oil Filters +/-]]+Table1789101112132357834[[#This Row],[Oil Filters +/-]]+Table17891011121323578345[[#This Row],[Oil Filters +/-]]</f>
        <v>198</v>
      </c>
      <c r="F15" s="32">
        <f>Table17891011121323578[[#This Row],[Air Filters +/-]]+Table178910111213235787[[#This Row],[Air Filters +/-]]+Table178910111213235783[[#This Row],[Air Filters +/-]]+Table1789101112132357834[[#This Row],[Air Filters +/-]]+Table17891011121323578345[[#This Row],[Air Filters +/-]]</f>
        <v>-5</v>
      </c>
      <c r="G15" s="32">
        <f>Table17891011121323578[[#This Row],[Wipers +/-]]+Table178910111213235787[[#This Row],[Wipers +/-]]+Table178910111213235783[[#This Row],[Wipers +/-]]+Table1789101112132357834[[#This Row],[Wipers +/-]]+Table17891011121323578345[[#This Row],[Wipers +/-]]</f>
        <v>-92</v>
      </c>
      <c r="H15" s="32">
        <f>Table17891011121323578[[#This Row],[Cabins +/-]]+Table178910111213235787[[#This Row],[Cabins +/-]]+Table178910111213235783[[#This Row],[Cabins +/-]]+Table1789101112132357834[[#This Row],[Cabins +/-]]+Table17891011121323578345[[#This Row],[Cabins +/-]]</f>
        <v>-55</v>
      </c>
      <c r="I15" s="33">
        <f>Table17891011121323578[[#This Row],[Adjustment Variance]]+Table178910111213235787[[#This Row],[Adjustment Variance]]+Table178910111213235783[[#This Row],[Adjustment Variance]]+Table1789101112132357834[[#This Row],[Adjustment Variance]]+Table17891011121323578345[[#This Row],[Adjustment Variance]]</f>
        <v>6315.6986000000006</v>
      </c>
      <c r="J15" s="32">
        <f>Table17891011121323578[[#This Row],[On Time Counts]]+Table178910111213235787[[#This Row],[On Time Counts]]+Table178910111213235783[[#This Row],[On Time Counts]]+Table1789101112132357834[[#This Row],[On Time Counts]]+Table17891011121323578345[[#This Row],[On Time Counts]]</f>
        <v>11</v>
      </c>
      <c r="K15" s="34">
        <f>Table178910111213235783456[[#This Row],[On Time Counts]]/45</f>
        <v>0.24444444444444444</v>
      </c>
      <c r="L15" s="35">
        <v>8034.77</v>
      </c>
      <c r="M15" s="36">
        <f>Table178910111213235783456[[#This Row],[Wipers +/-]]/Table178910111213235783456[[#This Row],[Comp Sales]]</f>
        <v>-1.1450234418657907E-2</v>
      </c>
      <c r="N15" s="37">
        <v>0</v>
      </c>
      <c r="O15" s="36">
        <f>Table178910111213235783456[[#This Row],[Big 4 Items]]/Table178910111213235783456[[#This Row],[Oil +/- ]]</f>
        <v>0</v>
      </c>
      <c r="P15" s="38">
        <f t="shared" si="6"/>
        <v>0.18965517241379309</v>
      </c>
      <c r="S15" s="6">
        <f>'P10 - 10-04'!S15+'P10 - 10-11'!S15+'P10 - 10-18'!S15+'P10 - 10-25'!S15+'P10 - 11-01'!S15</f>
        <v>58</v>
      </c>
    </row>
    <row r="16" spans="1:20" ht="15" hidden="1">
      <c r="A16" s="29" t="s">
        <v>21</v>
      </c>
      <c r="B16" s="30">
        <v>843</v>
      </c>
      <c r="C16" s="31">
        <f>Table17891011121323578[[#This Row],[Lubricants/Oil +/-]]+Table178910111213235787[[#This Row],[Lubricants/Oil +/-]]+Table178910111213235783[[#This Row],[Lubricants/Oil +/-]]+Table1789101112132357834[[#This Row],[Lubricants/Oil +/-]]+Table17891011121323578345[[#This Row],[Lubricants/Oil +/-]]</f>
        <v>3467.6800000000003</v>
      </c>
      <c r="D16" s="32">
        <f>Table17891011121323578[[#This Row],[Oil +/- ]]+Table178910111213235787[[#This Row],[Oil +/- ]]+Table178910111213235783[[#This Row],[Oil +/- ]]+Table1789101112132357834[[#This Row],[Oil +/- ]]+Table17891011121323578345[[#This Row],[Oil +/- ]]</f>
        <v>3280.1800000000003</v>
      </c>
      <c r="E16" s="32">
        <f>Table17891011121323578[[#This Row],[Oil Filters +/-]]+Table178910111213235787[[#This Row],[Oil Filters +/-]]+Table178910111213235783[[#This Row],[Oil Filters +/-]]+Table1789101112132357834[[#This Row],[Oil Filters +/-]]+Table17891011121323578345[[#This Row],[Oil Filters +/-]]</f>
        <v>363</v>
      </c>
      <c r="F16" s="32">
        <f>Table17891011121323578[[#This Row],[Air Filters +/-]]+Table178910111213235787[[#This Row],[Air Filters +/-]]+Table178910111213235783[[#This Row],[Air Filters +/-]]+Table1789101112132357834[[#This Row],[Air Filters +/-]]+Table17891011121323578345[[#This Row],[Air Filters +/-]]</f>
        <v>-34</v>
      </c>
      <c r="G16" s="32">
        <f>Table17891011121323578[[#This Row],[Wipers +/-]]+Table178910111213235787[[#This Row],[Wipers +/-]]+Table178910111213235783[[#This Row],[Wipers +/-]]+Table1789101112132357834[[#This Row],[Wipers +/-]]+Table17891011121323578345[[#This Row],[Wipers +/-]]</f>
        <v>-177</v>
      </c>
      <c r="H16" s="32">
        <f>Table17891011121323578[[#This Row],[Cabins +/-]]+Table178910111213235787[[#This Row],[Cabins +/-]]+Table178910111213235783[[#This Row],[Cabins +/-]]+Table1789101112132357834[[#This Row],[Cabins +/-]]+Table17891011121323578345[[#This Row],[Cabins +/-]]</f>
        <v>3</v>
      </c>
      <c r="I16" s="33">
        <f>Table17891011121323578[[#This Row],[Adjustment Variance]]+Table178910111213235787[[#This Row],[Adjustment Variance]]+Table178910111213235783[[#This Row],[Adjustment Variance]]+Table1789101112132357834[[#This Row],[Adjustment Variance]]+Table17891011121323578345[[#This Row],[Adjustment Variance]]</f>
        <v>20322.177600000003</v>
      </c>
      <c r="J16" s="32">
        <f>Table17891011121323578[[#This Row],[On Time Counts]]+Table178910111213235787[[#This Row],[On Time Counts]]+Table178910111213235783[[#This Row],[On Time Counts]]+Table1789101112132357834[[#This Row],[On Time Counts]]+Table17891011121323578345[[#This Row],[On Time Counts]]</f>
        <v>16</v>
      </c>
      <c r="K16" s="34">
        <f>Table178910111213235783456[[#This Row],[On Time Counts]]/45</f>
        <v>0.35555555555555557</v>
      </c>
      <c r="L16" s="35">
        <v>6497.34</v>
      </c>
      <c r="M16" s="36">
        <f>Table178910111213235783456[[#This Row],[Wipers +/-]]/Table178910111213235783456[[#This Row],[Comp Sales]]</f>
        <v>-2.7241917461607364E-2</v>
      </c>
      <c r="N16" s="37">
        <v>0</v>
      </c>
      <c r="O16" s="36">
        <f>Table178910111213235783456[[#This Row],[Big 4 Items]]/Table178910111213235783456[[#This Row],[Oil +/- ]]</f>
        <v>0</v>
      </c>
      <c r="P16" s="38">
        <f t="shared" si="6"/>
        <v>0.27586206896551724</v>
      </c>
      <c r="S16" s="6">
        <f>'P10 - 10-04'!S16+'P10 - 10-11'!S16+'P10 - 10-18'!S16+'P10 - 10-25'!S16+'P10 - 11-01'!S16</f>
        <v>58</v>
      </c>
    </row>
    <row r="17" spans="1:19" ht="15" hidden="1">
      <c r="A17" s="29" t="s">
        <v>21</v>
      </c>
      <c r="B17" s="40">
        <v>881</v>
      </c>
      <c r="C17" s="31">
        <f>Table17891011121323578[[#This Row],[Lubricants/Oil +/-]]+Table178910111213235787[[#This Row],[Lubricants/Oil +/-]]+Table178910111213235783[[#This Row],[Lubricants/Oil +/-]]+Table1789101112132357834[[#This Row],[Lubricants/Oil +/-]]+Table17891011121323578345[[#This Row],[Lubricants/Oil +/-]]</f>
        <v>2408</v>
      </c>
      <c r="D17" s="32">
        <f>Table17891011121323578[[#This Row],[Oil +/- ]]+Table178910111213235787[[#This Row],[Oil +/- ]]+Table178910111213235783[[#This Row],[Oil +/- ]]+Table1789101112132357834[[#This Row],[Oil +/- ]]+Table17891011121323578345[[#This Row],[Oil +/- ]]</f>
        <v>2396</v>
      </c>
      <c r="E17" s="32">
        <f>Table17891011121323578[[#This Row],[Oil Filters +/-]]+Table178910111213235787[[#This Row],[Oil Filters +/-]]+Table178910111213235783[[#This Row],[Oil Filters +/-]]+Table1789101112132357834[[#This Row],[Oil Filters +/-]]+Table17891011121323578345[[#This Row],[Oil Filters +/-]]</f>
        <v>106</v>
      </c>
      <c r="F17" s="32">
        <f>Table17891011121323578[[#This Row],[Air Filters +/-]]+Table178910111213235787[[#This Row],[Air Filters +/-]]+Table178910111213235783[[#This Row],[Air Filters +/-]]+Table1789101112132357834[[#This Row],[Air Filters +/-]]+Table17891011121323578345[[#This Row],[Air Filters +/-]]</f>
        <v>0</v>
      </c>
      <c r="G17" s="32">
        <f>Table17891011121323578[[#This Row],[Wipers +/-]]+Table178910111213235787[[#This Row],[Wipers +/-]]+Table178910111213235783[[#This Row],[Wipers +/-]]+Table1789101112132357834[[#This Row],[Wipers +/-]]+Table17891011121323578345[[#This Row],[Wipers +/-]]</f>
        <v>4</v>
      </c>
      <c r="H17" s="32">
        <f>Table17891011121323578[[#This Row],[Cabins +/-]]+Table178910111213235787[[#This Row],[Cabins +/-]]+Table178910111213235783[[#This Row],[Cabins +/-]]+Table1789101112132357834[[#This Row],[Cabins +/-]]+Table17891011121323578345[[#This Row],[Cabins +/-]]</f>
        <v>38</v>
      </c>
      <c r="I17" s="33">
        <f>Table17891011121323578[[#This Row],[Adjustment Variance]]+Table178910111213235787[[#This Row],[Adjustment Variance]]+Table178910111213235783[[#This Row],[Adjustment Variance]]+Table1789101112132357834[[#This Row],[Adjustment Variance]]+Table17891011121323578345[[#This Row],[Adjustment Variance]]</f>
        <v>8857.08</v>
      </c>
      <c r="J17" s="32">
        <f>Table17891011121323578[[#This Row],[On Time Counts]]+Table178910111213235787[[#This Row],[On Time Counts]]+Table178910111213235783[[#This Row],[On Time Counts]]+Table1789101112132357834[[#This Row],[On Time Counts]]+Table17891011121323578345[[#This Row],[On Time Counts]]</f>
        <v>21</v>
      </c>
      <c r="K17" s="34">
        <f>Table178910111213235783456[[#This Row],[On Time Counts]]/45</f>
        <v>0.46666666666666667</v>
      </c>
      <c r="L17" s="35"/>
      <c r="M17" s="36" t="e">
        <f>Table178910111213235783456[[#This Row],[Wipers +/-]]/Table178910111213235783456[[#This Row],[Comp Sales]]</f>
        <v>#DIV/0!</v>
      </c>
      <c r="N17" s="39"/>
      <c r="O17" s="36">
        <f>Table178910111213235783456[[#This Row],[Big 4 Items]]/Table178910111213235783456[[#This Row],[Oil +/- ]]</f>
        <v>0</v>
      </c>
      <c r="P17" s="38">
        <f t="shared" si="6"/>
        <v>0.36206896551724138</v>
      </c>
      <c r="S17" s="6">
        <f>'P10 - 10-04'!S17+'P10 - 10-11'!S17+'P10 - 10-18'!S17+'P10 - 10-25'!S17+'P10 - 11-01'!S17</f>
        <v>58</v>
      </c>
    </row>
    <row r="18" spans="1:19" ht="15" hidden="1">
      <c r="A18" s="29" t="s">
        <v>21</v>
      </c>
      <c r="B18" s="40">
        <v>953</v>
      </c>
      <c r="C18" s="31">
        <f>Table17891011121323578[[#This Row],[Lubricants/Oil +/-]]+Table178910111213235787[[#This Row],[Lubricants/Oil +/-]]+Table178910111213235783[[#This Row],[Lubricants/Oil +/-]]+Table1789101112132357834[[#This Row],[Lubricants/Oil +/-]]+Table17891011121323578345[[#This Row],[Lubricants/Oil +/-]]</f>
        <v>0</v>
      </c>
      <c r="D18" s="32">
        <f>Table17891011121323578[[#This Row],[Oil +/- ]]+Table178910111213235787[[#This Row],[Oil +/- ]]+Table178910111213235783[[#This Row],[Oil +/- ]]+Table1789101112132357834[[#This Row],[Oil +/- ]]+Table17891011121323578345[[#This Row],[Oil +/- ]]</f>
        <v>0</v>
      </c>
      <c r="E18" s="32">
        <f>Table17891011121323578[[#This Row],[Oil Filters +/-]]+Table178910111213235787[[#This Row],[Oil Filters +/-]]+Table178910111213235783[[#This Row],[Oil Filters +/-]]+Table1789101112132357834[[#This Row],[Oil Filters +/-]]+Table17891011121323578345[[#This Row],[Oil Filters +/-]]</f>
        <v>0</v>
      </c>
      <c r="F18" s="32">
        <f>Table17891011121323578[[#This Row],[Air Filters +/-]]+Table178910111213235787[[#This Row],[Air Filters +/-]]+Table178910111213235783[[#This Row],[Air Filters +/-]]+Table1789101112132357834[[#This Row],[Air Filters +/-]]+Table17891011121323578345[[#This Row],[Air Filters +/-]]</f>
        <v>0</v>
      </c>
      <c r="G18" s="32">
        <f>Table17891011121323578[[#This Row],[Wipers +/-]]+Table178910111213235787[[#This Row],[Wipers +/-]]+Table178910111213235783[[#This Row],[Wipers +/-]]+Table1789101112132357834[[#This Row],[Wipers +/-]]+Table17891011121323578345[[#This Row],[Wipers +/-]]</f>
        <v>0</v>
      </c>
      <c r="H18" s="32">
        <f>Table17891011121323578[[#This Row],[Cabins +/-]]+Table178910111213235787[[#This Row],[Cabins +/-]]+Table178910111213235783[[#This Row],[Cabins +/-]]+Table1789101112132357834[[#This Row],[Cabins +/-]]+Table17891011121323578345[[#This Row],[Cabins +/-]]</f>
        <v>0</v>
      </c>
      <c r="I18" s="33">
        <f>Table17891011121323578[[#This Row],[Adjustment Variance]]+Table178910111213235787[[#This Row],[Adjustment Variance]]+Table178910111213235783[[#This Row],[Adjustment Variance]]+Table1789101112132357834[[#This Row],[Adjustment Variance]]+Table17891011121323578345[[#This Row],[Adjustment Variance]]</f>
        <v>0</v>
      </c>
      <c r="J18" s="32">
        <f>Table17891011121323578[[#This Row],[On Time Counts]]+Table178910111213235787[[#This Row],[On Time Counts]]+Table178910111213235783[[#This Row],[On Time Counts]]+Table1789101112132357834[[#This Row],[On Time Counts]]+Table17891011121323578345[[#This Row],[On Time Counts]]</f>
        <v>0</v>
      </c>
      <c r="K18" s="34">
        <f>Table178910111213235783456[[#This Row],[On Time Counts]]/45</f>
        <v>0</v>
      </c>
      <c r="L18" s="35"/>
      <c r="M18" s="36" t="e">
        <f>Table178910111213235783456[[#This Row],[Wipers +/-]]/Table178910111213235783456[[#This Row],[Comp Sales]]</f>
        <v>#DIV/0!</v>
      </c>
      <c r="N18" s="39"/>
      <c r="O18" s="36" t="e">
        <f>Table178910111213235783456[[#This Row],[Big 4 Items]]/Table178910111213235783456[[#This Row],[Oil +/- ]]</f>
        <v>#DIV/0!</v>
      </c>
      <c r="P18" s="38" t="e">
        <f t="shared" si="6"/>
        <v>#DIV/0!</v>
      </c>
      <c r="S18" s="6">
        <f>'P10 - 10-04'!S18+'P10 - 10-11'!S18+'P10 - 10-18'!S18+'P10 - 10-25'!S18+'P10 - 11-01'!S18</f>
        <v>0</v>
      </c>
    </row>
    <row r="19" spans="1:19" ht="15" hidden="1">
      <c r="A19" s="29" t="s">
        <v>21</v>
      </c>
      <c r="B19" s="30">
        <v>3040</v>
      </c>
      <c r="C19" s="31">
        <f>Table17891011121323578[[#This Row],[Lubricants/Oil +/-]]+Table178910111213235787[[#This Row],[Lubricants/Oil +/-]]+Table178910111213235783[[#This Row],[Lubricants/Oil +/-]]+Table1789101112132357834[[#This Row],[Lubricants/Oil +/-]]+Table17891011121323578345[[#This Row],[Lubricants/Oil +/-]]</f>
        <v>0</v>
      </c>
      <c r="D19" s="32">
        <f>Table17891011121323578[[#This Row],[Oil +/- ]]+Table178910111213235787[[#This Row],[Oil +/- ]]+Table178910111213235783[[#This Row],[Oil +/- ]]+Table1789101112132357834[[#This Row],[Oil +/- ]]+Table17891011121323578345[[#This Row],[Oil +/- ]]</f>
        <v>0</v>
      </c>
      <c r="E19" s="32">
        <f>Table17891011121323578[[#This Row],[Oil Filters +/-]]+Table178910111213235787[[#This Row],[Oil Filters +/-]]+Table178910111213235783[[#This Row],[Oil Filters +/-]]+Table1789101112132357834[[#This Row],[Oil Filters +/-]]+Table17891011121323578345[[#This Row],[Oil Filters +/-]]</f>
        <v>0</v>
      </c>
      <c r="F19" s="32">
        <f>Table17891011121323578[[#This Row],[Air Filters +/-]]+Table178910111213235787[[#This Row],[Air Filters +/-]]+Table178910111213235783[[#This Row],[Air Filters +/-]]+Table1789101112132357834[[#This Row],[Air Filters +/-]]+Table17891011121323578345[[#This Row],[Air Filters +/-]]</f>
        <v>0</v>
      </c>
      <c r="G19" s="32">
        <f>Table17891011121323578[[#This Row],[Wipers +/-]]+Table178910111213235787[[#This Row],[Wipers +/-]]+Table178910111213235783[[#This Row],[Wipers +/-]]+Table1789101112132357834[[#This Row],[Wipers +/-]]+Table17891011121323578345[[#This Row],[Wipers +/-]]</f>
        <v>0</v>
      </c>
      <c r="H19" s="32">
        <f>Table17891011121323578[[#This Row],[Cabins +/-]]+Table178910111213235787[[#This Row],[Cabins +/-]]+Table178910111213235783[[#This Row],[Cabins +/-]]+Table1789101112132357834[[#This Row],[Cabins +/-]]+Table17891011121323578345[[#This Row],[Cabins +/-]]</f>
        <v>0</v>
      </c>
      <c r="I19" s="33">
        <f>Table17891011121323578[[#This Row],[Adjustment Variance]]+Table178910111213235787[[#This Row],[Adjustment Variance]]+Table178910111213235783[[#This Row],[Adjustment Variance]]+Table1789101112132357834[[#This Row],[Adjustment Variance]]+Table17891011121323578345[[#This Row],[Adjustment Variance]]</f>
        <v>0</v>
      </c>
      <c r="J19" s="32">
        <f>Table17891011121323578[[#This Row],[On Time Counts]]+Table178910111213235787[[#This Row],[On Time Counts]]+Table178910111213235783[[#This Row],[On Time Counts]]+Table1789101112132357834[[#This Row],[On Time Counts]]+Table17891011121323578345[[#This Row],[On Time Counts]]</f>
        <v>0</v>
      </c>
      <c r="K19" s="34">
        <f>Table178910111213235783456[[#This Row],[On Time Counts]]/45</f>
        <v>0</v>
      </c>
      <c r="L19" s="35">
        <v>7185.39</v>
      </c>
      <c r="M19" s="36">
        <f>Table178910111213235783456[[#This Row],[Wipers +/-]]/Table178910111213235783456[[#This Row],[Comp Sales]]</f>
        <v>0</v>
      </c>
      <c r="N19" s="37">
        <v>0</v>
      </c>
      <c r="O19" s="36" t="e">
        <f>Table178910111213235783456[[#This Row],[Big 4 Items]]/Table178910111213235783456[[#This Row],[Oil +/- ]]</f>
        <v>#DIV/0!</v>
      </c>
      <c r="P19" s="38" t="e">
        <f t="shared" si="6"/>
        <v>#DIV/0!</v>
      </c>
      <c r="S19" s="6">
        <f>'P10 - 10-04'!S19+'P10 - 10-11'!S19+'P10 - 10-18'!S19+'P10 - 10-25'!S19+'P10 - 11-01'!S19</f>
        <v>0</v>
      </c>
    </row>
    <row r="20" spans="1:19" ht="15" hidden="1">
      <c r="A20" s="29" t="s">
        <v>22</v>
      </c>
      <c r="B20" s="30">
        <v>18</v>
      </c>
      <c r="C20" s="31">
        <f>Table17891011121323578[[#This Row],[Lubricants/Oil +/-]]+Table178910111213235787[[#This Row],[Lubricants/Oil +/-]]+Table178910111213235783[[#This Row],[Lubricants/Oil +/-]]+Table1789101112132357834[[#This Row],[Lubricants/Oil +/-]]+Table17891011121323578345[[#This Row],[Lubricants/Oil +/-]]</f>
        <v>9011.4599999999991</v>
      </c>
      <c r="D20" s="32">
        <f>Table17891011121323578[[#This Row],[Oil +/- ]]+Table178910111213235787[[#This Row],[Oil +/- ]]+Table178910111213235783[[#This Row],[Oil +/- ]]+Table1789101112132357834[[#This Row],[Oil +/- ]]+Table17891011121323578345[[#This Row],[Oil +/- ]]</f>
        <v>8381.9599999999991</v>
      </c>
      <c r="E20" s="32">
        <f>Table17891011121323578[[#This Row],[Oil Filters +/-]]+Table178910111213235787[[#This Row],[Oil Filters +/-]]+Table178910111213235783[[#This Row],[Oil Filters +/-]]+Table1789101112132357834[[#This Row],[Oil Filters +/-]]+Table17891011121323578345[[#This Row],[Oil Filters +/-]]</f>
        <v>340</v>
      </c>
      <c r="F20" s="32">
        <f>Table17891011121323578[[#This Row],[Air Filters +/-]]+Table178910111213235787[[#This Row],[Air Filters +/-]]+Table178910111213235783[[#This Row],[Air Filters +/-]]+Table1789101112132357834[[#This Row],[Air Filters +/-]]+Table17891011121323578345[[#This Row],[Air Filters +/-]]</f>
        <v>100</v>
      </c>
      <c r="G20" s="32">
        <f>Table17891011121323578[[#This Row],[Wipers +/-]]+Table178910111213235787[[#This Row],[Wipers +/-]]+Table178910111213235783[[#This Row],[Wipers +/-]]+Table1789101112132357834[[#This Row],[Wipers +/-]]+Table17891011121323578345[[#This Row],[Wipers +/-]]</f>
        <v>200</v>
      </c>
      <c r="H20" s="32">
        <f>Table17891011121323578[[#This Row],[Cabins +/-]]+Table178910111213235787[[#This Row],[Cabins +/-]]+Table178910111213235783[[#This Row],[Cabins +/-]]+Table1789101112132357834[[#This Row],[Cabins +/-]]+Table17891011121323578345[[#This Row],[Cabins +/-]]</f>
        <v>226</v>
      </c>
      <c r="I20" s="33">
        <f>Table17891011121323578[[#This Row],[Adjustment Variance]]+Table178910111213235787[[#This Row],[Adjustment Variance]]+Table178910111213235783[[#This Row],[Adjustment Variance]]+Table1789101112132357834[[#This Row],[Adjustment Variance]]+Table17891011121323578345[[#This Row],[Adjustment Variance]]</f>
        <v>23930.444</v>
      </c>
      <c r="J20" s="32">
        <f>Table17891011121323578[[#This Row],[On Time Counts]]+Table178910111213235787[[#This Row],[On Time Counts]]+Table178910111213235783[[#This Row],[On Time Counts]]+Table1789101112132357834[[#This Row],[On Time Counts]]+Table17891011121323578345[[#This Row],[On Time Counts]]</f>
        <v>38</v>
      </c>
      <c r="K20" s="34">
        <f>Table178910111213235783456[[#This Row],[On Time Counts]]/45</f>
        <v>0.84444444444444444</v>
      </c>
      <c r="L20" s="35">
        <v>6083.18</v>
      </c>
      <c r="M20" s="36">
        <f>Table178910111213235783456[[#This Row],[Wipers +/-]]/Table178910111213235783456[[#This Row],[Comp Sales]]</f>
        <v>3.287754102295181E-2</v>
      </c>
      <c r="N20" s="37">
        <v>0</v>
      </c>
      <c r="O20" s="36">
        <f>Table178910111213235783456[[#This Row],[Big 4 Items]]/Table178910111213235783456[[#This Row],[Oil +/- ]]</f>
        <v>0</v>
      </c>
      <c r="P20" s="38">
        <f t="shared" si="6"/>
        <v>0.65517241379310343</v>
      </c>
      <c r="S20" s="6">
        <f>'P10 - 10-04'!S20+'P10 - 10-11'!S20+'P10 - 10-18'!S20+'P10 - 10-25'!S20+'P10 - 11-01'!S20</f>
        <v>58</v>
      </c>
    </row>
    <row r="21" spans="1:19" ht="15" hidden="1">
      <c r="A21" s="29" t="s">
        <v>22</v>
      </c>
      <c r="B21" s="30">
        <v>19</v>
      </c>
      <c r="C21" s="31">
        <f>Table17891011121323578[[#This Row],[Lubricants/Oil +/-]]+Table178910111213235787[[#This Row],[Lubricants/Oil +/-]]+Table178910111213235783[[#This Row],[Lubricants/Oil +/-]]+Table1789101112132357834[[#This Row],[Lubricants/Oil +/-]]+Table17891011121323578345[[#This Row],[Lubricants/Oil +/-]]</f>
        <v>2843.12</v>
      </c>
      <c r="D21" s="32">
        <f>Table17891011121323578[[#This Row],[Oil +/- ]]+Table178910111213235787[[#This Row],[Oil +/- ]]+Table178910111213235783[[#This Row],[Oil +/- ]]+Table1789101112132357834[[#This Row],[Oil +/- ]]+Table17891011121323578345[[#This Row],[Oil +/- ]]</f>
        <v>2843.12</v>
      </c>
      <c r="E21" s="32">
        <f>Table17891011121323578[[#This Row],[Oil Filters +/-]]+Table178910111213235787[[#This Row],[Oil Filters +/-]]+Table178910111213235783[[#This Row],[Oil Filters +/-]]+Table1789101112132357834[[#This Row],[Oil Filters +/-]]+Table17891011121323578345[[#This Row],[Oil Filters +/-]]</f>
        <v>-194</v>
      </c>
      <c r="F21" s="32">
        <f>Table17891011121323578[[#This Row],[Air Filters +/-]]+Table178910111213235787[[#This Row],[Air Filters +/-]]+Table178910111213235783[[#This Row],[Air Filters +/-]]+Table1789101112132357834[[#This Row],[Air Filters +/-]]+Table17891011121323578345[[#This Row],[Air Filters +/-]]</f>
        <v>-98</v>
      </c>
      <c r="G21" s="32">
        <f>Table17891011121323578[[#This Row],[Wipers +/-]]+Table178910111213235787[[#This Row],[Wipers +/-]]+Table178910111213235783[[#This Row],[Wipers +/-]]+Table1789101112132357834[[#This Row],[Wipers +/-]]+Table17891011121323578345[[#This Row],[Wipers +/-]]</f>
        <v>-26</v>
      </c>
      <c r="H21" s="32">
        <f>Table17891011121323578[[#This Row],[Cabins +/-]]+Table178910111213235787[[#This Row],[Cabins +/-]]+Table178910111213235783[[#This Row],[Cabins +/-]]+Table1789101112132357834[[#This Row],[Cabins +/-]]+Table17891011121323578345[[#This Row],[Cabins +/-]]</f>
        <v>-82</v>
      </c>
      <c r="I21" s="33">
        <f>Table17891011121323578[[#This Row],[Adjustment Variance]]+Table178910111213235787[[#This Row],[Adjustment Variance]]+Table178910111213235783[[#This Row],[Adjustment Variance]]+Table1789101112132357834[[#This Row],[Adjustment Variance]]+Table17891011121323578345[[#This Row],[Adjustment Variance]]</f>
        <v>10601.318200000002</v>
      </c>
      <c r="J21" s="32">
        <f>Table17891011121323578[[#This Row],[On Time Counts]]+Table178910111213235787[[#This Row],[On Time Counts]]+Table178910111213235783[[#This Row],[On Time Counts]]+Table1789101112132357834[[#This Row],[On Time Counts]]+Table17891011121323578345[[#This Row],[On Time Counts]]</f>
        <v>34</v>
      </c>
      <c r="K21" s="34">
        <f>Table178910111213235783456[[#This Row],[On Time Counts]]/45</f>
        <v>0.75555555555555554</v>
      </c>
      <c r="L21" s="35">
        <v>4849.0200000000004</v>
      </c>
      <c r="M21" s="36">
        <f>Table178910111213235783456[[#This Row],[Wipers +/-]]/Table178910111213235783456[[#This Row],[Comp Sales]]</f>
        <v>-5.3619081793847001E-3</v>
      </c>
      <c r="N21" s="37">
        <v>0</v>
      </c>
      <c r="O21" s="36">
        <f>Table178910111213235783456[[#This Row],[Big 4 Items]]/Table178910111213235783456[[#This Row],[Oil +/- ]]</f>
        <v>0</v>
      </c>
      <c r="P21" s="38">
        <f t="shared" si="6"/>
        <v>0.58620689655172409</v>
      </c>
      <c r="S21" s="6">
        <f>'P10 - 10-04'!S21+'P10 - 10-11'!S21+'P10 - 10-18'!S21+'P10 - 10-25'!S21+'P10 - 11-01'!S21</f>
        <v>58</v>
      </c>
    </row>
    <row r="22" spans="1:19" ht="15" hidden="1">
      <c r="A22" s="29" t="s">
        <v>22</v>
      </c>
      <c r="B22" s="30">
        <v>282</v>
      </c>
      <c r="C22" s="31">
        <f>Table17891011121323578[[#This Row],[Lubricants/Oil +/-]]+Table178910111213235787[[#This Row],[Lubricants/Oil +/-]]+Table178910111213235783[[#This Row],[Lubricants/Oil +/-]]+Table1789101112132357834[[#This Row],[Lubricants/Oil +/-]]+Table17891011121323578345[[#This Row],[Lubricants/Oil +/-]]</f>
        <v>229.86000000000007</v>
      </c>
      <c r="D22" s="32">
        <f>Table17891011121323578[[#This Row],[Oil +/- ]]+Table178910111213235787[[#This Row],[Oil +/- ]]+Table178910111213235783[[#This Row],[Oil +/- ]]+Table1789101112132357834[[#This Row],[Oil +/- ]]+Table17891011121323578345[[#This Row],[Oil +/- ]]</f>
        <v>315.86</v>
      </c>
      <c r="E22" s="32">
        <f>Table17891011121323578[[#This Row],[Oil Filters +/-]]+Table178910111213235787[[#This Row],[Oil Filters +/-]]+Table178910111213235783[[#This Row],[Oil Filters +/-]]+Table1789101112132357834[[#This Row],[Oil Filters +/-]]+Table17891011121323578345[[#This Row],[Oil Filters +/-]]</f>
        <v>161</v>
      </c>
      <c r="F22" s="32">
        <f>Table17891011121323578[[#This Row],[Air Filters +/-]]+Table178910111213235787[[#This Row],[Air Filters +/-]]+Table178910111213235783[[#This Row],[Air Filters +/-]]+Table1789101112132357834[[#This Row],[Air Filters +/-]]+Table17891011121323578345[[#This Row],[Air Filters +/-]]</f>
        <v>-3</v>
      </c>
      <c r="G22" s="32">
        <f>Table17891011121323578[[#This Row],[Wipers +/-]]+Table178910111213235787[[#This Row],[Wipers +/-]]+Table178910111213235783[[#This Row],[Wipers +/-]]+Table1789101112132357834[[#This Row],[Wipers +/-]]+Table17891011121323578345[[#This Row],[Wipers +/-]]</f>
        <v>24</v>
      </c>
      <c r="H22" s="32">
        <f>Table17891011121323578[[#This Row],[Cabins +/-]]+Table178910111213235787[[#This Row],[Cabins +/-]]+Table178910111213235783[[#This Row],[Cabins +/-]]+Table1789101112132357834[[#This Row],[Cabins +/-]]+Table17891011121323578345[[#This Row],[Cabins +/-]]</f>
        <v>19</v>
      </c>
      <c r="I22" s="33">
        <f>Table17891011121323578[[#This Row],[Adjustment Variance]]+Table178910111213235787[[#This Row],[Adjustment Variance]]+Table178910111213235783[[#This Row],[Adjustment Variance]]+Table1789101112132357834[[#This Row],[Adjustment Variance]]+Table17891011121323578345[[#This Row],[Adjustment Variance]]</f>
        <v>572.33639999999991</v>
      </c>
      <c r="J22" s="32">
        <f>Table17891011121323578[[#This Row],[On Time Counts]]+Table178910111213235787[[#This Row],[On Time Counts]]+Table178910111213235783[[#This Row],[On Time Counts]]+Table1789101112132357834[[#This Row],[On Time Counts]]+Table17891011121323578345[[#This Row],[On Time Counts]]</f>
        <v>27</v>
      </c>
      <c r="K22" s="34">
        <f>Table178910111213235783456[[#This Row],[On Time Counts]]/45</f>
        <v>0.6</v>
      </c>
      <c r="L22" s="35">
        <v>2994.56</v>
      </c>
      <c r="M22" s="36">
        <f>Table178910111213235783456[[#This Row],[Wipers +/-]]/Table178910111213235783456[[#This Row],[Comp Sales]]</f>
        <v>8.0145330198760426E-3</v>
      </c>
      <c r="N22" s="37">
        <v>0</v>
      </c>
      <c r="O22" s="36">
        <f>Table178910111213235783456[[#This Row],[Big 4 Items]]/Table178910111213235783456[[#This Row],[Oil +/- ]]</f>
        <v>0</v>
      </c>
      <c r="P22" s="38">
        <f t="shared" si="6"/>
        <v>0.46551724137931033</v>
      </c>
      <c r="S22" s="6">
        <f>'P10 - 10-04'!S22+'P10 - 10-11'!S22+'P10 - 10-18'!S22+'P10 - 10-25'!S22+'P10 - 11-01'!S22</f>
        <v>58</v>
      </c>
    </row>
    <row r="23" spans="1:19" ht="15" hidden="1">
      <c r="A23" s="29" t="s">
        <v>22</v>
      </c>
      <c r="B23" s="30">
        <v>447</v>
      </c>
      <c r="C23" s="31">
        <f>Table17891011121323578[[#This Row],[Lubricants/Oil +/-]]+Table178910111213235787[[#This Row],[Lubricants/Oil +/-]]+Table178910111213235783[[#This Row],[Lubricants/Oil +/-]]+Table1789101112132357834[[#This Row],[Lubricants/Oil +/-]]+Table17891011121323578345[[#This Row],[Lubricants/Oil +/-]]</f>
        <v>-166.15999999999985</v>
      </c>
      <c r="D23" s="32">
        <f>Table17891011121323578[[#This Row],[Oil +/- ]]+Table178910111213235787[[#This Row],[Oil +/- ]]+Table178910111213235783[[#This Row],[Oil +/- ]]+Table1789101112132357834[[#This Row],[Oil +/- ]]+Table17891011121323578345[[#This Row],[Oil +/- ]]</f>
        <v>-69.159999999999854</v>
      </c>
      <c r="E23" s="32">
        <f>Table17891011121323578[[#This Row],[Oil Filters +/-]]+Table178910111213235787[[#This Row],[Oil Filters +/-]]+Table178910111213235783[[#This Row],[Oil Filters +/-]]+Table1789101112132357834[[#This Row],[Oil Filters +/-]]+Table17891011121323578345[[#This Row],[Oil Filters +/-]]</f>
        <v>-114</v>
      </c>
      <c r="F23" s="32">
        <f>Table17891011121323578[[#This Row],[Air Filters +/-]]+Table178910111213235787[[#This Row],[Air Filters +/-]]+Table178910111213235783[[#This Row],[Air Filters +/-]]+Table1789101112132357834[[#This Row],[Air Filters +/-]]+Table17891011121323578345[[#This Row],[Air Filters +/-]]</f>
        <v>45</v>
      </c>
      <c r="G23" s="32">
        <f>Table17891011121323578[[#This Row],[Wipers +/-]]+Table178910111213235787[[#This Row],[Wipers +/-]]+Table178910111213235783[[#This Row],[Wipers +/-]]+Table1789101112132357834[[#This Row],[Wipers +/-]]+Table17891011121323578345[[#This Row],[Wipers +/-]]</f>
        <v>127</v>
      </c>
      <c r="H23" s="32">
        <f>Table17891011121323578[[#This Row],[Cabins +/-]]+Table178910111213235787[[#This Row],[Cabins +/-]]+Table178910111213235783[[#This Row],[Cabins +/-]]+Table1789101112132357834[[#This Row],[Cabins +/-]]+Table17891011121323578345[[#This Row],[Cabins +/-]]</f>
        <v>9</v>
      </c>
      <c r="I23" s="33">
        <f>Table17891011121323578[[#This Row],[Adjustment Variance]]+Table178910111213235787[[#This Row],[Adjustment Variance]]+Table178910111213235783[[#This Row],[Adjustment Variance]]+Table1789101112132357834[[#This Row],[Adjustment Variance]]+Table17891011121323578345[[#This Row],[Adjustment Variance]]</f>
        <v>340.3452999999995</v>
      </c>
      <c r="J23" s="32">
        <f>Table17891011121323578[[#This Row],[On Time Counts]]+Table178910111213235787[[#This Row],[On Time Counts]]+Table178910111213235783[[#This Row],[On Time Counts]]+Table1789101112132357834[[#This Row],[On Time Counts]]+Table17891011121323578345[[#This Row],[On Time Counts]]</f>
        <v>26</v>
      </c>
      <c r="K23" s="34">
        <f>Table178910111213235783456[[#This Row],[On Time Counts]]/45</f>
        <v>0.57777777777777772</v>
      </c>
      <c r="L23" s="35">
        <v>6870.99</v>
      </c>
      <c r="M23" s="36">
        <f>Table178910111213235783456[[#This Row],[Wipers +/-]]/Table178910111213235783456[[#This Row],[Comp Sales]]</f>
        <v>1.8483508198964049E-2</v>
      </c>
      <c r="N23" s="37">
        <v>0</v>
      </c>
      <c r="O23" s="36">
        <f>Table178910111213235783456[[#This Row],[Big 4 Items]]/Table178910111213235783456[[#This Row],[Oil +/- ]]</f>
        <v>0</v>
      </c>
      <c r="P23" s="38">
        <f t="shared" si="6"/>
        <v>0.44827586206896552</v>
      </c>
      <c r="S23" s="6">
        <f>'P10 - 10-04'!S23+'P10 - 10-11'!S23+'P10 - 10-18'!S23+'P10 - 10-25'!S23+'P10 - 11-01'!S23</f>
        <v>58</v>
      </c>
    </row>
    <row r="24" spans="1:19" ht="15" hidden="1">
      <c r="A24" s="29" t="s">
        <v>22</v>
      </c>
      <c r="B24" s="30">
        <v>448</v>
      </c>
      <c r="C24" s="31">
        <f>Table17891011121323578[[#This Row],[Lubricants/Oil +/-]]+Table178910111213235787[[#This Row],[Lubricants/Oil +/-]]+Table178910111213235783[[#This Row],[Lubricants/Oil +/-]]+Table1789101112132357834[[#This Row],[Lubricants/Oil +/-]]+Table17891011121323578345[[#This Row],[Lubricants/Oil +/-]]</f>
        <v>10256.31</v>
      </c>
      <c r="D24" s="32">
        <f>Table17891011121323578[[#This Row],[Oil +/- ]]+Table178910111213235787[[#This Row],[Oil +/- ]]+Table178910111213235783[[#This Row],[Oil +/- ]]+Table1789101112132357834[[#This Row],[Oil +/- ]]+Table17891011121323578345[[#This Row],[Oil +/- ]]</f>
        <v>10256.31</v>
      </c>
      <c r="E24" s="32">
        <f>Table17891011121323578[[#This Row],[Oil Filters +/-]]+Table178910111213235787[[#This Row],[Oil Filters +/-]]+Table178910111213235783[[#This Row],[Oil Filters +/-]]+Table1789101112132357834[[#This Row],[Oil Filters +/-]]+Table17891011121323578345[[#This Row],[Oil Filters +/-]]</f>
        <v>933</v>
      </c>
      <c r="F24" s="32">
        <f>Table17891011121323578[[#This Row],[Air Filters +/-]]+Table178910111213235787[[#This Row],[Air Filters +/-]]+Table178910111213235783[[#This Row],[Air Filters +/-]]+Table1789101112132357834[[#This Row],[Air Filters +/-]]+Table17891011121323578345[[#This Row],[Air Filters +/-]]</f>
        <v>49</v>
      </c>
      <c r="G24" s="32">
        <f>Table17891011121323578[[#This Row],[Wipers +/-]]+Table178910111213235787[[#This Row],[Wipers +/-]]+Table178910111213235783[[#This Row],[Wipers +/-]]+Table1789101112132357834[[#This Row],[Wipers +/-]]+Table17891011121323578345[[#This Row],[Wipers +/-]]</f>
        <v>230</v>
      </c>
      <c r="H24" s="32">
        <f>Table17891011121323578[[#This Row],[Cabins +/-]]+Table178910111213235787[[#This Row],[Cabins +/-]]+Table178910111213235783[[#This Row],[Cabins +/-]]+Table1789101112132357834[[#This Row],[Cabins +/-]]+Table17891011121323578345[[#This Row],[Cabins +/-]]</f>
        <v>-26</v>
      </c>
      <c r="I24" s="33">
        <f>Table17891011121323578[[#This Row],[Adjustment Variance]]+Table178910111213235787[[#This Row],[Adjustment Variance]]+Table178910111213235783[[#This Row],[Adjustment Variance]]+Table1789101112132357834[[#This Row],[Adjustment Variance]]+Table17891011121323578345[[#This Row],[Adjustment Variance]]</f>
        <v>35962.451399999998</v>
      </c>
      <c r="J24" s="32">
        <f>Table17891011121323578[[#This Row],[On Time Counts]]+Table178910111213235787[[#This Row],[On Time Counts]]+Table178910111213235783[[#This Row],[On Time Counts]]+Table1789101112132357834[[#This Row],[On Time Counts]]+Table17891011121323578345[[#This Row],[On Time Counts]]</f>
        <v>39</v>
      </c>
      <c r="K24" s="34">
        <f>Table178910111213235783456[[#This Row],[On Time Counts]]/45</f>
        <v>0.8666666666666667</v>
      </c>
      <c r="L24" s="35">
        <v>6806.79</v>
      </c>
      <c r="M24" s="36">
        <f>Table178910111213235783456[[#This Row],[Wipers +/-]]/Table178910111213235783456[[#This Row],[Comp Sales]]</f>
        <v>3.3789789313318025E-2</v>
      </c>
      <c r="N24" s="37">
        <v>0</v>
      </c>
      <c r="O24" s="36">
        <f>Table178910111213235783456[[#This Row],[Big 4 Items]]/Table178910111213235783456[[#This Row],[Oil +/- ]]</f>
        <v>0</v>
      </c>
      <c r="P24" s="38">
        <f t="shared" si="6"/>
        <v>0.67241379310344829</v>
      </c>
      <c r="S24" s="6">
        <f>'P10 - 10-04'!S24+'P10 - 10-11'!S24+'P10 - 10-18'!S24+'P10 - 10-25'!S24+'P10 - 11-01'!S24</f>
        <v>58</v>
      </c>
    </row>
    <row r="25" spans="1:19" ht="15" hidden="1">
      <c r="A25" s="29" t="s">
        <v>22</v>
      </c>
      <c r="B25" s="30">
        <v>531</v>
      </c>
      <c r="C25" s="31">
        <f>Table17891011121323578[[#This Row],[Lubricants/Oil +/-]]+Table178910111213235787[[#This Row],[Lubricants/Oil +/-]]+Table178910111213235783[[#This Row],[Lubricants/Oil +/-]]+Table1789101112132357834[[#This Row],[Lubricants/Oil +/-]]+Table17891011121323578345[[#This Row],[Lubricants/Oil +/-]]</f>
        <v>-366</v>
      </c>
      <c r="D25" s="32">
        <f>Table17891011121323578[[#This Row],[Oil +/- ]]+Table178910111213235787[[#This Row],[Oil +/- ]]+Table178910111213235783[[#This Row],[Oil +/- ]]+Table1789101112132357834[[#This Row],[Oil +/- ]]+Table17891011121323578345[[#This Row],[Oil +/- ]]</f>
        <v>-366</v>
      </c>
      <c r="E25" s="32">
        <f>Table17891011121323578[[#This Row],[Oil Filters +/-]]+Table178910111213235787[[#This Row],[Oil Filters +/-]]+Table178910111213235783[[#This Row],[Oil Filters +/-]]+Table1789101112132357834[[#This Row],[Oil Filters +/-]]+Table17891011121323578345[[#This Row],[Oil Filters +/-]]</f>
        <v>29</v>
      </c>
      <c r="F25" s="32">
        <f>Table17891011121323578[[#This Row],[Air Filters +/-]]+Table178910111213235787[[#This Row],[Air Filters +/-]]+Table178910111213235783[[#This Row],[Air Filters +/-]]+Table1789101112132357834[[#This Row],[Air Filters +/-]]+Table17891011121323578345[[#This Row],[Air Filters +/-]]</f>
        <v>-15</v>
      </c>
      <c r="G25" s="32">
        <f>Table17891011121323578[[#This Row],[Wipers +/-]]+Table178910111213235787[[#This Row],[Wipers +/-]]+Table178910111213235783[[#This Row],[Wipers +/-]]+Table1789101112132357834[[#This Row],[Wipers +/-]]+Table17891011121323578345[[#This Row],[Wipers +/-]]</f>
        <v>-3</v>
      </c>
      <c r="H25" s="32">
        <f>Table17891011121323578[[#This Row],[Cabins +/-]]+Table178910111213235787[[#This Row],[Cabins +/-]]+Table178910111213235783[[#This Row],[Cabins +/-]]+Table1789101112132357834[[#This Row],[Cabins +/-]]+Table17891011121323578345[[#This Row],[Cabins +/-]]</f>
        <v>-14</v>
      </c>
      <c r="I25" s="33">
        <f>Table17891011121323578[[#This Row],[Adjustment Variance]]+Table178910111213235787[[#This Row],[Adjustment Variance]]+Table178910111213235783[[#This Row],[Adjustment Variance]]+Table1789101112132357834[[#This Row],[Adjustment Variance]]+Table17891011121323578345[[#This Row],[Adjustment Variance]]</f>
        <v>-2290.9756000000002</v>
      </c>
      <c r="J25" s="32">
        <f>Table17891011121323578[[#This Row],[On Time Counts]]+Table178910111213235787[[#This Row],[On Time Counts]]+Table178910111213235783[[#This Row],[On Time Counts]]+Table1789101112132357834[[#This Row],[On Time Counts]]+Table17891011121323578345[[#This Row],[On Time Counts]]</f>
        <v>43</v>
      </c>
      <c r="K25" s="34">
        <f>Table178910111213235783456[[#This Row],[On Time Counts]]/45</f>
        <v>0.9555555555555556</v>
      </c>
      <c r="L25" s="35">
        <v>3933.29</v>
      </c>
      <c r="M25" s="36">
        <f>Table178910111213235783456[[#This Row],[Wipers +/-]]/Table178910111213235783456[[#This Row],[Comp Sales]]</f>
        <v>-7.6272026725718171E-4</v>
      </c>
      <c r="N25" s="37">
        <v>0</v>
      </c>
      <c r="O25" s="36">
        <f>Table178910111213235783456[[#This Row],[Big 4 Items]]/Table178910111213235783456[[#This Row],[Oil +/- ]]</f>
        <v>0</v>
      </c>
      <c r="P25" s="38">
        <f t="shared" si="6"/>
        <v>0.74137931034482762</v>
      </c>
      <c r="S25" s="6">
        <f>'P10 - 10-04'!S25+'P10 - 10-11'!S25+'P10 - 10-18'!S25+'P10 - 10-25'!S25+'P10 - 11-01'!S25</f>
        <v>58</v>
      </c>
    </row>
    <row r="26" spans="1:19" ht="15" hidden="1">
      <c r="A26" s="29" t="s">
        <v>22</v>
      </c>
      <c r="B26" s="30">
        <v>832</v>
      </c>
      <c r="C26" s="31">
        <f>Table17891011121323578[[#This Row],[Lubricants/Oil +/-]]+Table178910111213235787[[#This Row],[Lubricants/Oil +/-]]+Table178910111213235783[[#This Row],[Lubricants/Oil +/-]]+Table1789101112132357834[[#This Row],[Lubricants/Oil +/-]]+Table17891011121323578345[[#This Row],[Lubricants/Oil +/-]]</f>
        <v>499</v>
      </c>
      <c r="D26" s="32">
        <f>Table17891011121323578[[#This Row],[Oil +/- ]]+Table178910111213235787[[#This Row],[Oil +/- ]]+Table178910111213235783[[#This Row],[Oil +/- ]]+Table1789101112132357834[[#This Row],[Oil +/- ]]+Table17891011121323578345[[#This Row],[Oil +/- ]]</f>
        <v>499</v>
      </c>
      <c r="E26" s="32">
        <f>Table17891011121323578[[#This Row],[Oil Filters +/-]]+Table178910111213235787[[#This Row],[Oil Filters +/-]]+Table178910111213235783[[#This Row],[Oil Filters +/-]]+Table1789101112132357834[[#This Row],[Oil Filters +/-]]+Table17891011121323578345[[#This Row],[Oil Filters +/-]]</f>
        <v>370</v>
      </c>
      <c r="F26" s="32">
        <f>Table17891011121323578[[#This Row],[Air Filters +/-]]+Table178910111213235787[[#This Row],[Air Filters +/-]]+Table178910111213235783[[#This Row],[Air Filters +/-]]+Table1789101112132357834[[#This Row],[Air Filters +/-]]+Table17891011121323578345[[#This Row],[Air Filters +/-]]</f>
        <v>32</v>
      </c>
      <c r="G26" s="32">
        <f>Table17891011121323578[[#This Row],[Wipers +/-]]+Table178910111213235787[[#This Row],[Wipers +/-]]+Table178910111213235783[[#This Row],[Wipers +/-]]+Table1789101112132357834[[#This Row],[Wipers +/-]]+Table17891011121323578345[[#This Row],[Wipers +/-]]</f>
        <v>5</v>
      </c>
      <c r="H26" s="32">
        <f>Table17891011121323578[[#This Row],[Cabins +/-]]+Table178910111213235787[[#This Row],[Cabins +/-]]+Table178910111213235783[[#This Row],[Cabins +/-]]+Table1789101112132357834[[#This Row],[Cabins +/-]]+Table17891011121323578345[[#This Row],[Cabins +/-]]</f>
        <v>11</v>
      </c>
      <c r="I26" s="33">
        <f>Table17891011121323578[[#This Row],[Adjustment Variance]]+Table178910111213235787[[#This Row],[Adjustment Variance]]+Table178910111213235783[[#This Row],[Adjustment Variance]]+Table1789101112132357834[[#This Row],[Adjustment Variance]]+Table17891011121323578345[[#This Row],[Adjustment Variance]]</f>
        <v>3681.87</v>
      </c>
      <c r="J26" s="32">
        <f>Table17891011121323578[[#This Row],[On Time Counts]]+Table178910111213235787[[#This Row],[On Time Counts]]+Table178910111213235783[[#This Row],[On Time Counts]]+Table1789101112132357834[[#This Row],[On Time Counts]]+Table17891011121323578345[[#This Row],[On Time Counts]]</f>
        <v>48</v>
      </c>
      <c r="K26" s="34">
        <f>Table178910111213235783456[[#This Row],[On Time Counts]]/45</f>
        <v>1.0666666666666667</v>
      </c>
      <c r="L26" s="35">
        <v>6987.69</v>
      </c>
      <c r="M26" s="36">
        <f>Table178910111213235783456[[#This Row],[Wipers +/-]]/Table178910111213235783456[[#This Row],[Comp Sales]]</f>
        <v>7.1554404960723795E-4</v>
      </c>
      <c r="N26" s="37">
        <v>0</v>
      </c>
      <c r="O26" s="36">
        <f>Table178910111213235783456[[#This Row],[Big 4 Items]]/Table178910111213235783456[[#This Row],[Oil +/- ]]</f>
        <v>0</v>
      </c>
      <c r="P26" s="38">
        <f t="shared" si="6"/>
        <v>0.82758620689655171</v>
      </c>
      <c r="S26" s="6">
        <f>'P10 - 10-04'!S26+'P10 - 10-11'!S26+'P10 - 10-18'!S26+'P10 - 10-25'!S26+'P10 - 11-01'!S26</f>
        <v>58</v>
      </c>
    </row>
    <row r="27" spans="1:19" ht="15" hidden="1">
      <c r="A27" s="29" t="s">
        <v>23</v>
      </c>
      <c r="B27" s="30">
        <v>3</v>
      </c>
      <c r="C27" s="31">
        <f>Table17891011121323578[[#This Row],[Lubricants/Oil +/-]]+Table178910111213235787[[#This Row],[Lubricants/Oil +/-]]+Table178910111213235783[[#This Row],[Lubricants/Oil +/-]]+Table1789101112132357834[[#This Row],[Lubricants/Oil +/-]]+Table17891011121323578345[[#This Row],[Lubricants/Oil +/-]]</f>
        <v>-963</v>
      </c>
      <c r="D27" s="32">
        <f>Table17891011121323578[[#This Row],[Oil +/- ]]+Table178910111213235787[[#This Row],[Oil +/- ]]+Table178910111213235783[[#This Row],[Oil +/- ]]+Table1789101112132357834[[#This Row],[Oil +/- ]]+Table17891011121323578345[[#This Row],[Oil +/- ]]</f>
        <v>-1829</v>
      </c>
      <c r="E27" s="32">
        <f>Table17891011121323578[[#This Row],[Oil Filters +/-]]+Table178910111213235787[[#This Row],[Oil Filters +/-]]+Table178910111213235783[[#This Row],[Oil Filters +/-]]+Table1789101112132357834[[#This Row],[Oil Filters +/-]]+Table17891011121323578345[[#This Row],[Oil Filters +/-]]</f>
        <v>-723</v>
      </c>
      <c r="F27" s="32">
        <f>Table17891011121323578[[#This Row],[Air Filters +/-]]+Table178910111213235787[[#This Row],[Air Filters +/-]]+Table178910111213235783[[#This Row],[Air Filters +/-]]+Table1789101112132357834[[#This Row],[Air Filters +/-]]+Table17891011121323578345[[#This Row],[Air Filters +/-]]</f>
        <v>13</v>
      </c>
      <c r="G27" s="32">
        <f>Table17891011121323578[[#This Row],[Wipers +/-]]+Table178910111213235787[[#This Row],[Wipers +/-]]+Table178910111213235783[[#This Row],[Wipers +/-]]+Table1789101112132357834[[#This Row],[Wipers +/-]]+Table17891011121323578345[[#This Row],[Wipers +/-]]</f>
        <v>93</v>
      </c>
      <c r="H27" s="32">
        <f>Table17891011121323578[[#This Row],[Cabins +/-]]+Table178910111213235787[[#This Row],[Cabins +/-]]+Table178910111213235783[[#This Row],[Cabins +/-]]+Table1789101112132357834[[#This Row],[Cabins +/-]]+Table17891011121323578345[[#This Row],[Cabins +/-]]</f>
        <v>1</v>
      </c>
      <c r="I27" s="33">
        <f>Table17891011121323578[[#This Row],[Adjustment Variance]]+Table178910111213235787[[#This Row],[Adjustment Variance]]+Table178910111213235783[[#This Row],[Adjustment Variance]]+Table1789101112132357834[[#This Row],[Adjustment Variance]]+Table17891011121323578345[[#This Row],[Adjustment Variance]]</f>
        <v>-3140.7499999999995</v>
      </c>
      <c r="J27" s="32">
        <f>Table17891011121323578[[#This Row],[On Time Counts]]+Table178910111213235787[[#This Row],[On Time Counts]]+Table178910111213235783[[#This Row],[On Time Counts]]+Table1789101112132357834[[#This Row],[On Time Counts]]+Table17891011121323578345[[#This Row],[On Time Counts]]</f>
        <v>10</v>
      </c>
      <c r="K27" s="34">
        <f>Table178910111213235783456[[#This Row],[On Time Counts]]/45</f>
        <v>0.22222222222222221</v>
      </c>
      <c r="L27" s="35">
        <v>5562.48</v>
      </c>
      <c r="M27" s="36">
        <f>Table178910111213235783456[[#This Row],[Wipers +/-]]/Table178910111213235783456[[#This Row],[Comp Sales]]</f>
        <v>1.6719161237433663E-2</v>
      </c>
      <c r="N27" s="37">
        <v>0</v>
      </c>
      <c r="O27" s="36">
        <f>Table178910111213235783456[[#This Row],[Big 4 Items]]/Table178910111213235783456[[#This Row],[Oil +/- ]]</f>
        <v>0</v>
      </c>
      <c r="P27" s="38">
        <f t="shared" si="6"/>
        <v>0.17241379310344829</v>
      </c>
      <c r="S27" s="6">
        <f>'P10 - 10-04'!S27+'P10 - 10-11'!S27+'P10 - 10-18'!S27+'P10 - 10-25'!S27+'P10 - 11-01'!S27</f>
        <v>58</v>
      </c>
    </row>
    <row r="28" spans="1:19" ht="15" hidden="1">
      <c r="A28" s="29" t="s">
        <v>23</v>
      </c>
      <c r="B28" s="30">
        <v>5</v>
      </c>
      <c r="C28" s="31">
        <f>Table17891011121323578[[#This Row],[Lubricants/Oil +/-]]+Table178910111213235787[[#This Row],[Lubricants/Oil +/-]]+Table178910111213235783[[#This Row],[Lubricants/Oil +/-]]+Table1789101112132357834[[#This Row],[Lubricants/Oil +/-]]+Table17891011121323578345[[#This Row],[Lubricants/Oil +/-]]</f>
        <v>6594</v>
      </c>
      <c r="D28" s="32">
        <f>Table17891011121323578[[#This Row],[Oil +/- ]]+Table178910111213235787[[#This Row],[Oil +/- ]]+Table178910111213235783[[#This Row],[Oil +/- ]]+Table1789101112132357834[[#This Row],[Oil +/- ]]+Table17891011121323578345[[#This Row],[Oil +/- ]]</f>
        <v>1834</v>
      </c>
      <c r="E28" s="32">
        <f>Table17891011121323578[[#This Row],[Oil Filters +/-]]+Table178910111213235787[[#This Row],[Oil Filters +/-]]+Table178910111213235783[[#This Row],[Oil Filters +/-]]+Table1789101112132357834[[#This Row],[Oil Filters +/-]]+Table17891011121323578345[[#This Row],[Oil Filters +/-]]</f>
        <v>310</v>
      </c>
      <c r="F28" s="32">
        <f>Table17891011121323578[[#This Row],[Air Filters +/-]]+Table178910111213235787[[#This Row],[Air Filters +/-]]+Table178910111213235783[[#This Row],[Air Filters +/-]]+Table1789101112132357834[[#This Row],[Air Filters +/-]]+Table17891011121323578345[[#This Row],[Air Filters +/-]]</f>
        <v>55</v>
      </c>
      <c r="G28" s="32">
        <f>Table17891011121323578[[#This Row],[Wipers +/-]]+Table178910111213235787[[#This Row],[Wipers +/-]]+Table178910111213235783[[#This Row],[Wipers +/-]]+Table1789101112132357834[[#This Row],[Wipers +/-]]+Table17891011121323578345[[#This Row],[Wipers +/-]]</f>
        <v>28</v>
      </c>
      <c r="H28" s="32">
        <f>Table17891011121323578[[#This Row],[Cabins +/-]]+Table178910111213235787[[#This Row],[Cabins +/-]]+Table178910111213235783[[#This Row],[Cabins +/-]]+Table1789101112132357834[[#This Row],[Cabins +/-]]+Table17891011121323578345[[#This Row],[Cabins +/-]]</f>
        <v>90</v>
      </c>
      <c r="I28" s="33">
        <f>Table17891011121323578[[#This Row],[Adjustment Variance]]+Table178910111213235787[[#This Row],[Adjustment Variance]]+Table178910111213235783[[#This Row],[Adjustment Variance]]+Table1789101112132357834[[#This Row],[Adjustment Variance]]+Table17891011121323578345[[#This Row],[Adjustment Variance]]</f>
        <v>11391.81</v>
      </c>
      <c r="J28" s="32">
        <f>Table17891011121323578[[#This Row],[On Time Counts]]+Table178910111213235787[[#This Row],[On Time Counts]]+Table178910111213235783[[#This Row],[On Time Counts]]+Table1789101112132357834[[#This Row],[On Time Counts]]+Table17891011121323578345[[#This Row],[On Time Counts]]</f>
        <v>45</v>
      </c>
      <c r="K28" s="34">
        <f>Table178910111213235783456[[#This Row],[On Time Counts]]/45</f>
        <v>1</v>
      </c>
      <c r="L28" s="35">
        <v>10385.27</v>
      </c>
      <c r="M28" s="36">
        <f>Table178910111213235783456[[#This Row],[Wipers +/-]]/Table178910111213235783456[[#This Row],[Comp Sales]]</f>
        <v>2.6961263404803146E-3</v>
      </c>
      <c r="N28" s="37">
        <v>0</v>
      </c>
      <c r="O28" s="36">
        <f>Table178910111213235783456[[#This Row],[Big 4 Items]]/Table178910111213235783456[[#This Row],[Oil +/- ]]</f>
        <v>0</v>
      </c>
      <c r="P28" s="38">
        <f t="shared" si="6"/>
        <v>0.77586206896551724</v>
      </c>
      <c r="S28" s="6">
        <f>'P10 - 10-04'!S28+'P10 - 10-11'!S28+'P10 - 10-18'!S28+'P10 - 10-25'!S28+'P10 - 11-01'!S28</f>
        <v>58</v>
      </c>
    </row>
    <row r="29" spans="1:19" ht="15" hidden="1">
      <c r="A29" s="29" t="s">
        <v>23</v>
      </c>
      <c r="B29" s="30">
        <v>11</v>
      </c>
      <c r="C29" s="31">
        <f>Table17891011121323578[[#This Row],[Lubricants/Oil +/-]]+Table178910111213235787[[#This Row],[Lubricants/Oil +/-]]+Table178910111213235783[[#This Row],[Lubricants/Oil +/-]]+Table1789101112132357834[[#This Row],[Lubricants/Oil +/-]]+Table17891011121323578345[[#This Row],[Lubricants/Oil +/-]]</f>
        <v>-839</v>
      </c>
      <c r="D29" s="32">
        <f>Table17891011121323578[[#This Row],[Oil +/- ]]+Table178910111213235787[[#This Row],[Oil +/- ]]+Table178910111213235783[[#This Row],[Oil +/- ]]+Table1789101112132357834[[#This Row],[Oil +/- ]]+Table17891011121323578345[[#This Row],[Oil +/- ]]</f>
        <v>-171</v>
      </c>
      <c r="E29" s="32">
        <f>Table17891011121323578[[#This Row],[Oil Filters +/-]]+Table178910111213235787[[#This Row],[Oil Filters +/-]]+Table178910111213235783[[#This Row],[Oil Filters +/-]]+Table1789101112132357834[[#This Row],[Oil Filters +/-]]+Table17891011121323578345[[#This Row],[Oil Filters +/-]]</f>
        <v>127</v>
      </c>
      <c r="F29" s="32">
        <f>Table17891011121323578[[#This Row],[Air Filters +/-]]+Table178910111213235787[[#This Row],[Air Filters +/-]]+Table178910111213235783[[#This Row],[Air Filters +/-]]+Table1789101112132357834[[#This Row],[Air Filters +/-]]+Table17891011121323578345[[#This Row],[Air Filters +/-]]</f>
        <v>0</v>
      </c>
      <c r="G29" s="32">
        <f>Table17891011121323578[[#This Row],[Wipers +/-]]+Table178910111213235787[[#This Row],[Wipers +/-]]+Table178910111213235783[[#This Row],[Wipers +/-]]+Table1789101112132357834[[#This Row],[Wipers +/-]]+Table17891011121323578345[[#This Row],[Wipers +/-]]</f>
        <v>-3</v>
      </c>
      <c r="H29" s="32">
        <f>Table17891011121323578[[#This Row],[Cabins +/-]]+Table178910111213235787[[#This Row],[Cabins +/-]]+Table178910111213235783[[#This Row],[Cabins +/-]]+Table1789101112132357834[[#This Row],[Cabins +/-]]+Table17891011121323578345[[#This Row],[Cabins +/-]]</f>
        <v>-3</v>
      </c>
      <c r="I29" s="33">
        <f>Table17891011121323578[[#This Row],[Adjustment Variance]]+Table178910111213235787[[#This Row],[Adjustment Variance]]+Table178910111213235783[[#This Row],[Adjustment Variance]]+Table1789101112132357834[[#This Row],[Adjustment Variance]]+Table17891011121323578345[[#This Row],[Adjustment Variance]]</f>
        <v>-5698.75</v>
      </c>
      <c r="J29" s="32">
        <f>Table17891011121323578[[#This Row],[On Time Counts]]+Table178910111213235787[[#This Row],[On Time Counts]]+Table178910111213235783[[#This Row],[On Time Counts]]+Table1789101112132357834[[#This Row],[On Time Counts]]+Table17891011121323578345[[#This Row],[On Time Counts]]</f>
        <v>51</v>
      </c>
      <c r="K29" s="34">
        <f>Table178910111213235783456[[#This Row],[On Time Counts]]/45</f>
        <v>1.1333333333333333</v>
      </c>
      <c r="L29" s="35">
        <v>5512.41</v>
      </c>
      <c r="M29" s="36">
        <f>Table178910111213235783456[[#This Row],[Wipers +/-]]/Table178910111213235783456[[#This Row],[Comp Sales]]</f>
        <v>-5.4422657240662435E-4</v>
      </c>
      <c r="N29" s="37">
        <v>0</v>
      </c>
      <c r="O29" s="36">
        <f>Table178910111213235783456[[#This Row],[Big 4 Items]]/Table178910111213235783456[[#This Row],[Oil +/- ]]</f>
        <v>0</v>
      </c>
      <c r="P29" s="38">
        <f t="shared" si="6"/>
        <v>0.87931034482758619</v>
      </c>
      <c r="S29" s="6">
        <f>'P10 - 10-04'!S29+'P10 - 10-11'!S29+'P10 - 10-18'!S29+'P10 - 10-25'!S29+'P10 - 11-01'!S29</f>
        <v>58</v>
      </c>
    </row>
    <row r="30" spans="1:19" ht="15" hidden="1">
      <c r="A30" s="29" t="s">
        <v>23</v>
      </c>
      <c r="B30" s="30">
        <v>14</v>
      </c>
      <c r="C30" s="31">
        <f>Table17891011121323578[[#This Row],[Lubricants/Oil +/-]]+Table178910111213235787[[#This Row],[Lubricants/Oil +/-]]+Table178910111213235783[[#This Row],[Lubricants/Oil +/-]]+Table1789101112132357834[[#This Row],[Lubricants/Oil +/-]]+Table17891011121323578345[[#This Row],[Lubricants/Oil +/-]]</f>
        <v>7356</v>
      </c>
      <c r="D30" s="32">
        <f>Table17891011121323578[[#This Row],[Oil +/- ]]+Table178910111213235787[[#This Row],[Oil +/- ]]+Table178910111213235783[[#This Row],[Oil +/- ]]+Table1789101112132357834[[#This Row],[Oil +/- ]]+Table17891011121323578345[[#This Row],[Oil +/- ]]</f>
        <v>3761</v>
      </c>
      <c r="E30" s="32">
        <f>Table17891011121323578[[#This Row],[Oil Filters +/-]]+Table178910111213235787[[#This Row],[Oil Filters +/-]]+Table178910111213235783[[#This Row],[Oil Filters +/-]]+Table1789101112132357834[[#This Row],[Oil Filters +/-]]+Table17891011121323578345[[#This Row],[Oil Filters +/-]]</f>
        <v>29</v>
      </c>
      <c r="F30" s="32">
        <f>Table17891011121323578[[#This Row],[Air Filters +/-]]+Table178910111213235787[[#This Row],[Air Filters +/-]]+Table178910111213235783[[#This Row],[Air Filters +/-]]+Table1789101112132357834[[#This Row],[Air Filters +/-]]+Table17891011121323578345[[#This Row],[Air Filters +/-]]</f>
        <v>-5</v>
      </c>
      <c r="G30" s="32">
        <f>Table17891011121323578[[#This Row],[Wipers +/-]]+Table178910111213235787[[#This Row],[Wipers +/-]]+Table178910111213235783[[#This Row],[Wipers +/-]]+Table1789101112132357834[[#This Row],[Wipers +/-]]+Table17891011121323578345[[#This Row],[Wipers +/-]]</f>
        <v>2</v>
      </c>
      <c r="H30" s="32">
        <f>Table17891011121323578[[#This Row],[Cabins +/-]]+Table178910111213235787[[#This Row],[Cabins +/-]]+Table178910111213235783[[#This Row],[Cabins +/-]]+Table1789101112132357834[[#This Row],[Cabins +/-]]+Table17891011121323578345[[#This Row],[Cabins +/-]]</f>
        <v>11</v>
      </c>
      <c r="I30" s="33">
        <f>Table17891011121323578[[#This Row],[Adjustment Variance]]+Table178910111213235787[[#This Row],[Adjustment Variance]]+Table178910111213235783[[#This Row],[Adjustment Variance]]+Table1789101112132357834[[#This Row],[Adjustment Variance]]+Table17891011121323578345[[#This Row],[Adjustment Variance]]</f>
        <v>21649.780000000002</v>
      </c>
      <c r="J30" s="32">
        <f>Table17891011121323578[[#This Row],[On Time Counts]]+Table178910111213235787[[#This Row],[On Time Counts]]+Table178910111213235783[[#This Row],[On Time Counts]]+Table1789101112132357834[[#This Row],[On Time Counts]]+Table17891011121323578345[[#This Row],[On Time Counts]]</f>
        <v>37</v>
      </c>
      <c r="K30" s="34">
        <f>Table178910111213235783456[[#This Row],[On Time Counts]]/45</f>
        <v>0.82222222222222219</v>
      </c>
      <c r="L30" s="35">
        <v>7892.5</v>
      </c>
      <c r="M30" s="36">
        <f>Table178910111213235783456[[#This Row],[Wipers +/-]]/Table178910111213235783456[[#This Row],[Comp Sales]]</f>
        <v>2.5340513145391194E-4</v>
      </c>
      <c r="N30" s="37">
        <v>0</v>
      </c>
      <c r="O30" s="36">
        <f>Table178910111213235783456[[#This Row],[Big 4 Items]]/Table178910111213235783456[[#This Row],[Oil +/- ]]</f>
        <v>0</v>
      </c>
      <c r="P30" s="38">
        <f t="shared" si="6"/>
        <v>0.63793103448275867</v>
      </c>
      <c r="S30" s="6">
        <f>'P10 - 10-04'!S30+'P10 - 10-11'!S30+'P10 - 10-18'!S30+'P10 - 10-25'!S30+'P10 - 11-01'!S30</f>
        <v>58</v>
      </c>
    </row>
    <row r="31" spans="1:19" ht="15" hidden="1">
      <c r="A31" s="29" t="s">
        <v>23</v>
      </c>
      <c r="B31" s="30">
        <v>20</v>
      </c>
      <c r="C31" s="31">
        <f>Table17891011121323578[[#This Row],[Lubricants/Oil +/-]]+Table178910111213235787[[#This Row],[Lubricants/Oil +/-]]+Table178910111213235783[[#This Row],[Lubricants/Oil +/-]]+Table1789101112132357834[[#This Row],[Lubricants/Oil +/-]]+Table17891011121323578345[[#This Row],[Lubricants/Oil +/-]]</f>
        <v>1123</v>
      </c>
      <c r="D31" s="32">
        <f>Table17891011121323578[[#This Row],[Oil +/- ]]+Table178910111213235787[[#This Row],[Oil +/- ]]+Table178910111213235783[[#This Row],[Oil +/- ]]+Table1789101112132357834[[#This Row],[Oil +/- ]]+Table17891011121323578345[[#This Row],[Oil +/- ]]</f>
        <v>203</v>
      </c>
      <c r="E31" s="32">
        <f>Table17891011121323578[[#This Row],[Oil Filters +/-]]+Table178910111213235787[[#This Row],[Oil Filters +/-]]+Table178910111213235783[[#This Row],[Oil Filters +/-]]+Table1789101112132357834[[#This Row],[Oil Filters +/-]]+Table17891011121323578345[[#This Row],[Oil Filters +/-]]</f>
        <v>19</v>
      </c>
      <c r="F31" s="32">
        <f>Table17891011121323578[[#This Row],[Air Filters +/-]]+Table178910111213235787[[#This Row],[Air Filters +/-]]+Table178910111213235783[[#This Row],[Air Filters +/-]]+Table1789101112132357834[[#This Row],[Air Filters +/-]]+Table17891011121323578345[[#This Row],[Air Filters +/-]]</f>
        <v>8</v>
      </c>
      <c r="G31" s="32">
        <f>Table17891011121323578[[#This Row],[Wipers +/-]]+Table178910111213235787[[#This Row],[Wipers +/-]]+Table178910111213235783[[#This Row],[Wipers +/-]]+Table1789101112132357834[[#This Row],[Wipers +/-]]+Table17891011121323578345[[#This Row],[Wipers +/-]]</f>
        <v>-26</v>
      </c>
      <c r="H31" s="32">
        <f>Table17891011121323578[[#This Row],[Cabins +/-]]+Table178910111213235787[[#This Row],[Cabins +/-]]+Table178910111213235783[[#This Row],[Cabins +/-]]+Table1789101112132357834[[#This Row],[Cabins +/-]]+Table17891011121323578345[[#This Row],[Cabins +/-]]</f>
        <v>-9</v>
      </c>
      <c r="I31" s="33">
        <f>Table17891011121323578[[#This Row],[Adjustment Variance]]+Table178910111213235787[[#This Row],[Adjustment Variance]]+Table178910111213235783[[#This Row],[Adjustment Variance]]+Table1789101112132357834[[#This Row],[Adjustment Variance]]+Table17891011121323578345[[#This Row],[Adjustment Variance]]</f>
        <v>1168.71</v>
      </c>
      <c r="J31" s="32">
        <f>Table17891011121323578[[#This Row],[On Time Counts]]+Table178910111213235787[[#This Row],[On Time Counts]]+Table178910111213235783[[#This Row],[On Time Counts]]+Table1789101112132357834[[#This Row],[On Time Counts]]+Table17891011121323578345[[#This Row],[On Time Counts]]</f>
        <v>16</v>
      </c>
      <c r="K31" s="34">
        <f>Table178910111213235783456[[#This Row],[On Time Counts]]/45</f>
        <v>0.35555555555555557</v>
      </c>
      <c r="L31" s="35">
        <v>3854.43</v>
      </c>
      <c r="M31" s="36">
        <f>Table178910111213235783456[[#This Row],[Wipers +/-]]/Table178910111213235783456[[#This Row],[Comp Sales]]</f>
        <v>-6.7454850652366241E-3</v>
      </c>
      <c r="N31" s="37">
        <v>0</v>
      </c>
      <c r="O31" s="36">
        <f>Table178910111213235783456[[#This Row],[Big 4 Items]]/Table178910111213235783456[[#This Row],[Oil +/- ]]</f>
        <v>0</v>
      </c>
      <c r="P31" s="38">
        <f t="shared" si="6"/>
        <v>0.27586206896551724</v>
      </c>
      <c r="S31" s="6">
        <f>'P10 - 10-04'!S31+'P10 - 10-11'!S31+'P10 - 10-18'!S31+'P10 - 10-25'!S31+'P10 - 11-01'!S31</f>
        <v>58</v>
      </c>
    </row>
    <row r="32" spans="1:19" ht="15" hidden="1">
      <c r="A32" s="29" t="s">
        <v>23</v>
      </c>
      <c r="B32" s="30">
        <v>21</v>
      </c>
      <c r="C32" s="31">
        <f>Table17891011121323578[[#This Row],[Lubricants/Oil +/-]]+Table178910111213235787[[#This Row],[Lubricants/Oil +/-]]+Table178910111213235783[[#This Row],[Lubricants/Oil +/-]]+Table1789101112132357834[[#This Row],[Lubricants/Oil +/-]]+Table17891011121323578345[[#This Row],[Lubricants/Oil +/-]]</f>
        <v>-458</v>
      </c>
      <c r="D32" s="32">
        <f>Table17891011121323578[[#This Row],[Oil +/- ]]+Table178910111213235787[[#This Row],[Oil +/- ]]+Table178910111213235783[[#This Row],[Oil +/- ]]+Table1789101112132357834[[#This Row],[Oil +/- ]]+Table17891011121323578345[[#This Row],[Oil +/- ]]</f>
        <v>-426</v>
      </c>
      <c r="E32" s="32">
        <f>Table17891011121323578[[#This Row],[Oil Filters +/-]]+Table178910111213235787[[#This Row],[Oil Filters +/-]]+Table178910111213235783[[#This Row],[Oil Filters +/-]]+Table1789101112132357834[[#This Row],[Oil Filters +/-]]+Table17891011121323578345[[#This Row],[Oil Filters +/-]]</f>
        <v>91</v>
      </c>
      <c r="F32" s="32">
        <f>Table17891011121323578[[#This Row],[Air Filters +/-]]+Table178910111213235787[[#This Row],[Air Filters +/-]]+Table178910111213235783[[#This Row],[Air Filters +/-]]+Table1789101112132357834[[#This Row],[Air Filters +/-]]+Table17891011121323578345[[#This Row],[Air Filters +/-]]</f>
        <v>-14</v>
      </c>
      <c r="G32" s="32">
        <f>Table17891011121323578[[#This Row],[Wipers +/-]]+Table178910111213235787[[#This Row],[Wipers +/-]]+Table178910111213235783[[#This Row],[Wipers +/-]]+Table1789101112132357834[[#This Row],[Wipers +/-]]+Table17891011121323578345[[#This Row],[Wipers +/-]]</f>
        <v>-4</v>
      </c>
      <c r="H32" s="32">
        <f>Table17891011121323578[[#This Row],[Cabins +/-]]+Table178910111213235787[[#This Row],[Cabins +/-]]+Table178910111213235783[[#This Row],[Cabins +/-]]+Table1789101112132357834[[#This Row],[Cabins +/-]]+Table17891011121323578345[[#This Row],[Cabins +/-]]</f>
        <v>12</v>
      </c>
      <c r="I32" s="33">
        <f>Table17891011121323578[[#This Row],[Adjustment Variance]]+Table178910111213235787[[#This Row],[Adjustment Variance]]+Table178910111213235783[[#This Row],[Adjustment Variance]]+Table1789101112132357834[[#This Row],[Adjustment Variance]]+Table17891011121323578345[[#This Row],[Adjustment Variance]]</f>
        <v>-587.04</v>
      </c>
      <c r="J32" s="32">
        <f>Table17891011121323578[[#This Row],[On Time Counts]]+Table178910111213235787[[#This Row],[On Time Counts]]+Table178910111213235783[[#This Row],[On Time Counts]]+Table1789101112132357834[[#This Row],[On Time Counts]]+Table17891011121323578345[[#This Row],[On Time Counts]]</f>
        <v>54</v>
      </c>
      <c r="K32" s="34">
        <f>Table178910111213235783456[[#This Row],[On Time Counts]]/45</f>
        <v>1.2</v>
      </c>
      <c r="L32" s="35">
        <v>6979.44</v>
      </c>
      <c r="M32" s="36">
        <f>Table178910111213235783456[[#This Row],[Wipers +/-]]/Table178910111213235783456[[#This Row],[Comp Sales]]</f>
        <v>-5.7311188290178007E-4</v>
      </c>
      <c r="N32" s="37">
        <v>0</v>
      </c>
      <c r="O32" s="36">
        <f>Table178910111213235783456[[#This Row],[Big 4 Items]]/Table178910111213235783456[[#This Row],[Oil +/- ]]</f>
        <v>0</v>
      </c>
      <c r="P32" s="38">
        <f t="shared" si="6"/>
        <v>0.93103448275862066</v>
      </c>
      <c r="S32" s="6">
        <f>'P10 - 10-04'!S32+'P10 - 10-11'!S32+'P10 - 10-18'!S32+'P10 - 10-25'!S32+'P10 - 11-01'!S32</f>
        <v>58</v>
      </c>
    </row>
    <row r="33" spans="1:19" ht="15" hidden="1">
      <c r="A33" s="29" t="s">
        <v>23</v>
      </c>
      <c r="B33" s="30">
        <v>23</v>
      </c>
      <c r="C33" s="31">
        <f>Table17891011121323578[[#This Row],[Lubricants/Oil +/-]]+Table178910111213235787[[#This Row],[Lubricants/Oil +/-]]+Table178910111213235783[[#This Row],[Lubricants/Oil +/-]]+Table1789101112132357834[[#This Row],[Lubricants/Oil +/-]]+Table17891011121323578345[[#This Row],[Lubricants/Oil +/-]]</f>
        <v>1989</v>
      </c>
      <c r="D33" s="32">
        <f>Table17891011121323578[[#This Row],[Oil +/- ]]+Table178910111213235787[[#This Row],[Oil +/- ]]+Table178910111213235783[[#This Row],[Oil +/- ]]+Table1789101112132357834[[#This Row],[Oil +/- ]]+Table17891011121323578345[[#This Row],[Oil +/- ]]</f>
        <v>861</v>
      </c>
      <c r="E33" s="32">
        <f>Table17891011121323578[[#This Row],[Oil Filters +/-]]+Table178910111213235787[[#This Row],[Oil Filters +/-]]+Table178910111213235783[[#This Row],[Oil Filters +/-]]+Table1789101112132357834[[#This Row],[Oil Filters +/-]]+Table17891011121323578345[[#This Row],[Oil Filters +/-]]</f>
        <v>222</v>
      </c>
      <c r="F33" s="32">
        <f>Table17891011121323578[[#This Row],[Air Filters +/-]]+Table178910111213235787[[#This Row],[Air Filters +/-]]+Table178910111213235783[[#This Row],[Air Filters +/-]]+Table1789101112132357834[[#This Row],[Air Filters +/-]]+Table17891011121323578345[[#This Row],[Air Filters +/-]]</f>
        <v>4</v>
      </c>
      <c r="G33" s="32">
        <f>Table17891011121323578[[#This Row],[Wipers +/-]]+Table178910111213235787[[#This Row],[Wipers +/-]]+Table178910111213235783[[#This Row],[Wipers +/-]]+Table1789101112132357834[[#This Row],[Wipers +/-]]+Table17891011121323578345[[#This Row],[Wipers +/-]]</f>
        <v>-20</v>
      </c>
      <c r="H33" s="32">
        <f>Table17891011121323578[[#This Row],[Cabins +/-]]+Table178910111213235787[[#This Row],[Cabins +/-]]+Table178910111213235783[[#This Row],[Cabins +/-]]+Table1789101112132357834[[#This Row],[Cabins +/-]]+Table17891011121323578345[[#This Row],[Cabins +/-]]</f>
        <v>8</v>
      </c>
      <c r="I33" s="33">
        <f>Table17891011121323578[[#This Row],[Adjustment Variance]]+Table178910111213235787[[#This Row],[Adjustment Variance]]+Table178910111213235783[[#This Row],[Adjustment Variance]]+Table1789101112132357834[[#This Row],[Adjustment Variance]]+Table17891011121323578345[[#This Row],[Adjustment Variance]]</f>
        <v>3315.9300000000003</v>
      </c>
      <c r="J33" s="32">
        <f>Table17891011121323578[[#This Row],[On Time Counts]]+Table178910111213235787[[#This Row],[On Time Counts]]+Table178910111213235783[[#This Row],[On Time Counts]]+Table1789101112132357834[[#This Row],[On Time Counts]]+Table17891011121323578345[[#This Row],[On Time Counts]]</f>
        <v>22</v>
      </c>
      <c r="K33" s="34">
        <f>Table178910111213235783456[[#This Row],[On Time Counts]]/45</f>
        <v>0.48888888888888887</v>
      </c>
      <c r="L33" s="35">
        <v>7573.54</v>
      </c>
      <c r="M33" s="36">
        <f>Table178910111213235783456[[#This Row],[Wipers +/-]]/Table178910111213235783456[[#This Row],[Comp Sales]]</f>
        <v>-2.6407730070746307E-3</v>
      </c>
      <c r="N33" s="37">
        <v>0</v>
      </c>
      <c r="O33" s="36">
        <f>Table178910111213235783456[[#This Row],[Big 4 Items]]/Table178910111213235783456[[#This Row],[Oil +/- ]]</f>
        <v>0</v>
      </c>
      <c r="P33" s="38">
        <f t="shared" si="6"/>
        <v>0.37931034482758619</v>
      </c>
      <c r="S33" s="6">
        <f>'P10 - 10-04'!S33+'P10 - 10-11'!S33+'P10 - 10-18'!S33+'P10 - 10-25'!S33+'P10 - 11-01'!S33</f>
        <v>58</v>
      </c>
    </row>
    <row r="34" spans="1:19" ht="15" hidden="1">
      <c r="A34" s="29" t="s">
        <v>23</v>
      </c>
      <c r="B34" s="30">
        <v>24</v>
      </c>
      <c r="C34" s="31">
        <f>Table17891011121323578[[#This Row],[Lubricants/Oil +/-]]+Table178910111213235787[[#This Row],[Lubricants/Oil +/-]]+Table178910111213235783[[#This Row],[Lubricants/Oil +/-]]+Table1789101112132357834[[#This Row],[Lubricants/Oil +/-]]+Table17891011121323578345[[#This Row],[Lubricants/Oil +/-]]</f>
        <v>2799</v>
      </c>
      <c r="D34" s="32">
        <f>Table17891011121323578[[#This Row],[Oil +/- ]]+Table178910111213235787[[#This Row],[Oil +/- ]]+Table178910111213235783[[#This Row],[Oil +/- ]]+Table1789101112132357834[[#This Row],[Oil +/- ]]+Table17891011121323578345[[#This Row],[Oil +/- ]]</f>
        <v>2034</v>
      </c>
      <c r="E34" s="32">
        <f>Table17891011121323578[[#This Row],[Oil Filters +/-]]+Table178910111213235787[[#This Row],[Oil Filters +/-]]+Table178910111213235783[[#This Row],[Oil Filters +/-]]+Table1789101112132357834[[#This Row],[Oil Filters +/-]]+Table17891011121323578345[[#This Row],[Oil Filters +/-]]</f>
        <v>185</v>
      </c>
      <c r="F34" s="32">
        <f>Table17891011121323578[[#This Row],[Air Filters +/-]]+Table178910111213235787[[#This Row],[Air Filters +/-]]+Table178910111213235783[[#This Row],[Air Filters +/-]]+Table1789101112132357834[[#This Row],[Air Filters +/-]]+Table17891011121323578345[[#This Row],[Air Filters +/-]]</f>
        <v>-11</v>
      </c>
      <c r="G34" s="32">
        <f>Table17891011121323578[[#This Row],[Wipers +/-]]+Table178910111213235787[[#This Row],[Wipers +/-]]+Table178910111213235783[[#This Row],[Wipers +/-]]+Table1789101112132357834[[#This Row],[Wipers +/-]]+Table17891011121323578345[[#This Row],[Wipers +/-]]</f>
        <v>-9</v>
      </c>
      <c r="H34" s="32">
        <f>Table17891011121323578[[#This Row],[Cabins +/-]]+Table178910111213235787[[#This Row],[Cabins +/-]]+Table178910111213235783[[#This Row],[Cabins +/-]]+Table1789101112132357834[[#This Row],[Cabins +/-]]+Table17891011121323578345[[#This Row],[Cabins +/-]]</f>
        <v>61</v>
      </c>
      <c r="I34" s="33">
        <f>Table17891011121323578[[#This Row],[Adjustment Variance]]+Table178910111213235787[[#This Row],[Adjustment Variance]]+Table178910111213235783[[#This Row],[Adjustment Variance]]+Table1789101112132357834[[#This Row],[Adjustment Variance]]+Table17891011121323578345[[#This Row],[Adjustment Variance]]</f>
        <v>13575.28</v>
      </c>
      <c r="J34" s="32">
        <f>Table17891011121323578[[#This Row],[On Time Counts]]+Table178910111213235787[[#This Row],[On Time Counts]]+Table178910111213235783[[#This Row],[On Time Counts]]+Table1789101112132357834[[#This Row],[On Time Counts]]+Table17891011121323578345[[#This Row],[On Time Counts]]</f>
        <v>38</v>
      </c>
      <c r="K34" s="34">
        <f>Table178910111213235783456[[#This Row],[On Time Counts]]/45</f>
        <v>0.84444444444444444</v>
      </c>
      <c r="L34" s="35">
        <v>5842.02</v>
      </c>
      <c r="M34" s="36">
        <f>Table178910111213235783456[[#This Row],[Wipers +/-]]/Table178910111213235783456[[#This Row],[Comp Sales]]</f>
        <v>-1.5405630244333295E-3</v>
      </c>
      <c r="N34" s="37">
        <v>0</v>
      </c>
      <c r="O34" s="36">
        <f>Table178910111213235783456[[#This Row],[Big 4 Items]]/Table178910111213235783456[[#This Row],[Oil +/- ]]</f>
        <v>0</v>
      </c>
      <c r="P34" s="38">
        <f t="shared" si="6"/>
        <v>0.65517241379310343</v>
      </c>
      <c r="S34" s="6">
        <f>'P10 - 10-04'!S34+'P10 - 10-11'!S34+'P10 - 10-18'!S34+'P10 - 10-25'!S34+'P10 - 11-01'!S34</f>
        <v>58</v>
      </c>
    </row>
    <row r="35" spans="1:19" ht="15" hidden="1">
      <c r="A35" s="29" t="s">
        <v>23</v>
      </c>
      <c r="B35" s="30">
        <v>26</v>
      </c>
      <c r="C35" s="31">
        <f>Table17891011121323578[[#This Row],[Lubricants/Oil +/-]]+Table178910111213235787[[#This Row],[Lubricants/Oil +/-]]+Table178910111213235783[[#This Row],[Lubricants/Oil +/-]]+Table1789101112132357834[[#This Row],[Lubricants/Oil +/-]]+Table17891011121323578345[[#This Row],[Lubricants/Oil +/-]]</f>
        <v>1</v>
      </c>
      <c r="D35" s="32">
        <f>Table17891011121323578[[#This Row],[Oil +/- ]]+Table178910111213235787[[#This Row],[Oil +/- ]]+Table178910111213235783[[#This Row],[Oil +/- ]]+Table1789101112132357834[[#This Row],[Oil +/- ]]+Table17891011121323578345[[#This Row],[Oil +/- ]]</f>
        <v>105</v>
      </c>
      <c r="E35" s="32">
        <f>Table17891011121323578[[#This Row],[Oil Filters +/-]]+Table178910111213235787[[#This Row],[Oil Filters +/-]]+Table178910111213235783[[#This Row],[Oil Filters +/-]]+Table1789101112132357834[[#This Row],[Oil Filters +/-]]+Table17891011121323578345[[#This Row],[Oil Filters +/-]]</f>
        <v>340</v>
      </c>
      <c r="F35" s="32">
        <f>Table17891011121323578[[#This Row],[Air Filters +/-]]+Table178910111213235787[[#This Row],[Air Filters +/-]]+Table178910111213235783[[#This Row],[Air Filters +/-]]+Table1789101112132357834[[#This Row],[Air Filters +/-]]+Table17891011121323578345[[#This Row],[Air Filters +/-]]</f>
        <v>77</v>
      </c>
      <c r="G35" s="32">
        <f>Table17891011121323578[[#This Row],[Wipers +/-]]+Table178910111213235787[[#This Row],[Wipers +/-]]+Table178910111213235783[[#This Row],[Wipers +/-]]+Table1789101112132357834[[#This Row],[Wipers +/-]]+Table17891011121323578345[[#This Row],[Wipers +/-]]</f>
        <v>35</v>
      </c>
      <c r="H35" s="32">
        <f>Table17891011121323578[[#This Row],[Cabins +/-]]+Table178910111213235787[[#This Row],[Cabins +/-]]+Table178910111213235783[[#This Row],[Cabins +/-]]+Table1789101112132357834[[#This Row],[Cabins +/-]]+Table17891011121323578345[[#This Row],[Cabins +/-]]</f>
        <v>16</v>
      </c>
      <c r="I35" s="33">
        <f>Table17891011121323578[[#This Row],[Adjustment Variance]]+Table178910111213235787[[#This Row],[Adjustment Variance]]+Table178910111213235783[[#This Row],[Adjustment Variance]]+Table1789101112132357834[[#This Row],[Adjustment Variance]]+Table17891011121323578345[[#This Row],[Adjustment Variance]]</f>
        <v>-204.48000000000025</v>
      </c>
      <c r="J35" s="32">
        <f>Table17891011121323578[[#This Row],[On Time Counts]]+Table178910111213235787[[#This Row],[On Time Counts]]+Table178910111213235783[[#This Row],[On Time Counts]]+Table1789101112132357834[[#This Row],[On Time Counts]]+Table17891011121323578345[[#This Row],[On Time Counts]]</f>
        <v>37</v>
      </c>
      <c r="K35" s="34">
        <f>Table178910111213235783456[[#This Row],[On Time Counts]]/45</f>
        <v>0.82222222222222219</v>
      </c>
      <c r="L35" s="35">
        <v>6567.35</v>
      </c>
      <c r="M35" s="36">
        <f>Table178910111213235783456[[#This Row],[Wipers +/-]]/Table178910111213235783456[[#This Row],[Comp Sales]]</f>
        <v>5.3293946569011848E-3</v>
      </c>
      <c r="N35" s="37">
        <v>0</v>
      </c>
      <c r="O35" s="36">
        <f>Table178910111213235783456[[#This Row],[Big 4 Items]]/Table178910111213235783456[[#This Row],[Oil +/- ]]</f>
        <v>0</v>
      </c>
      <c r="P35" s="38">
        <f t="shared" si="6"/>
        <v>0.63793103448275867</v>
      </c>
      <c r="S35" s="6">
        <f>'P10 - 10-04'!S35+'P10 - 10-11'!S35+'P10 - 10-18'!S35+'P10 - 10-25'!S35+'P10 - 11-01'!S35</f>
        <v>58</v>
      </c>
    </row>
    <row r="36" spans="1:19" ht="15" hidden="1">
      <c r="A36" s="29" t="s">
        <v>24</v>
      </c>
      <c r="B36" s="30">
        <v>46</v>
      </c>
      <c r="C36" s="31">
        <f>Table17891011121323578[[#This Row],[Lubricants/Oil +/-]]+Table178910111213235787[[#This Row],[Lubricants/Oil +/-]]+Table178910111213235783[[#This Row],[Lubricants/Oil +/-]]+Table1789101112132357834[[#This Row],[Lubricants/Oil +/-]]+Table17891011121323578345[[#This Row],[Lubricants/Oil +/-]]</f>
        <v>219</v>
      </c>
      <c r="D36" s="32">
        <f>Table17891011121323578[[#This Row],[Oil +/- ]]+Table178910111213235787[[#This Row],[Oil +/- ]]+Table178910111213235783[[#This Row],[Oil +/- ]]+Table1789101112132357834[[#This Row],[Oil +/- ]]+Table17891011121323578345[[#This Row],[Oil +/- ]]</f>
        <v>-110</v>
      </c>
      <c r="E36" s="32">
        <f>Table17891011121323578[[#This Row],[Oil Filters +/-]]+Table178910111213235787[[#This Row],[Oil Filters +/-]]+Table178910111213235783[[#This Row],[Oil Filters +/-]]+Table1789101112132357834[[#This Row],[Oil Filters +/-]]+Table17891011121323578345[[#This Row],[Oil Filters +/-]]</f>
        <v>-12</v>
      </c>
      <c r="F36" s="32">
        <f>Table17891011121323578[[#This Row],[Air Filters +/-]]+Table178910111213235787[[#This Row],[Air Filters +/-]]+Table178910111213235783[[#This Row],[Air Filters +/-]]+Table1789101112132357834[[#This Row],[Air Filters +/-]]+Table17891011121323578345[[#This Row],[Air Filters +/-]]</f>
        <v>3</v>
      </c>
      <c r="G36" s="32">
        <f>Table17891011121323578[[#This Row],[Wipers +/-]]+Table178910111213235787[[#This Row],[Wipers +/-]]+Table178910111213235783[[#This Row],[Wipers +/-]]+Table1789101112132357834[[#This Row],[Wipers +/-]]+Table17891011121323578345[[#This Row],[Wipers +/-]]</f>
        <v>0</v>
      </c>
      <c r="H36" s="32">
        <f>Table17891011121323578[[#This Row],[Cabins +/-]]+Table178910111213235787[[#This Row],[Cabins +/-]]+Table178910111213235783[[#This Row],[Cabins +/-]]+Table1789101112132357834[[#This Row],[Cabins +/-]]+Table17891011121323578345[[#This Row],[Cabins +/-]]</f>
        <v>1</v>
      </c>
      <c r="I36" s="33">
        <f>Table17891011121323578[[#This Row],[Adjustment Variance]]+Table178910111213235787[[#This Row],[Adjustment Variance]]+Table178910111213235783[[#This Row],[Adjustment Variance]]+Table1789101112132357834[[#This Row],[Adjustment Variance]]+Table17891011121323578345[[#This Row],[Adjustment Variance]]</f>
        <v>2127.8200000000002</v>
      </c>
      <c r="J36" s="32">
        <f>Table17891011121323578[[#This Row],[On Time Counts]]+Table178910111213235787[[#This Row],[On Time Counts]]+Table178910111213235783[[#This Row],[On Time Counts]]+Table1789101112132357834[[#This Row],[On Time Counts]]+Table17891011121323578345[[#This Row],[On Time Counts]]</f>
        <v>41</v>
      </c>
      <c r="K36" s="34">
        <f>Table178910111213235783456[[#This Row],[On Time Counts]]/45</f>
        <v>0.91111111111111109</v>
      </c>
      <c r="L36" s="35">
        <v>5286.48</v>
      </c>
      <c r="M36" s="36">
        <f>Table178910111213235783456[[#This Row],[Wipers +/-]]/Table178910111213235783456[[#This Row],[Comp Sales]]</f>
        <v>0</v>
      </c>
      <c r="N36" s="37">
        <v>0</v>
      </c>
      <c r="O36" s="36">
        <f>Table178910111213235783456[[#This Row],[Big 4 Items]]/Table178910111213235783456[[#This Row],[Oil +/- ]]</f>
        <v>0</v>
      </c>
      <c r="P36" s="38">
        <f t="shared" si="6"/>
        <v>0.7068965517241379</v>
      </c>
      <c r="S36" s="6">
        <f>'P10 - 10-04'!S36+'P10 - 10-11'!S36+'P10 - 10-18'!S36+'P10 - 10-25'!S36+'P10 - 11-01'!S36</f>
        <v>58</v>
      </c>
    </row>
    <row r="37" spans="1:19" ht="15" hidden="1">
      <c r="A37" s="29" t="s">
        <v>24</v>
      </c>
      <c r="B37" s="30">
        <v>283</v>
      </c>
      <c r="C37" s="31">
        <f>Table17891011121323578[[#This Row],[Lubricants/Oil +/-]]+Table178910111213235787[[#This Row],[Lubricants/Oil +/-]]+Table178910111213235783[[#This Row],[Lubricants/Oil +/-]]+Table1789101112132357834[[#This Row],[Lubricants/Oil +/-]]+Table17891011121323578345[[#This Row],[Lubricants/Oil +/-]]</f>
        <v>-1121</v>
      </c>
      <c r="D37" s="32">
        <f>Table17891011121323578[[#This Row],[Oil +/- ]]+Table178910111213235787[[#This Row],[Oil +/- ]]+Table178910111213235783[[#This Row],[Oil +/- ]]+Table1789101112132357834[[#This Row],[Oil +/- ]]+Table17891011121323578345[[#This Row],[Oil +/- ]]</f>
        <v>-673</v>
      </c>
      <c r="E37" s="32">
        <f>Table17891011121323578[[#This Row],[Oil Filters +/-]]+Table178910111213235787[[#This Row],[Oil Filters +/-]]+Table178910111213235783[[#This Row],[Oil Filters +/-]]+Table1789101112132357834[[#This Row],[Oil Filters +/-]]+Table17891011121323578345[[#This Row],[Oil Filters +/-]]</f>
        <v>-295</v>
      </c>
      <c r="F37" s="32">
        <f>Table17891011121323578[[#This Row],[Air Filters +/-]]+Table178910111213235787[[#This Row],[Air Filters +/-]]+Table178910111213235783[[#This Row],[Air Filters +/-]]+Table1789101112132357834[[#This Row],[Air Filters +/-]]+Table17891011121323578345[[#This Row],[Air Filters +/-]]</f>
        <v>29</v>
      </c>
      <c r="G37" s="32">
        <f>Table17891011121323578[[#This Row],[Wipers +/-]]+Table178910111213235787[[#This Row],[Wipers +/-]]+Table178910111213235783[[#This Row],[Wipers +/-]]+Table1789101112132357834[[#This Row],[Wipers +/-]]+Table17891011121323578345[[#This Row],[Wipers +/-]]</f>
        <v>168</v>
      </c>
      <c r="H37" s="32">
        <f>Table17891011121323578[[#This Row],[Cabins +/-]]+Table178910111213235787[[#This Row],[Cabins +/-]]+Table178910111213235783[[#This Row],[Cabins +/-]]+Table1789101112132357834[[#This Row],[Cabins +/-]]+Table17891011121323578345[[#This Row],[Cabins +/-]]</f>
        <v>-5</v>
      </c>
      <c r="I37" s="33">
        <f>Table17891011121323578[[#This Row],[Adjustment Variance]]+Table178910111213235787[[#This Row],[Adjustment Variance]]+Table178910111213235783[[#This Row],[Adjustment Variance]]+Table1789101112132357834[[#This Row],[Adjustment Variance]]+Table17891011121323578345[[#This Row],[Adjustment Variance]]</f>
        <v>-1606.3599999999997</v>
      </c>
      <c r="J37" s="32">
        <f>Table17891011121323578[[#This Row],[On Time Counts]]+Table178910111213235787[[#This Row],[On Time Counts]]+Table178910111213235783[[#This Row],[On Time Counts]]+Table1789101112132357834[[#This Row],[On Time Counts]]+Table17891011121323578345[[#This Row],[On Time Counts]]</f>
        <v>23</v>
      </c>
      <c r="K37" s="34">
        <f>Table178910111213235783456[[#This Row],[On Time Counts]]/45</f>
        <v>0.51111111111111107</v>
      </c>
      <c r="L37" s="35">
        <v>4596.08</v>
      </c>
      <c r="M37" s="36">
        <f>Table178910111213235783456[[#This Row],[Wipers +/-]]/Table178910111213235783456[[#This Row],[Comp Sales]]</f>
        <v>3.6552888548502201E-2</v>
      </c>
      <c r="N37" s="39">
        <v>0</v>
      </c>
      <c r="O37" s="36">
        <f>Table178910111213235783456[[#This Row],[Big 4 Items]]/Table178910111213235783456[[#This Row],[Oil +/- ]]</f>
        <v>0</v>
      </c>
      <c r="P37" s="38">
        <f t="shared" si="6"/>
        <v>0.39655172413793105</v>
      </c>
      <c r="S37" s="6">
        <f>'P10 - 10-04'!S37+'P10 - 10-11'!S37+'P10 - 10-18'!S37+'P10 - 10-25'!S37+'P10 - 11-01'!S37</f>
        <v>58</v>
      </c>
    </row>
    <row r="38" spans="1:19" ht="15" hidden="1">
      <c r="A38" s="29" t="s">
        <v>24</v>
      </c>
      <c r="B38" s="30">
        <v>847</v>
      </c>
      <c r="C38" s="31">
        <f>Table17891011121323578[[#This Row],[Lubricants/Oil +/-]]+Table178910111213235787[[#This Row],[Lubricants/Oil +/-]]+Table178910111213235783[[#This Row],[Lubricants/Oil +/-]]+Table1789101112132357834[[#This Row],[Lubricants/Oil +/-]]+Table17891011121323578345[[#This Row],[Lubricants/Oil +/-]]</f>
        <v>453</v>
      </c>
      <c r="D38" s="32">
        <f>Table17891011121323578[[#This Row],[Oil +/- ]]+Table178910111213235787[[#This Row],[Oil +/- ]]+Table178910111213235783[[#This Row],[Oil +/- ]]+Table1789101112132357834[[#This Row],[Oil +/- ]]+Table17891011121323578345[[#This Row],[Oil +/- ]]</f>
        <v>453</v>
      </c>
      <c r="E38" s="32">
        <f>Table17891011121323578[[#This Row],[Oil Filters +/-]]+Table178910111213235787[[#This Row],[Oil Filters +/-]]+Table178910111213235783[[#This Row],[Oil Filters +/-]]+Table1789101112132357834[[#This Row],[Oil Filters +/-]]+Table17891011121323578345[[#This Row],[Oil Filters +/-]]</f>
        <v>227</v>
      </c>
      <c r="F38" s="32">
        <f>Table17891011121323578[[#This Row],[Air Filters +/-]]+Table178910111213235787[[#This Row],[Air Filters +/-]]+Table178910111213235783[[#This Row],[Air Filters +/-]]+Table1789101112132357834[[#This Row],[Air Filters +/-]]+Table17891011121323578345[[#This Row],[Air Filters +/-]]</f>
        <v>123</v>
      </c>
      <c r="G38" s="32">
        <f>Table17891011121323578[[#This Row],[Wipers +/-]]+Table178910111213235787[[#This Row],[Wipers +/-]]+Table178910111213235783[[#This Row],[Wipers +/-]]+Table1789101112132357834[[#This Row],[Wipers +/-]]+Table17891011121323578345[[#This Row],[Wipers +/-]]</f>
        <v>52</v>
      </c>
      <c r="H38" s="32">
        <f>Table17891011121323578[[#This Row],[Cabins +/-]]+Table178910111213235787[[#This Row],[Cabins +/-]]+Table178910111213235783[[#This Row],[Cabins +/-]]+Table1789101112132357834[[#This Row],[Cabins +/-]]+Table17891011121323578345[[#This Row],[Cabins +/-]]</f>
        <v>10</v>
      </c>
      <c r="I38" s="33">
        <f>Table17891011121323578[[#This Row],[Adjustment Variance]]+Table178910111213235787[[#This Row],[Adjustment Variance]]+Table178910111213235783[[#This Row],[Adjustment Variance]]+Table1789101112132357834[[#This Row],[Adjustment Variance]]+Table17891011121323578345[[#This Row],[Adjustment Variance]]</f>
        <v>4362.46</v>
      </c>
      <c r="J38" s="32">
        <f>Table17891011121323578[[#This Row],[On Time Counts]]+Table178910111213235787[[#This Row],[On Time Counts]]+Table178910111213235783[[#This Row],[On Time Counts]]+Table1789101112132357834[[#This Row],[On Time Counts]]+Table17891011121323578345[[#This Row],[On Time Counts]]</f>
        <v>23</v>
      </c>
      <c r="K38" s="34">
        <f>Table178910111213235783456[[#This Row],[On Time Counts]]/45</f>
        <v>0.51111111111111107</v>
      </c>
      <c r="L38" s="35">
        <v>7096.63</v>
      </c>
      <c r="M38" s="36">
        <f>Table178910111213235783456[[#This Row],[Wipers +/-]]/Table178910111213235783456[[#This Row],[Comp Sales]]</f>
        <v>7.3274216071572001E-3</v>
      </c>
      <c r="N38" s="37">
        <v>0</v>
      </c>
      <c r="O38" s="36">
        <f>Table178910111213235783456[[#This Row],[Big 4 Items]]/Table178910111213235783456[[#This Row],[Oil +/- ]]</f>
        <v>0</v>
      </c>
      <c r="P38" s="38">
        <f t="shared" si="6"/>
        <v>0.39655172413793105</v>
      </c>
      <c r="S38" s="6">
        <f>'P10 - 10-04'!S38+'P10 - 10-11'!S38+'P10 - 10-18'!S38+'P10 - 10-25'!S38+'P10 - 11-01'!S38</f>
        <v>58</v>
      </c>
    </row>
    <row r="39" spans="1:19" ht="15" hidden="1">
      <c r="A39" s="29" t="s">
        <v>24</v>
      </c>
      <c r="B39" s="30">
        <v>865</v>
      </c>
      <c r="C39" s="31">
        <f>Table17891011121323578[[#This Row],[Lubricants/Oil +/-]]+Table178910111213235787[[#This Row],[Lubricants/Oil +/-]]+Table178910111213235783[[#This Row],[Lubricants/Oil +/-]]+Table1789101112132357834[[#This Row],[Lubricants/Oil +/-]]+Table17891011121323578345[[#This Row],[Lubricants/Oil +/-]]</f>
        <v>1524</v>
      </c>
      <c r="D39" s="32">
        <f>Table17891011121323578[[#This Row],[Oil +/- ]]+Table178910111213235787[[#This Row],[Oil +/- ]]+Table178910111213235783[[#This Row],[Oil +/- ]]+Table1789101112132357834[[#This Row],[Oil +/- ]]+Table17891011121323578345[[#This Row],[Oil +/- ]]</f>
        <v>1305</v>
      </c>
      <c r="E39" s="32">
        <f>Table17891011121323578[[#This Row],[Oil Filters +/-]]+Table178910111213235787[[#This Row],[Oil Filters +/-]]+Table178910111213235783[[#This Row],[Oil Filters +/-]]+Table1789101112132357834[[#This Row],[Oil Filters +/-]]+Table17891011121323578345[[#This Row],[Oil Filters +/-]]</f>
        <v>1</v>
      </c>
      <c r="F39" s="32">
        <f>Table17891011121323578[[#This Row],[Air Filters +/-]]+Table178910111213235787[[#This Row],[Air Filters +/-]]+Table178910111213235783[[#This Row],[Air Filters +/-]]+Table1789101112132357834[[#This Row],[Air Filters +/-]]+Table17891011121323578345[[#This Row],[Air Filters +/-]]</f>
        <v>51</v>
      </c>
      <c r="G39" s="32">
        <f>Table17891011121323578[[#This Row],[Wipers +/-]]+Table178910111213235787[[#This Row],[Wipers +/-]]+Table178910111213235783[[#This Row],[Wipers +/-]]+Table1789101112132357834[[#This Row],[Wipers +/-]]+Table17891011121323578345[[#This Row],[Wipers +/-]]</f>
        <v>5</v>
      </c>
      <c r="H39" s="32">
        <f>Table17891011121323578[[#This Row],[Cabins +/-]]+Table178910111213235787[[#This Row],[Cabins +/-]]+Table178910111213235783[[#This Row],[Cabins +/-]]+Table1789101112132357834[[#This Row],[Cabins +/-]]+Table17891011121323578345[[#This Row],[Cabins +/-]]</f>
        <v>24</v>
      </c>
      <c r="I39" s="33">
        <f>Table17891011121323578[[#This Row],[Adjustment Variance]]+Table178910111213235787[[#This Row],[Adjustment Variance]]+Table178910111213235783[[#This Row],[Adjustment Variance]]+Table1789101112132357834[[#This Row],[Adjustment Variance]]+Table17891011121323578345[[#This Row],[Adjustment Variance]]</f>
        <v>4910.4500000000007</v>
      </c>
      <c r="J39" s="32">
        <f>Table17891011121323578[[#This Row],[On Time Counts]]+Table178910111213235787[[#This Row],[On Time Counts]]+Table178910111213235783[[#This Row],[On Time Counts]]+Table1789101112132357834[[#This Row],[On Time Counts]]+Table17891011121323578345[[#This Row],[On Time Counts]]</f>
        <v>46</v>
      </c>
      <c r="K39" s="34">
        <f>Table178910111213235783456[[#This Row],[On Time Counts]]/45</f>
        <v>1.0222222222222221</v>
      </c>
      <c r="L39" s="35">
        <v>6662.04</v>
      </c>
      <c r="M39" s="36">
        <f>Table178910111213235783456[[#This Row],[Wipers +/-]]/Table178910111213235783456[[#This Row],[Comp Sales]]</f>
        <v>7.5052086147786568E-4</v>
      </c>
      <c r="N39" s="37">
        <v>0</v>
      </c>
      <c r="O39" s="36">
        <f>Table178910111213235783456[[#This Row],[Big 4 Items]]/Table178910111213235783456[[#This Row],[Oil +/- ]]</f>
        <v>0</v>
      </c>
      <c r="P39" s="38">
        <f t="shared" si="6"/>
        <v>0.7931034482758621</v>
      </c>
      <c r="S39" s="6">
        <f>'P10 - 10-04'!S39+'P10 - 10-11'!S39+'P10 - 10-18'!S39+'P10 - 10-25'!S39+'P10 - 11-01'!S39</f>
        <v>58</v>
      </c>
    </row>
    <row r="40" spans="1:19" ht="15" hidden="1">
      <c r="A40" s="29" t="s">
        <v>24</v>
      </c>
      <c r="B40" s="30">
        <v>919</v>
      </c>
      <c r="C40" s="31">
        <f>Table17891011121323578[[#This Row],[Lubricants/Oil +/-]]+Table178910111213235787[[#This Row],[Lubricants/Oil +/-]]+Table178910111213235783[[#This Row],[Lubricants/Oil +/-]]+Table1789101112132357834[[#This Row],[Lubricants/Oil +/-]]+Table17891011121323578345[[#This Row],[Lubricants/Oil +/-]]</f>
        <v>-63</v>
      </c>
      <c r="D40" s="32">
        <f>Table17891011121323578[[#This Row],[Oil +/- ]]+Table178910111213235787[[#This Row],[Oil +/- ]]+Table178910111213235783[[#This Row],[Oil +/- ]]+Table1789101112132357834[[#This Row],[Oil +/- ]]+Table17891011121323578345[[#This Row],[Oil +/- ]]</f>
        <v>-93</v>
      </c>
      <c r="E40" s="32">
        <f>Table17891011121323578[[#This Row],[Oil Filters +/-]]+Table178910111213235787[[#This Row],[Oil Filters +/-]]+Table178910111213235783[[#This Row],[Oil Filters +/-]]+Table1789101112132357834[[#This Row],[Oil Filters +/-]]+Table17891011121323578345[[#This Row],[Oil Filters +/-]]</f>
        <v>17</v>
      </c>
      <c r="F40" s="32">
        <f>Table17891011121323578[[#This Row],[Air Filters +/-]]+Table178910111213235787[[#This Row],[Air Filters +/-]]+Table178910111213235783[[#This Row],[Air Filters +/-]]+Table1789101112132357834[[#This Row],[Air Filters +/-]]+Table17891011121323578345[[#This Row],[Air Filters +/-]]</f>
        <v>0</v>
      </c>
      <c r="G40" s="32">
        <f>Table17891011121323578[[#This Row],[Wipers +/-]]+Table178910111213235787[[#This Row],[Wipers +/-]]+Table178910111213235783[[#This Row],[Wipers +/-]]+Table1789101112132357834[[#This Row],[Wipers +/-]]+Table17891011121323578345[[#This Row],[Wipers +/-]]</f>
        <v>-4</v>
      </c>
      <c r="H40" s="32">
        <f>Table17891011121323578[[#This Row],[Cabins +/-]]+Table178910111213235787[[#This Row],[Cabins +/-]]+Table178910111213235783[[#This Row],[Cabins +/-]]+Table1789101112132357834[[#This Row],[Cabins +/-]]+Table17891011121323578345[[#This Row],[Cabins +/-]]</f>
        <v>5</v>
      </c>
      <c r="I40" s="33">
        <f>Table17891011121323578[[#This Row],[Adjustment Variance]]+Table178910111213235787[[#This Row],[Adjustment Variance]]+Table178910111213235783[[#This Row],[Adjustment Variance]]+Table1789101112132357834[[#This Row],[Adjustment Variance]]+Table17891011121323578345[[#This Row],[Adjustment Variance]]</f>
        <v>54.470000000000013</v>
      </c>
      <c r="J40" s="32">
        <f>Table17891011121323578[[#This Row],[On Time Counts]]+Table178910111213235787[[#This Row],[On Time Counts]]+Table178910111213235783[[#This Row],[On Time Counts]]+Table1789101112132357834[[#This Row],[On Time Counts]]+Table17891011121323578345[[#This Row],[On Time Counts]]</f>
        <v>43</v>
      </c>
      <c r="K40" s="34">
        <f>Table178910111213235783456[[#This Row],[On Time Counts]]/45</f>
        <v>0.9555555555555556</v>
      </c>
      <c r="L40" s="35">
        <v>3219.44</v>
      </c>
      <c r="M40" s="36">
        <f>Table178910111213235783456[[#This Row],[Wipers +/-]]/Table178910111213235783456[[#This Row],[Comp Sales]]</f>
        <v>-1.2424521034714111E-3</v>
      </c>
      <c r="N40" s="37">
        <v>0</v>
      </c>
      <c r="O40" s="36">
        <f>Table178910111213235783456[[#This Row],[Big 4 Items]]/Table178910111213235783456[[#This Row],[Oil +/- ]]</f>
        <v>0</v>
      </c>
      <c r="P40" s="38">
        <f t="shared" si="6"/>
        <v>0.74137931034482762</v>
      </c>
      <c r="S40" s="6">
        <f>'P10 - 10-04'!S40+'P10 - 10-11'!S40+'P10 - 10-18'!S40+'P10 - 10-25'!S40+'P10 - 11-01'!S40</f>
        <v>58</v>
      </c>
    </row>
    <row r="41" spans="1:19" ht="15" hidden="1">
      <c r="A41" s="29" t="s">
        <v>24</v>
      </c>
      <c r="B41" s="30">
        <v>954</v>
      </c>
      <c r="C41" s="31">
        <f>Table17891011121323578[[#This Row],[Lubricants/Oil +/-]]+Table178910111213235787[[#This Row],[Lubricants/Oil +/-]]+Table178910111213235783[[#This Row],[Lubricants/Oil +/-]]+Table1789101112132357834[[#This Row],[Lubricants/Oil +/-]]+Table17891011121323578345[[#This Row],[Lubricants/Oil +/-]]</f>
        <v>760</v>
      </c>
      <c r="D41" s="32">
        <f>Table17891011121323578[[#This Row],[Oil +/- ]]+Table178910111213235787[[#This Row],[Oil +/- ]]+Table178910111213235783[[#This Row],[Oil +/- ]]+Table1789101112132357834[[#This Row],[Oil +/- ]]+Table17891011121323578345[[#This Row],[Oil +/- ]]</f>
        <v>739</v>
      </c>
      <c r="E41" s="32">
        <f>Table17891011121323578[[#This Row],[Oil Filters +/-]]+Table178910111213235787[[#This Row],[Oil Filters +/-]]+Table178910111213235783[[#This Row],[Oil Filters +/-]]+Table1789101112132357834[[#This Row],[Oil Filters +/-]]+Table17891011121323578345[[#This Row],[Oil Filters +/-]]</f>
        <v>-25</v>
      </c>
      <c r="F41" s="32">
        <f>Table17891011121323578[[#This Row],[Air Filters +/-]]+Table178910111213235787[[#This Row],[Air Filters +/-]]+Table178910111213235783[[#This Row],[Air Filters +/-]]+Table1789101112132357834[[#This Row],[Air Filters +/-]]+Table17891011121323578345[[#This Row],[Air Filters +/-]]</f>
        <v>-13</v>
      </c>
      <c r="G41" s="32">
        <f>Table17891011121323578[[#This Row],[Wipers +/-]]+Table178910111213235787[[#This Row],[Wipers +/-]]+Table178910111213235783[[#This Row],[Wipers +/-]]+Table1789101112132357834[[#This Row],[Wipers +/-]]+Table17891011121323578345[[#This Row],[Wipers +/-]]</f>
        <v>-10</v>
      </c>
      <c r="H41" s="32">
        <f>Table17891011121323578[[#This Row],[Cabins +/-]]+Table178910111213235787[[#This Row],[Cabins +/-]]+Table178910111213235783[[#This Row],[Cabins +/-]]+Table1789101112132357834[[#This Row],[Cabins +/-]]+Table17891011121323578345[[#This Row],[Cabins +/-]]</f>
        <v>-8</v>
      </c>
      <c r="I41" s="33">
        <f>Table17891011121323578[[#This Row],[Adjustment Variance]]+Table178910111213235787[[#This Row],[Adjustment Variance]]+Table178910111213235783[[#This Row],[Adjustment Variance]]+Table1789101112132357834[[#This Row],[Adjustment Variance]]+Table17891011121323578345[[#This Row],[Adjustment Variance]]</f>
        <v>2426.11</v>
      </c>
      <c r="J41" s="32">
        <f>Table17891011121323578[[#This Row],[On Time Counts]]+Table178910111213235787[[#This Row],[On Time Counts]]+Table178910111213235783[[#This Row],[On Time Counts]]+Table1789101112132357834[[#This Row],[On Time Counts]]+Table17891011121323578345[[#This Row],[On Time Counts]]</f>
        <v>22</v>
      </c>
      <c r="K41" s="34">
        <f>Table178910111213235783456[[#This Row],[On Time Counts]]/45</f>
        <v>0.48888888888888887</v>
      </c>
      <c r="L41" s="35"/>
      <c r="M41" s="36" t="e">
        <f>Table178910111213235783456[[#This Row],[Wipers +/-]]/Table178910111213235783456[[#This Row],[Comp Sales]]</f>
        <v>#DIV/0!</v>
      </c>
      <c r="N41" s="39"/>
      <c r="O41" s="36">
        <f>Table178910111213235783456[[#This Row],[Big 4 Items]]/Table178910111213235783456[[#This Row],[Oil +/- ]]</f>
        <v>0</v>
      </c>
      <c r="P41" s="38">
        <f t="shared" si="6"/>
        <v>0.37931034482758619</v>
      </c>
      <c r="S41" s="6">
        <f>'P10 - 10-04'!S41+'P10 - 10-11'!S41+'P10 - 10-18'!S41+'P10 - 10-25'!S41+'P10 - 11-01'!S41</f>
        <v>58</v>
      </c>
    </row>
    <row r="42" spans="1:19" ht="15" hidden="1">
      <c r="A42" s="29" t="s">
        <v>24</v>
      </c>
      <c r="B42" s="30">
        <v>3017</v>
      </c>
      <c r="C42" s="31">
        <f>Table17891011121323578[[#This Row],[Lubricants/Oil +/-]]+Table178910111213235787[[#This Row],[Lubricants/Oil +/-]]+Table178910111213235783[[#This Row],[Lubricants/Oil +/-]]+Table1789101112132357834[[#This Row],[Lubricants/Oil +/-]]+Table17891011121323578345[[#This Row],[Lubricants/Oil +/-]]</f>
        <v>1445</v>
      </c>
      <c r="D42" s="32">
        <f>Table17891011121323578[[#This Row],[Oil +/- ]]+Table178910111213235787[[#This Row],[Oil +/- ]]+Table178910111213235783[[#This Row],[Oil +/- ]]+Table1789101112132357834[[#This Row],[Oil +/- ]]+Table17891011121323578345[[#This Row],[Oil +/- ]]</f>
        <v>1459</v>
      </c>
      <c r="E42" s="32">
        <f>Table17891011121323578[[#This Row],[Oil Filters +/-]]+Table178910111213235787[[#This Row],[Oil Filters +/-]]+Table178910111213235783[[#This Row],[Oil Filters +/-]]+Table1789101112132357834[[#This Row],[Oil Filters +/-]]+Table17891011121323578345[[#This Row],[Oil Filters +/-]]</f>
        <v>-29</v>
      </c>
      <c r="F42" s="32">
        <f>Table17891011121323578[[#This Row],[Air Filters +/-]]+Table178910111213235787[[#This Row],[Air Filters +/-]]+Table178910111213235783[[#This Row],[Air Filters +/-]]+Table1789101112132357834[[#This Row],[Air Filters +/-]]+Table17891011121323578345[[#This Row],[Air Filters +/-]]</f>
        <v>42</v>
      </c>
      <c r="G42" s="32">
        <f>Table17891011121323578[[#This Row],[Wipers +/-]]+Table178910111213235787[[#This Row],[Wipers +/-]]+Table178910111213235783[[#This Row],[Wipers +/-]]+Table1789101112132357834[[#This Row],[Wipers +/-]]+Table17891011121323578345[[#This Row],[Wipers +/-]]</f>
        <v>-3</v>
      </c>
      <c r="H42" s="32">
        <f>Table17891011121323578[[#This Row],[Cabins +/-]]+Table178910111213235787[[#This Row],[Cabins +/-]]+Table178910111213235783[[#This Row],[Cabins +/-]]+Table1789101112132357834[[#This Row],[Cabins +/-]]+Table17891011121323578345[[#This Row],[Cabins +/-]]</f>
        <v>-19</v>
      </c>
      <c r="I42" s="33">
        <f>Table17891011121323578[[#This Row],[Adjustment Variance]]+Table178910111213235787[[#This Row],[Adjustment Variance]]+Table178910111213235783[[#This Row],[Adjustment Variance]]+Table1789101112132357834[[#This Row],[Adjustment Variance]]+Table17891011121323578345[[#This Row],[Adjustment Variance]]</f>
        <v>7942.66</v>
      </c>
      <c r="J42" s="32">
        <f>Table17891011121323578[[#This Row],[On Time Counts]]+Table178910111213235787[[#This Row],[On Time Counts]]+Table178910111213235783[[#This Row],[On Time Counts]]+Table1789101112132357834[[#This Row],[On Time Counts]]+Table17891011121323578345[[#This Row],[On Time Counts]]</f>
        <v>43</v>
      </c>
      <c r="K42" s="34">
        <f>Table178910111213235783456[[#This Row],[On Time Counts]]/45</f>
        <v>0.9555555555555556</v>
      </c>
      <c r="L42" s="35">
        <v>3981.57</v>
      </c>
      <c r="M42" s="36">
        <f>Table178910111213235783456[[#This Row],[Wipers +/-]]/Table178910111213235783456[[#This Row],[Comp Sales]]</f>
        <v>-7.5347162049141413E-4</v>
      </c>
      <c r="N42" s="37">
        <v>0</v>
      </c>
      <c r="O42" s="36">
        <f>Table178910111213235783456[[#This Row],[Big 4 Items]]/Table178910111213235783456[[#This Row],[Oil +/- ]]</f>
        <v>0</v>
      </c>
      <c r="P42" s="38">
        <f t="shared" si="6"/>
        <v>0.74137931034482762</v>
      </c>
      <c r="S42" s="6">
        <f>'P10 - 10-04'!S42+'P10 - 10-11'!S42+'P10 - 10-18'!S42+'P10 - 10-25'!S42+'P10 - 11-01'!S42</f>
        <v>58</v>
      </c>
    </row>
    <row r="43" spans="1:19" ht="15" hidden="1">
      <c r="A43" s="29" t="s">
        <v>25</v>
      </c>
      <c r="B43" s="30">
        <v>29</v>
      </c>
      <c r="C43" s="31">
        <f>Table17891011121323578[[#This Row],[Lubricants/Oil +/-]]+Table178910111213235787[[#This Row],[Lubricants/Oil +/-]]+Table178910111213235783[[#This Row],[Lubricants/Oil +/-]]+Table1789101112132357834[[#This Row],[Lubricants/Oil +/-]]+Table17891011121323578345[[#This Row],[Lubricants/Oil +/-]]</f>
        <v>2854</v>
      </c>
      <c r="D43" s="32">
        <f>Table17891011121323578[[#This Row],[Oil +/- ]]+Table178910111213235787[[#This Row],[Oil +/- ]]+Table178910111213235783[[#This Row],[Oil +/- ]]+Table1789101112132357834[[#This Row],[Oil +/- ]]+Table17891011121323578345[[#This Row],[Oil +/- ]]</f>
        <v>500</v>
      </c>
      <c r="E43" s="32">
        <f>Table17891011121323578[[#This Row],[Oil Filters +/-]]+Table178910111213235787[[#This Row],[Oil Filters +/-]]+Table178910111213235783[[#This Row],[Oil Filters +/-]]+Table1789101112132357834[[#This Row],[Oil Filters +/-]]+Table17891011121323578345[[#This Row],[Oil Filters +/-]]</f>
        <v>0</v>
      </c>
      <c r="F43" s="32">
        <f>Table17891011121323578[[#This Row],[Air Filters +/-]]+Table178910111213235787[[#This Row],[Air Filters +/-]]+Table178910111213235783[[#This Row],[Air Filters +/-]]+Table1789101112132357834[[#This Row],[Air Filters +/-]]+Table17891011121323578345[[#This Row],[Air Filters +/-]]</f>
        <v>11</v>
      </c>
      <c r="G43" s="32">
        <f>Table17891011121323578[[#This Row],[Wipers +/-]]+Table178910111213235787[[#This Row],[Wipers +/-]]+Table178910111213235783[[#This Row],[Wipers +/-]]+Table1789101112132357834[[#This Row],[Wipers +/-]]+Table17891011121323578345[[#This Row],[Wipers +/-]]</f>
        <v>-101</v>
      </c>
      <c r="H43" s="32">
        <f>Table17891011121323578[[#This Row],[Cabins +/-]]+Table178910111213235787[[#This Row],[Cabins +/-]]+Table178910111213235783[[#This Row],[Cabins +/-]]+Table1789101112132357834[[#This Row],[Cabins +/-]]+Table17891011121323578345[[#This Row],[Cabins +/-]]</f>
        <v>-11</v>
      </c>
      <c r="I43" s="33">
        <f>Table17891011121323578[[#This Row],[Adjustment Variance]]+Table178910111213235787[[#This Row],[Adjustment Variance]]+Table178910111213235783[[#This Row],[Adjustment Variance]]+Table1789101112132357834[[#This Row],[Adjustment Variance]]+Table17891011121323578345[[#This Row],[Adjustment Variance]]</f>
        <v>2040.25</v>
      </c>
      <c r="J43" s="32">
        <f>Table17891011121323578[[#This Row],[On Time Counts]]+Table178910111213235787[[#This Row],[On Time Counts]]+Table178910111213235783[[#This Row],[On Time Counts]]+Table1789101112132357834[[#This Row],[On Time Counts]]+Table17891011121323578345[[#This Row],[On Time Counts]]</f>
        <v>36</v>
      </c>
      <c r="K43" s="34">
        <f>Table178910111213235783456[[#This Row],[On Time Counts]]/45</f>
        <v>0.8</v>
      </c>
      <c r="L43" s="35">
        <v>4219.46</v>
      </c>
      <c r="M43" s="36">
        <f>Table178910111213235783456[[#This Row],[Wipers +/-]]/Table178910111213235783456[[#This Row],[Comp Sales]]</f>
        <v>-2.3936712280718385E-2</v>
      </c>
      <c r="N43" s="37">
        <v>0</v>
      </c>
      <c r="O43" s="36">
        <f>Table178910111213235783456[[#This Row],[Big 4 Items]]/Table178910111213235783456[[#This Row],[Oil +/- ]]</f>
        <v>0</v>
      </c>
      <c r="P43" s="38">
        <f t="shared" si="6"/>
        <v>0.62068965517241381</v>
      </c>
      <c r="S43" s="6">
        <f>'P10 - 10-04'!S43+'P10 - 10-11'!S43+'P10 - 10-18'!S43+'P10 - 10-25'!S43+'P10 - 11-01'!S43</f>
        <v>58</v>
      </c>
    </row>
    <row r="44" spans="1:19" ht="15" hidden="1">
      <c r="A44" s="29" t="s">
        <v>25</v>
      </c>
      <c r="B44" s="30">
        <v>40</v>
      </c>
      <c r="C44" s="31">
        <f>Table17891011121323578[[#This Row],[Lubricants/Oil +/-]]+Table178910111213235787[[#This Row],[Lubricants/Oil +/-]]+Table178910111213235783[[#This Row],[Lubricants/Oil +/-]]+Table1789101112132357834[[#This Row],[Lubricants/Oil +/-]]+Table17891011121323578345[[#This Row],[Lubricants/Oil +/-]]</f>
        <v>227</v>
      </c>
      <c r="D44" s="32">
        <f>Table17891011121323578[[#This Row],[Oil +/- ]]+Table178910111213235787[[#This Row],[Oil +/- ]]+Table178910111213235783[[#This Row],[Oil +/- ]]+Table1789101112132357834[[#This Row],[Oil +/- ]]+Table17891011121323578345[[#This Row],[Oil +/- ]]</f>
        <v>203</v>
      </c>
      <c r="E44" s="32">
        <f>Table17891011121323578[[#This Row],[Oil Filters +/-]]+Table178910111213235787[[#This Row],[Oil Filters +/-]]+Table178910111213235783[[#This Row],[Oil Filters +/-]]+Table1789101112132357834[[#This Row],[Oil Filters +/-]]+Table17891011121323578345[[#This Row],[Oil Filters +/-]]</f>
        <v>26</v>
      </c>
      <c r="F44" s="32">
        <f>Table17891011121323578[[#This Row],[Air Filters +/-]]+Table178910111213235787[[#This Row],[Air Filters +/-]]+Table178910111213235783[[#This Row],[Air Filters +/-]]+Table1789101112132357834[[#This Row],[Air Filters +/-]]+Table17891011121323578345[[#This Row],[Air Filters +/-]]</f>
        <v>-6</v>
      </c>
      <c r="G44" s="32">
        <f>Table17891011121323578[[#This Row],[Wipers +/-]]+Table178910111213235787[[#This Row],[Wipers +/-]]+Table178910111213235783[[#This Row],[Wipers +/-]]+Table1789101112132357834[[#This Row],[Wipers +/-]]+Table17891011121323578345[[#This Row],[Wipers +/-]]</f>
        <v>-81</v>
      </c>
      <c r="H44" s="32">
        <f>Table17891011121323578[[#This Row],[Cabins +/-]]+Table178910111213235787[[#This Row],[Cabins +/-]]+Table178910111213235783[[#This Row],[Cabins +/-]]+Table1789101112132357834[[#This Row],[Cabins +/-]]+Table17891011121323578345[[#This Row],[Cabins +/-]]</f>
        <v>16</v>
      </c>
      <c r="I44" s="33">
        <f>Table17891011121323578[[#This Row],[Adjustment Variance]]+Table178910111213235787[[#This Row],[Adjustment Variance]]+Table178910111213235783[[#This Row],[Adjustment Variance]]+Table1789101112132357834[[#This Row],[Adjustment Variance]]+Table17891011121323578345[[#This Row],[Adjustment Variance]]</f>
        <v>485.22</v>
      </c>
      <c r="J44" s="32">
        <f>Table17891011121323578[[#This Row],[On Time Counts]]+Table178910111213235787[[#This Row],[On Time Counts]]+Table178910111213235783[[#This Row],[On Time Counts]]+Table1789101112132357834[[#This Row],[On Time Counts]]+Table17891011121323578345[[#This Row],[On Time Counts]]</f>
        <v>40</v>
      </c>
      <c r="K44" s="34">
        <f>Table178910111213235783456[[#This Row],[On Time Counts]]/45</f>
        <v>0.88888888888888884</v>
      </c>
      <c r="L44" s="35">
        <v>6761.54</v>
      </c>
      <c r="M44" s="36">
        <f>Table178910111213235783456[[#This Row],[Wipers +/-]]/Table178910111213235783456[[#This Row],[Comp Sales]]</f>
        <v>-1.1979519458584879E-2</v>
      </c>
      <c r="N44" s="37">
        <v>0</v>
      </c>
      <c r="O44" s="36">
        <f>Table178910111213235783456[[#This Row],[Big 4 Items]]/Table178910111213235783456[[#This Row],[Oil +/- ]]</f>
        <v>0</v>
      </c>
      <c r="P44" s="38">
        <f t="shared" si="6"/>
        <v>0.68965517241379315</v>
      </c>
      <c r="S44" s="6">
        <f>'P10 - 10-04'!S44+'P10 - 10-11'!S44+'P10 - 10-18'!S44+'P10 - 10-25'!S44+'P10 - 11-01'!S44</f>
        <v>58</v>
      </c>
    </row>
    <row r="45" spans="1:19" ht="15" hidden="1">
      <c r="A45" s="29" t="s">
        <v>25</v>
      </c>
      <c r="B45" s="30">
        <v>280</v>
      </c>
      <c r="C45" s="31">
        <f>Table17891011121323578[[#This Row],[Lubricants/Oil +/-]]+Table178910111213235787[[#This Row],[Lubricants/Oil +/-]]+Table178910111213235783[[#This Row],[Lubricants/Oil +/-]]+Table1789101112132357834[[#This Row],[Lubricants/Oil +/-]]+Table17891011121323578345[[#This Row],[Lubricants/Oil +/-]]</f>
        <v>1015</v>
      </c>
      <c r="D45" s="32">
        <f>Table17891011121323578[[#This Row],[Oil +/- ]]+Table178910111213235787[[#This Row],[Oil +/- ]]+Table178910111213235783[[#This Row],[Oil +/- ]]+Table1789101112132357834[[#This Row],[Oil +/- ]]+Table17891011121323578345[[#This Row],[Oil +/- ]]</f>
        <v>470</v>
      </c>
      <c r="E45" s="32">
        <f>Table17891011121323578[[#This Row],[Oil Filters +/-]]+Table178910111213235787[[#This Row],[Oil Filters +/-]]+Table178910111213235783[[#This Row],[Oil Filters +/-]]+Table1789101112132357834[[#This Row],[Oil Filters +/-]]+Table17891011121323578345[[#This Row],[Oil Filters +/-]]</f>
        <v>80</v>
      </c>
      <c r="F45" s="32">
        <f>Table17891011121323578[[#This Row],[Air Filters +/-]]+Table178910111213235787[[#This Row],[Air Filters +/-]]+Table178910111213235783[[#This Row],[Air Filters +/-]]+Table1789101112132357834[[#This Row],[Air Filters +/-]]+Table17891011121323578345[[#This Row],[Air Filters +/-]]</f>
        <v>5</v>
      </c>
      <c r="G45" s="32">
        <f>Table17891011121323578[[#This Row],[Wipers +/-]]+Table178910111213235787[[#This Row],[Wipers +/-]]+Table178910111213235783[[#This Row],[Wipers +/-]]+Table1789101112132357834[[#This Row],[Wipers +/-]]+Table17891011121323578345[[#This Row],[Wipers +/-]]</f>
        <v>4</v>
      </c>
      <c r="H45" s="32">
        <f>Table17891011121323578[[#This Row],[Cabins +/-]]+Table178910111213235787[[#This Row],[Cabins +/-]]+Table178910111213235783[[#This Row],[Cabins +/-]]+Table1789101112132357834[[#This Row],[Cabins +/-]]+Table17891011121323578345[[#This Row],[Cabins +/-]]</f>
        <v>-3</v>
      </c>
      <c r="I45" s="33">
        <f>Table17891011121323578[[#This Row],[Adjustment Variance]]+Table178910111213235787[[#This Row],[Adjustment Variance]]+Table178910111213235783[[#This Row],[Adjustment Variance]]+Table1789101112132357834[[#This Row],[Adjustment Variance]]+Table17891011121323578345[[#This Row],[Adjustment Variance]]</f>
        <v>2856.1600000000003</v>
      </c>
      <c r="J45" s="32">
        <f>Table17891011121323578[[#This Row],[On Time Counts]]+Table178910111213235787[[#This Row],[On Time Counts]]+Table178910111213235783[[#This Row],[On Time Counts]]+Table1789101112132357834[[#This Row],[On Time Counts]]+Table17891011121323578345[[#This Row],[On Time Counts]]</f>
        <v>54</v>
      </c>
      <c r="K45" s="34">
        <f>Table178910111213235783456[[#This Row],[On Time Counts]]/45</f>
        <v>1.2</v>
      </c>
      <c r="L45" s="35">
        <v>4100.43</v>
      </c>
      <c r="M45" s="36">
        <f>Table178910111213235783456[[#This Row],[Wipers +/-]]/Table178910111213235783456[[#This Row],[Comp Sales]]</f>
        <v>9.7550744677997177E-4</v>
      </c>
      <c r="N45" s="37">
        <v>0</v>
      </c>
      <c r="O45" s="36">
        <f>Table178910111213235783456[[#This Row],[Big 4 Items]]/Table178910111213235783456[[#This Row],[Oil +/- ]]</f>
        <v>0</v>
      </c>
      <c r="P45" s="38">
        <f t="shared" si="6"/>
        <v>0.93103448275862066</v>
      </c>
      <c r="S45" s="6">
        <f>'P10 - 10-04'!S45+'P10 - 10-11'!S45+'P10 - 10-18'!S45+'P10 - 10-25'!S45+'P10 - 11-01'!S45</f>
        <v>58</v>
      </c>
    </row>
    <row r="46" spans="1:19" ht="15" hidden="1">
      <c r="A46" s="29" t="s">
        <v>25</v>
      </c>
      <c r="B46" s="30">
        <v>599</v>
      </c>
      <c r="C46" s="31">
        <f>Table17891011121323578[[#This Row],[Lubricants/Oil +/-]]+Table178910111213235787[[#This Row],[Lubricants/Oil +/-]]+Table178910111213235783[[#This Row],[Lubricants/Oil +/-]]+Table1789101112132357834[[#This Row],[Lubricants/Oil +/-]]+Table17891011121323578345[[#This Row],[Lubricants/Oil +/-]]</f>
        <v>260</v>
      </c>
      <c r="D46" s="32">
        <f>Table17891011121323578[[#This Row],[Oil +/- ]]+Table178910111213235787[[#This Row],[Oil +/- ]]+Table178910111213235783[[#This Row],[Oil +/- ]]+Table1789101112132357834[[#This Row],[Oil +/- ]]+Table17891011121323578345[[#This Row],[Oil +/- ]]</f>
        <v>228</v>
      </c>
      <c r="E46" s="32">
        <f>Table17891011121323578[[#This Row],[Oil Filters +/-]]+Table178910111213235787[[#This Row],[Oil Filters +/-]]+Table178910111213235783[[#This Row],[Oil Filters +/-]]+Table1789101112132357834[[#This Row],[Oil Filters +/-]]+Table17891011121323578345[[#This Row],[Oil Filters +/-]]</f>
        <v>3</v>
      </c>
      <c r="F46" s="32">
        <f>Table17891011121323578[[#This Row],[Air Filters +/-]]+Table178910111213235787[[#This Row],[Air Filters +/-]]+Table178910111213235783[[#This Row],[Air Filters +/-]]+Table1789101112132357834[[#This Row],[Air Filters +/-]]+Table17891011121323578345[[#This Row],[Air Filters +/-]]</f>
        <v>-3</v>
      </c>
      <c r="G46" s="32">
        <f>Table17891011121323578[[#This Row],[Wipers +/-]]+Table178910111213235787[[#This Row],[Wipers +/-]]+Table178910111213235783[[#This Row],[Wipers +/-]]+Table1789101112132357834[[#This Row],[Wipers +/-]]+Table17891011121323578345[[#This Row],[Wipers +/-]]</f>
        <v>13</v>
      </c>
      <c r="H46" s="32">
        <f>Table17891011121323578[[#This Row],[Cabins +/-]]+Table178910111213235787[[#This Row],[Cabins +/-]]+Table178910111213235783[[#This Row],[Cabins +/-]]+Table1789101112132357834[[#This Row],[Cabins +/-]]+Table17891011121323578345[[#This Row],[Cabins +/-]]</f>
        <v>6</v>
      </c>
      <c r="I46" s="33">
        <f>Table17891011121323578[[#This Row],[Adjustment Variance]]+Table178910111213235787[[#This Row],[Adjustment Variance]]+Table178910111213235783[[#This Row],[Adjustment Variance]]+Table1789101112132357834[[#This Row],[Adjustment Variance]]+Table17891011121323578345[[#This Row],[Adjustment Variance]]</f>
        <v>1418.6499999999999</v>
      </c>
      <c r="J46" s="32">
        <f>Table17891011121323578[[#This Row],[On Time Counts]]+Table178910111213235787[[#This Row],[On Time Counts]]+Table178910111213235783[[#This Row],[On Time Counts]]+Table1789101112132357834[[#This Row],[On Time Counts]]+Table17891011121323578345[[#This Row],[On Time Counts]]</f>
        <v>52</v>
      </c>
      <c r="K46" s="34">
        <f>Table178910111213235783456[[#This Row],[On Time Counts]]/45</f>
        <v>1.1555555555555554</v>
      </c>
      <c r="L46" s="35">
        <v>2513.65</v>
      </c>
      <c r="M46" s="36">
        <f>Table178910111213235783456[[#This Row],[Wipers +/-]]/Table178910111213235783456[[#This Row],[Comp Sales]]</f>
        <v>5.1717621785053606E-3</v>
      </c>
      <c r="N46" s="37">
        <v>0</v>
      </c>
      <c r="O46" s="36">
        <f>Table178910111213235783456[[#This Row],[Big 4 Items]]/Table178910111213235783456[[#This Row],[Oil +/- ]]</f>
        <v>0</v>
      </c>
      <c r="P46" s="38">
        <f t="shared" si="6"/>
        <v>0.89655172413793105</v>
      </c>
      <c r="S46" s="6">
        <f>'P10 - 10-04'!S46+'P10 - 10-11'!S46+'P10 - 10-18'!S46+'P10 - 10-25'!S46+'P10 - 11-01'!S46</f>
        <v>58</v>
      </c>
    </row>
    <row r="47" spans="1:19" ht="15" hidden="1">
      <c r="A47" s="29" t="s">
        <v>25</v>
      </c>
      <c r="B47" s="30">
        <v>720</v>
      </c>
      <c r="C47" s="31">
        <f>Table17891011121323578[[#This Row],[Lubricants/Oil +/-]]+Table178910111213235787[[#This Row],[Lubricants/Oil +/-]]+Table178910111213235783[[#This Row],[Lubricants/Oil +/-]]+Table1789101112132357834[[#This Row],[Lubricants/Oil +/-]]+Table17891011121323578345[[#This Row],[Lubricants/Oil +/-]]</f>
        <v>984</v>
      </c>
      <c r="D47" s="32">
        <f>Table17891011121323578[[#This Row],[Oil +/- ]]+Table178910111213235787[[#This Row],[Oil +/- ]]+Table178910111213235783[[#This Row],[Oil +/- ]]+Table1789101112132357834[[#This Row],[Oil +/- ]]+Table17891011121323578345[[#This Row],[Oil +/- ]]</f>
        <v>468</v>
      </c>
      <c r="E47" s="32">
        <f>Table17891011121323578[[#This Row],[Oil Filters +/-]]+Table178910111213235787[[#This Row],[Oil Filters +/-]]+Table178910111213235783[[#This Row],[Oil Filters +/-]]+Table1789101112132357834[[#This Row],[Oil Filters +/-]]+Table17891011121323578345[[#This Row],[Oil Filters +/-]]</f>
        <v>82</v>
      </c>
      <c r="F47" s="32">
        <f>Table17891011121323578[[#This Row],[Air Filters +/-]]+Table178910111213235787[[#This Row],[Air Filters +/-]]+Table178910111213235783[[#This Row],[Air Filters +/-]]+Table1789101112132357834[[#This Row],[Air Filters +/-]]+Table17891011121323578345[[#This Row],[Air Filters +/-]]</f>
        <v>-3</v>
      </c>
      <c r="G47" s="32">
        <f>Table17891011121323578[[#This Row],[Wipers +/-]]+Table178910111213235787[[#This Row],[Wipers +/-]]+Table178910111213235783[[#This Row],[Wipers +/-]]+Table1789101112132357834[[#This Row],[Wipers +/-]]+Table17891011121323578345[[#This Row],[Wipers +/-]]</f>
        <v>12</v>
      </c>
      <c r="H47" s="32">
        <f>Table17891011121323578[[#This Row],[Cabins +/-]]+Table178910111213235787[[#This Row],[Cabins +/-]]+Table178910111213235783[[#This Row],[Cabins +/-]]+Table1789101112132357834[[#This Row],[Cabins +/-]]+Table17891011121323578345[[#This Row],[Cabins +/-]]</f>
        <v>8</v>
      </c>
      <c r="I47" s="33">
        <f>Table17891011121323578[[#This Row],[Adjustment Variance]]+Table178910111213235787[[#This Row],[Adjustment Variance]]+Table178910111213235783[[#This Row],[Adjustment Variance]]+Table1789101112132357834[[#This Row],[Adjustment Variance]]+Table17891011121323578345[[#This Row],[Adjustment Variance]]</f>
        <v>2877.1</v>
      </c>
      <c r="J47" s="32">
        <f>Table17891011121323578[[#This Row],[On Time Counts]]+Table178910111213235787[[#This Row],[On Time Counts]]+Table178910111213235783[[#This Row],[On Time Counts]]+Table1789101112132357834[[#This Row],[On Time Counts]]+Table17891011121323578345[[#This Row],[On Time Counts]]</f>
        <v>22</v>
      </c>
      <c r="K47" s="34">
        <f>Table178910111213235783456[[#This Row],[On Time Counts]]/45</f>
        <v>0.48888888888888887</v>
      </c>
      <c r="L47" s="35">
        <v>2026.59</v>
      </c>
      <c r="M47" s="36">
        <f>Table178910111213235783456[[#This Row],[Wipers +/-]]/Table178910111213235783456[[#This Row],[Comp Sales]]</f>
        <v>5.9212766272408335E-3</v>
      </c>
      <c r="N47" s="37">
        <v>0</v>
      </c>
      <c r="O47" s="36">
        <f>Table178910111213235783456[[#This Row],[Big 4 Items]]/Table178910111213235783456[[#This Row],[Oil +/- ]]</f>
        <v>0</v>
      </c>
      <c r="P47" s="38">
        <f t="shared" si="6"/>
        <v>0.37931034482758619</v>
      </c>
      <c r="S47" s="6">
        <f>'P10 - 10-04'!S47+'P10 - 10-11'!S47+'P10 - 10-18'!S47+'P10 - 10-25'!S47+'P10 - 11-01'!S47</f>
        <v>58</v>
      </c>
    </row>
    <row r="48" spans="1:19" ht="15" hidden="1">
      <c r="A48" s="29" t="s">
        <v>25</v>
      </c>
      <c r="B48" s="30">
        <v>728</v>
      </c>
      <c r="C48" s="31">
        <f>Table17891011121323578[[#This Row],[Lubricants/Oil +/-]]+Table178910111213235787[[#This Row],[Lubricants/Oil +/-]]+Table178910111213235783[[#This Row],[Lubricants/Oil +/-]]+Table1789101112132357834[[#This Row],[Lubricants/Oil +/-]]+Table17891011121323578345[[#This Row],[Lubricants/Oil +/-]]</f>
        <v>561</v>
      </c>
      <c r="D48" s="32">
        <f>Table17891011121323578[[#This Row],[Oil +/- ]]+Table178910111213235787[[#This Row],[Oil +/- ]]+Table178910111213235783[[#This Row],[Oil +/- ]]+Table1789101112132357834[[#This Row],[Oil +/- ]]+Table17891011121323578345[[#This Row],[Oil +/- ]]</f>
        <v>546</v>
      </c>
      <c r="E48" s="32">
        <f>Table17891011121323578[[#This Row],[Oil Filters +/-]]+Table178910111213235787[[#This Row],[Oil Filters +/-]]+Table178910111213235783[[#This Row],[Oil Filters +/-]]+Table1789101112132357834[[#This Row],[Oil Filters +/-]]+Table17891011121323578345[[#This Row],[Oil Filters +/-]]</f>
        <v>-53</v>
      </c>
      <c r="F48" s="32">
        <f>Table17891011121323578[[#This Row],[Air Filters +/-]]+Table178910111213235787[[#This Row],[Air Filters +/-]]+Table178910111213235783[[#This Row],[Air Filters +/-]]+Table1789101112132357834[[#This Row],[Air Filters +/-]]+Table17891011121323578345[[#This Row],[Air Filters +/-]]</f>
        <v>-3</v>
      </c>
      <c r="G48" s="32">
        <f>Table17891011121323578[[#This Row],[Wipers +/-]]+Table178910111213235787[[#This Row],[Wipers +/-]]+Table178910111213235783[[#This Row],[Wipers +/-]]+Table1789101112132357834[[#This Row],[Wipers +/-]]+Table17891011121323578345[[#This Row],[Wipers +/-]]</f>
        <v>2</v>
      </c>
      <c r="H48" s="32">
        <f>Table17891011121323578[[#This Row],[Cabins +/-]]+Table178910111213235787[[#This Row],[Cabins +/-]]+Table178910111213235783[[#This Row],[Cabins +/-]]+Table1789101112132357834[[#This Row],[Cabins +/-]]+Table17891011121323578345[[#This Row],[Cabins +/-]]</f>
        <v>-5</v>
      </c>
      <c r="I48" s="33">
        <f>Table17891011121323578[[#This Row],[Adjustment Variance]]+Table178910111213235787[[#This Row],[Adjustment Variance]]+Table178910111213235783[[#This Row],[Adjustment Variance]]+Table1789101112132357834[[#This Row],[Adjustment Variance]]+Table17891011121323578345[[#This Row],[Adjustment Variance]]</f>
        <v>2024.81</v>
      </c>
      <c r="J48" s="32">
        <f>Table17891011121323578[[#This Row],[On Time Counts]]+Table178910111213235787[[#This Row],[On Time Counts]]+Table178910111213235783[[#This Row],[On Time Counts]]+Table1789101112132357834[[#This Row],[On Time Counts]]+Table17891011121323578345[[#This Row],[On Time Counts]]</f>
        <v>45</v>
      </c>
      <c r="K48" s="34">
        <f>Table178910111213235783456[[#This Row],[On Time Counts]]/45</f>
        <v>1</v>
      </c>
      <c r="L48" s="35">
        <v>0</v>
      </c>
      <c r="M48" s="36" t="e">
        <f>Table178910111213235783456[[#This Row],[Wipers +/-]]/Table178910111213235783456[[#This Row],[Comp Sales]]</f>
        <v>#DIV/0!</v>
      </c>
      <c r="N48" s="37">
        <v>0</v>
      </c>
      <c r="O48" s="36">
        <f>Table178910111213235783456[[#This Row],[Big 4 Items]]/Table178910111213235783456[[#This Row],[Oil +/- ]]</f>
        <v>0</v>
      </c>
      <c r="P48" s="38">
        <f t="shared" si="6"/>
        <v>0.77586206896551724</v>
      </c>
      <c r="S48" s="6">
        <f>'P10 - 10-04'!S48+'P10 - 10-11'!S48+'P10 - 10-18'!S48+'P10 - 10-25'!S48+'P10 - 11-01'!S48</f>
        <v>58</v>
      </c>
    </row>
    <row r="49" spans="1:19" ht="15" hidden="1">
      <c r="A49" s="29" t="s">
        <v>25</v>
      </c>
      <c r="B49" s="30">
        <v>830</v>
      </c>
      <c r="C49" s="31">
        <f>Table17891011121323578[[#This Row],[Lubricants/Oil +/-]]+Table178910111213235787[[#This Row],[Lubricants/Oil +/-]]+Table178910111213235783[[#This Row],[Lubricants/Oil +/-]]+Table1789101112132357834[[#This Row],[Lubricants/Oil +/-]]+Table17891011121323578345[[#This Row],[Lubricants/Oil +/-]]</f>
        <v>262</v>
      </c>
      <c r="D49" s="32">
        <f>Table17891011121323578[[#This Row],[Oil +/- ]]+Table178910111213235787[[#This Row],[Oil +/- ]]+Table178910111213235783[[#This Row],[Oil +/- ]]+Table1789101112132357834[[#This Row],[Oil +/- ]]+Table17891011121323578345[[#This Row],[Oil +/- ]]</f>
        <v>171</v>
      </c>
      <c r="E49" s="32">
        <f>Table17891011121323578[[#This Row],[Oil Filters +/-]]+Table178910111213235787[[#This Row],[Oil Filters +/-]]+Table178910111213235783[[#This Row],[Oil Filters +/-]]+Table1789101112132357834[[#This Row],[Oil Filters +/-]]+Table17891011121323578345[[#This Row],[Oil Filters +/-]]</f>
        <v>66</v>
      </c>
      <c r="F49" s="32">
        <f>Table17891011121323578[[#This Row],[Air Filters +/-]]+Table178910111213235787[[#This Row],[Air Filters +/-]]+Table178910111213235783[[#This Row],[Air Filters +/-]]+Table1789101112132357834[[#This Row],[Air Filters +/-]]+Table17891011121323578345[[#This Row],[Air Filters +/-]]</f>
        <v>-20</v>
      </c>
      <c r="G49" s="32">
        <f>Table17891011121323578[[#This Row],[Wipers +/-]]+Table178910111213235787[[#This Row],[Wipers +/-]]+Table178910111213235783[[#This Row],[Wipers +/-]]+Table1789101112132357834[[#This Row],[Wipers +/-]]+Table17891011121323578345[[#This Row],[Wipers +/-]]</f>
        <v>2</v>
      </c>
      <c r="H49" s="32">
        <f>Table17891011121323578[[#This Row],[Cabins +/-]]+Table178910111213235787[[#This Row],[Cabins +/-]]+Table178910111213235783[[#This Row],[Cabins +/-]]+Table1789101112132357834[[#This Row],[Cabins +/-]]+Table17891011121323578345[[#This Row],[Cabins +/-]]</f>
        <v>-15</v>
      </c>
      <c r="I49" s="33">
        <f>Table17891011121323578[[#This Row],[Adjustment Variance]]+Table178910111213235787[[#This Row],[Adjustment Variance]]+Table178910111213235783[[#This Row],[Adjustment Variance]]+Table1789101112132357834[[#This Row],[Adjustment Variance]]+Table17891011121323578345[[#This Row],[Adjustment Variance]]</f>
        <v>2002.4500000000003</v>
      </c>
      <c r="J49" s="32">
        <f>Table17891011121323578[[#This Row],[On Time Counts]]+Table178910111213235787[[#This Row],[On Time Counts]]+Table178910111213235783[[#This Row],[On Time Counts]]+Table1789101112132357834[[#This Row],[On Time Counts]]+Table17891011121323578345[[#This Row],[On Time Counts]]</f>
        <v>43</v>
      </c>
      <c r="K49" s="34">
        <f>Table178910111213235783456[[#This Row],[On Time Counts]]/45</f>
        <v>0.9555555555555556</v>
      </c>
      <c r="L49" s="35">
        <v>3487.35</v>
      </c>
      <c r="M49" s="36">
        <f>Table178910111213235783456[[#This Row],[Wipers +/-]]/Table178910111213235783456[[#This Row],[Comp Sales]]</f>
        <v>5.7350136923451907E-4</v>
      </c>
      <c r="N49" s="37">
        <v>0</v>
      </c>
      <c r="O49" s="36">
        <f>Table178910111213235783456[[#This Row],[Big 4 Items]]/Table178910111213235783456[[#This Row],[Oil +/- ]]</f>
        <v>0</v>
      </c>
      <c r="P49" s="38">
        <f t="shared" si="6"/>
        <v>0.74137931034482762</v>
      </c>
      <c r="S49" s="6">
        <f>'P10 - 10-04'!S49+'P10 - 10-11'!S49+'P10 - 10-18'!S49+'P10 - 10-25'!S49+'P10 - 11-01'!S49</f>
        <v>58</v>
      </c>
    </row>
    <row r="50" spans="1:19" ht="15" hidden="1">
      <c r="A50" s="29" t="s">
        <v>25</v>
      </c>
      <c r="B50" s="30">
        <v>975</v>
      </c>
      <c r="C50" s="31">
        <f>Table17891011121323578[[#This Row],[Lubricants/Oil +/-]]+Table178910111213235787[[#This Row],[Lubricants/Oil +/-]]+Table178910111213235783[[#This Row],[Lubricants/Oil +/-]]+Table1789101112132357834[[#This Row],[Lubricants/Oil +/-]]+Table17891011121323578345[[#This Row],[Lubricants/Oil +/-]]</f>
        <v>463</v>
      </c>
      <c r="D50" s="32">
        <f>Table17891011121323578[[#This Row],[Oil +/- ]]+Table178910111213235787[[#This Row],[Oil +/- ]]+Table178910111213235783[[#This Row],[Oil +/- ]]+Table1789101112132357834[[#This Row],[Oil +/- ]]+Table17891011121323578345[[#This Row],[Oil +/- ]]</f>
        <v>-214</v>
      </c>
      <c r="E50" s="32">
        <f>Table17891011121323578[[#This Row],[Oil Filters +/-]]+Table178910111213235787[[#This Row],[Oil Filters +/-]]+Table178910111213235783[[#This Row],[Oil Filters +/-]]+Table1789101112132357834[[#This Row],[Oil Filters +/-]]+Table17891011121323578345[[#This Row],[Oil Filters +/-]]</f>
        <v>-35</v>
      </c>
      <c r="F50" s="32">
        <f>Table17891011121323578[[#This Row],[Air Filters +/-]]+Table178910111213235787[[#This Row],[Air Filters +/-]]+Table178910111213235783[[#This Row],[Air Filters +/-]]+Table1789101112132357834[[#This Row],[Air Filters +/-]]+Table17891011121323578345[[#This Row],[Air Filters +/-]]</f>
        <v>16</v>
      </c>
      <c r="G50" s="32">
        <f>Table17891011121323578[[#This Row],[Wipers +/-]]+Table178910111213235787[[#This Row],[Wipers +/-]]+Table178910111213235783[[#This Row],[Wipers +/-]]+Table1789101112132357834[[#This Row],[Wipers +/-]]+Table17891011121323578345[[#This Row],[Wipers +/-]]</f>
        <v>5</v>
      </c>
      <c r="H50" s="32">
        <f>Table17891011121323578[[#This Row],[Cabins +/-]]+Table178910111213235787[[#This Row],[Cabins +/-]]+Table178910111213235783[[#This Row],[Cabins +/-]]+Table1789101112132357834[[#This Row],[Cabins +/-]]+Table17891011121323578345[[#This Row],[Cabins +/-]]</f>
        <v>-3</v>
      </c>
      <c r="I50" s="33">
        <f>Table17891011121323578[[#This Row],[Adjustment Variance]]+Table178910111213235787[[#This Row],[Adjustment Variance]]+Table178910111213235783[[#This Row],[Adjustment Variance]]+Table1789101112132357834[[#This Row],[Adjustment Variance]]+Table17891011121323578345[[#This Row],[Adjustment Variance]]</f>
        <v>-60.05000000000004</v>
      </c>
      <c r="J50" s="32">
        <f>Table17891011121323578[[#This Row],[On Time Counts]]+Table178910111213235787[[#This Row],[On Time Counts]]+Table178910111213235783[[#This Row],[On Time Counts]]+Table1789101112132357834[[#This Row],[On Time Counts]]+Table17891011121323578345[[#This Row],[On Time Counts]]</f>
        <v>43</v>
      </c>
      <c r="K50" s="34">
        <f>Table178910111213235783456[[#This Row],[On Time Counts]]/45</f>
        <v>0.9555555555555556</v>
      </c>
      <c r="L50" s="35">
        <v>3488.35</v>
      </c>
      <c r="M50" s="36">
        <f>Table178910111213235783456[[#This Row],[Wipers +/-]]/Table178910111213235783456[[#This Row],[Comp Sales]]</f>
        <v>1.4333424111686041E-3</v>
      </c>
      <c r="N50" s="37">
        <v>1</v>
      </c>
      <c r="O50" s="36">
        <f>Table178910111213235783456[[#This Row],[Big 4 Items]]/Table178910111213235783456[[#This Row],[Oil +/- ]]</f>
        <v>-4.6728971962616819E-3</v>
      </c>
      <c r="P50" s="38">
        <f t="shared" si="6"/>
        <v>0.74137931034482762</v>
      </c>
      <c r="S50" s="6">
        <f>'P10 - 10-04'!S50+'P10 - 10-11'!S50+'P10 - 10-18'!S50+'P10 - 10-25'!S50+'P10 - 11-01'!S50</f>
        <v>58</v>
      </c>
    </row>
    <row r="51" spans="1:19" ht="15" hidden="1">
      <c r="A51" s="29" t="s">
        <v>26</v>
      </c>
      <c r="B51" s="30">
        <v>1</v>
      </c>
      <c r="C51" s="31">
        <f>Table17891011121323578[[#This Row],[Lubricants/Oil +/-]]+Table178910111213235787[[#This Row],[Lubricants/Oil +/-]]+Table178910111213235783[[#This Row],[Lubricants/Oil +/-]]+Table1789101112132357834[[#This Row],[Lubricants/Oil +/-]]+Table17891011121323578345[[#This Row],[Lubricants/Oil +/-]]</f>
        <v>3133</v>
      </c>
      <c r="D51" s="32">
        <f>Table17891011121323578[[#This Row],[Oil +/- ]]+Table178910111213235787[[#This Row],[Oil +/- ]]+Table178910111213235783[[#This Row],[Oil +/- ]]+Table1789101112132357834[[#This Row],[Oil +/- ]]+Table17891011121323578345[[#This Row],[Oil +/- ]]</f>
        <v>1052</v>
      </c>
      <c r="E51" s="32">
        <f>Table17891011121323578[[#This Row],[Oil Filters +/-]]+Table178910111213235787[[#This Row],[Oil Filters +/-]]+Table178910111213235783[[#This Row],[Oil Filters +/-]]+Table1789101112132357834[[#This Row],[Oil Filters +/-]]+Table17891011121323578345[[#This Row],[Oil Filters +/-]]</f>
        <v>80</v>
      </c>
      <c r="F51" s="32">
        <f>Table17891011121323578[[#This Row],[Air Filters +/-]]+Table178910111213235787[[#This Row],[Air Filters +/-]]+Table178910111213235783[[#This Row],[Air Filters +/-]]+Table1789101112132357834[[#This Row],[Air Filters +/-]]+Table17891011121323578345[[#This Row],[Air Filters +/-]]</f>
        <v>15</v>
      </c>
      <c r="G51" s="32">
        <f>Table17891011121323578[[#This Row],[Wipers +/-]]+Table178910111213235787[[#This Row],[Wipers +/-]]+Table178910111213235783[[#This Row],[Wipers +/-]]+Table1789101112132357834[[#This Row],[Wipers +/-]]+Table17891011121323578345[[#This Row],[Wipers +/-]]</f>
        <v>6</v>
      </c>
      <c r="H51" s="32">
        <f>Table17891011121323578[[#This Row],[Cabins +/-]]+Table178910111213235787[[#This Row],[Cabins +/-]]+Table178910111213235783[[#This Row],[Cabins +/-]]+Table1789101112132357834[[#This Row],[Cabins +/-]]+Table17891011121323578345[[#This Row],[Cabins +/-]]</f>
        <v>19</v>
      </c>
      <c r="I51" s="33">
        <f>Table17891011121323578[[#This Row],[Adjustment Variance]]+Table178910111213235787[[#This Row],[Adjustment Variance]]+Table178910111213235783[[#This Row],[Adjustment Variance]]+Table1789101112132357834[[#This Row],[Adjustment Variance]]+Table17891011121323578345[[#This Row],[Adjustment Variance]]</f>
        <v>1723.29</v>
      </c>
      <c r="J51" s="32">
        <f>Table17891011121323578[[#This Row],[On Time Counts]]+Table178910111213235787[[#This Row],[On Time Counts]]+Table178910111213235783[[#This Row],[On Time Counts]]+Table1789101112132357834[[#This Row],[On Time Counts]]+Table17891011121323578345[[#This Row],[On Time Counts]]</f>
        <v>55</v>
      </c>
      <c r="K51" s="34">
        <f>Table178910111213235783456[[#This Row],[On Time Counts]]/45</f>
        <v>1.2222222222222223</v>
      </c>
      <c r="L51" s="35">
        <v>1986.68</v>
      </c>
      <c r="M51" s="36">
        <f>Table178910111213235783456[[#This Row],[Wipers +/-]]/Table178910111213235783456[[#This Row],[Comp Sales]]</f>
        <v>3.0201139589667182E-3</v>
      </c>
      <c r="N51" s="37">
        <v>0</v>
      </c>
      <c r="O51" s="36">
        <f>Table178910111213235783456[[#This Row],[Big 4 Items]]/Table178910111213235783456[[#This Row],[Oil +/- ]]</f>
        <v>0</v>
      </c>
      <c r="P51" s="38">
        <f t="shared" si="6"/>
        <v>0.94827586206896552</v>
      </c>
      <c r="S51" s="6">
        <f>'P10 - 10-04'!S51+'P10 - 10-11'!S51+'P10 - 10-18'!S51+'P10 - 10-25'!S51+'P10 - 11-01'!S51</f>
        <v>58</v>
      </c>
    </row>
    <row r="52" spans="1:19" ht="15" hidden="1">
      <c r="A52" s="29" t="s">
        <v>26</v>
      </c>
      <c r="B52" s="30">
        <v>2</v>
      </c>
      <c r="C52" s="31">
        <f>Table17891011121323578[[#This Row],[Lubricants/Oil +/-]]+Table178910111213235787[[#This Row],[Lubricants/Oil +/-]]+Table178910111213235783[[#This Row],[Lubricants/Oil +/-]]+Table1789101112132357834[[#This Row],[Lubricants/Oil +/-]]+Table17891011121323578345[[#This Row],[Lubricants/Oil +/-]]</f>
        <v>-153</v>
      </c>
      <c r="D52" s="32">
        <f>Table17891011121323578[[#This Row],[Oil +/- ]]+Table178910111213235787[[#This Row],[Oil +/- ]]+Table178910111213235783[[#This Row],[Oil +/- ]]+Table1789101112132357834[[#This Row],[Oil +/- ]]+Table17891011121323578345[[#This Row],[Oil +/- ]]</f>
        <v>-190</v>
      </c>
      <c r="E52" s="32">
        <f>Table17891011121323578[[#This Row],[Oil Filters +/-]]+Table178910111213235787[[#This Row],[Oil Filters +/-]]+Table178910111213235783[[#This Row],[Oil Filters +/-]]+Table1789101112132357834[[#This Row],[Oil Filters +/-]]+Table17891011121323578345[[#This Row],[Oil Filters +/-]]</f>
        <v>8</v>
      </c>
      <c r="F52" s="32">
        <f>Table17891011121323578[[#This Row],[Air Filters +/-]]+Table178910111213235787[[#This Row],[Air Filters +/-]]+Table178910111213235783[[#This Row],[Air Filters +/-]]+Table1789101112132357834[[#This Row],[Air Filters +/-]]+Table17891011121323578345[[#This Row],[Air Filters +/-]]</f>
        <v>4</v>
      </c>
      <c r="G52" s="32">
        <f>Table17891011121323578[[#This Row],[Wipers +/-]]+Table178910111213235787[[#This Row],[Wipers +/-]]+Table178910111213235783[[#This Row],[Wipers +/-]]+Table1789101112132357834[[#This Row],[Wipers +/-]]+Table17891011121323578345[[#This Row],[Wipers +/-]]</f>
        <v>1</v>
      </c>
      <c r="H52" s="32">
        <f>Table17891011121323578[[#This Row],[Cabins +/-]]+Table178910111213235787[[#This Row],[Cabins +/-]]+Table178910111213235783[[#This Row],[Cabins +/-]]+Table1789101112132357834[[#This Row],[Cabins +/-]]+Table17891011121323578345[[#This Row],[Cabins +/-]]</f>
        <v>1</v>
      </c>
      <c r="I52" s="33">
        <f>Table17891011121323578[[#This Row],[Adjustment Variance]]+Table178910111213235787[[#This Row],[Adjustment Variance]]+Table178910111213235783[[#This Row],[Adjustment Variance]]+Table1789101112132357834[[#This Row],[Adjustment Variance]]+Table17891011121323578345[[#This Row],[Adjustment Variance]]</f>
        <v>130.64000000000001</v>
      </c>
      <c r="J52" s="32">
        <f>Table17891011121323578[[#This Row],[On Time Counts]]+Table178910111213235787[[#This Row],[On Time Counts]]+Table178910111213235783[[#This Row],[On Time Counts]]+Table1789101112132357834[[#This Row],[On Time Counts]]+Table17891011121323578345[[#This Row],[On Time Counts]]</f>
        <v>45</v>
      </c>
      <c r="K52" s="34">
        <f>Table178910111213235783456[[#This Row],[On Time Counts]]/45</f>
        <v>1</v>
      </c>
      <c r="L52" s="35">
        <v>2791.49</v>
      </c>
      <c r="M52" s="36">
        <f>Table178910111213235783456[[#This Row],[Wipers +/-]]/Table178910111213235783456[[#This Row],[Comp Sales]]</f>
        <v>3.5823162540435399E-4</v>
      </c>
      <c r="N52" s="37">
        <v>0</v>
      </c>
      <c r="O52" s="36">
        <f>Table178910111213235783456[[#This Row],[Big 4 Items]]/Table178910111213235783456[[#This Row],[Oil +/- ]]</f>
        <v>0</v>
      </c>
      <c r="P52" s="38">
        <f t="shared" si="6"/>
        <v>0.77586206896551724</v>
      </c>
      <c r="S52" s="6">
        <f>'P10 - 10-04'!S52+'P10 - 10-11'!S52+'P10 - 10-18'!S52+'P10 - 10-25'!S52+'P10 - 11-01'!S52</f>
        <v>58</v>
      </c>
    </row>
    <row r="53" spans="1:19" ht="15" hidden="1">
      <c r="A53" s="29" t="s">
        <v>26</v>
      </c>
      <c r="B53" s="30">
        <v>4</v>
      </c>
      <c r="C53" s="31">
        <f>Table17891011121323578[[#This Row],[Lubricants/Oil +/-]]+Table178910111213235787[[#This Row],[Lubricants/Oil +/-]]+Table178910111213235783[[#This Row],[Lubricants/Oil +/-]]+Table1789101112132357834[[#This Row],[Lubricants/Oil +/-]]+Table17891011121323578345[[#This Row],[Lubricants/Oil +/-]]</f>
        <v>6951</v>
      </c>
      <c r="D53" s="32">
        <f>Table17891011121323578[[#This Row],[Oil +/- ]]+Table178910111213235787[[#This Row],[Oil +/- ]]+Table178910111213235783[[#This Row],[Oil +/- ]]+Table1789101112132357834[[#This Row],[Oil +/- ]]+Table17891011121323578345[[#This Row],[Oil +/- ]]</f>
        <v>3903</v>
      </c>
      <c r="E53" s="32">
        <f>Table17891011121323578[[#This Row],[Oil Filters +/-]]+Table178910111213235787[[#This Row],[Oil Filters +/-]]+Table178910111213235783[[#This Row],[Oil Filters +/-]]+Table1789101112132357834[[#This Row],[Oil Filters +/-]]+Table17891011121323578345[[#This Row],[Oil Filters +/-]]</f>
        <v>19</v>
      </c>
      <c r="F53" s="32">
        <f>Table17891011121323578[[#This Row],[Air Filters +/-]]+Table178910111213235787[[#This Row],[Air Filters +/-]]+Table178910111213235783[[#This Row],[Air Filters +/-]]+Table1789101112132357834[[#This Row],[Air Filters +/-]]+Table17891011121323578345[[#This Row],[Air Filters +/-]]</f>
        <v>3</v>
      </c>
      <c r="G53" s="32">
        <f>Table17891011121323578[[#This Row],[Wipers +/-]]+Table178910111213235787[[#This Row],[Wipers +/-]]+Table178910111213235783[[#This Row],[Wipers +/-]]+Table1789101112132357834[[#This Row],[Wipers +/-]]+Table17891011121323578345[[#This Row],[Wipers +/-]]</f>
        <v>1</v>
      </c>
      <c r="H53" s="32">
        <f>Table17891011121323578[[#This Row],[Cabins +/-]]+Table178910111213235787[[#This Row],[Cabins +/-]]+Table178910111213235783[[#This Row],[Cabins +/-]]+Table1789101112132357834[[#This Row],[Cabins +/-]]+Table17891011121323578345[[#This Row],[Cabins +/-]]</f>
        <v>10</v>
      </c>
      <c r="I53" s="33">
        <f>Table17891011121323578[[#This Row],[Adjustment Variance]]+Table178910111213235787[[#This Row],[Adjustment Variance]]+Table178910111213235783[[#This Row],[Adjustment Variance]]+Table1789101112132357834[[#This Row],[Adjustment Variance]]+Table17891011121323578345[[#This Row],[Adjustment Variance]]</f>
        <v>13168.249999999998</v>
      </c>
      <c r="J53" s="32">
        <f>Table17891011121323578[[#This Row],[On Time Counts]]+Table178910111213235787[[#This Row],[On Time Counts]]+Table178910111213235783[[#This Row],[On Time Counts]]+Table1789101112132357834[[#This Row],[On Time Counts]]+Table17891011121323578345[[#This Row],[On Time Counts]]</f>
        <v>55</v>
      </c>
      <c r="K53" s="34">
        <f>Table178910111213235783456[[#This Row],[On Time Counts]]/45</f>
        <v>1.2222222222222223</v>
      </c>
      <c r="L53" s="35">
        <v>5684.97</v>
      </c>
      <c r="M53" s="36">
        <f>Table178910111213235783456[[#This Row],[Wipers +/-]]/Table178910111213235783456[[#This Row],[Comp Sales]]</f>
        <v>1.7590242340768727E-4</v>
      </c>
      <c r="N53" s="37">
        <v>0</v>
      </c>
      <c r="O53" s="36">
        <f>Table178910111213235783456[[#This Row],[Big 4 Items]]/Table178910111213235783456[[#This Row],[Oil +/- ]]</f>
        <v>0</v>
      </c>
      <c r="P53" s="38">
        <f t="shared" si="6"/>
        <v>0.94827586206896552</v>
      </c>
      <c r="S53" s="6">
        <f>'P10 - 10-04'!S53+'P10 - 10-11'!S53+'P10 - 10-18'!S53+'P10 - 10-25'!S53+'P10 - 11-01'!S53</f>
        <v>58</v>
      </c>
    </row>
    <row r="54" spans="1:19" ht="15" hidden="1">
      <c r="A54" s="29" t="s">
        <v>26</v>
      </c>
      <c r="B54" s="30">
        <v>6</v>
      </c>
      <c r="C54" s="31">
        <f>Table17891011121323578[[#This Row],[Lubricants/Oil +/-]]+Table178910111213235787[[#This Row],[Lubricants/Oil +/-]]+Table178910111213235783[[#This Row],[Lubricants/Oil +/-]]+Table1789101112132357834[[#This Row],[Lubricants/Oil +/-]]+Table17891011121323578345[[#This Row],[Lubricants/Oil +/-]]</f>
        <v>4159</v>
      </c>
      <c r="D54" s="32">
        <f>Table17891011121323578[[#This Row],[Oil +/- ]]+Table178910111213235787[[#This Row],[Oil +/- ]]+Table178910111213235783[[#This Row],[Oil +/- ]]+Table1789101112132357834[[#This Row],[Oil +/- ]]+Table17891011121323578345[[#This Row],[Oil +/- ]]</f>
        <v>-262</v>
      </c>
      <c r="E54" s="32">
        <f>Table17891011121323578[[#This Row],[Oil Filters +/-]]+Table178910111213235787[[#This Row],[Oil Filters +/-]]+Table178910111213235783[[#This Row],[Oil Filters +/-]]+Table1789101112132357834[[#This Row],[Oil Filters +/-]]+Table17891011121323578345[[#This Row],[Oil Filters +/-]]</f>
        <v>33</v>
      </c>
      <c r="F54" s="32">
        <f>Table17891011121323578[[#This Row],[Air Filters +/-]]+Table178910111213235787[[#This Row],[Air Filters +/-]]+Table178910111213235783[[#This Row],[Air Filters +/-]]+Table1789101112132357834[[#This Row],[Air Filters +/-]]+Table17891011121323578345[[#This Row],[Air Filters +/-]]</f>
        <v>3</v>
      </c>
      <c r="G54" s="32">
        <f>Table17891011121323578[[#This Row],[Wipers +/-]]+Table178910111213235787[[#This Row],[Wipers +/-]]+Table178910111213235783[[#This Row],[Wipers +/-]]+Table1789101112132357834[[#This Row],[Wipers +/-]]+Table17891011121323578345[[#This Row],[Wipers +/-]]</f>
        <v>-4</v>
      </c>
      <c r="H54" s="32">
        <f>Table17891011121323578[[#This Row],[Cabins +/-]]+Table178910111213235787[[#This Row],[Cabins +/-]]+Table178910111213235783[[#This Row],[Cabins +/-]]+Table1789101112132357834[[#This Row],[Cabins +/-]]+Table17891011121323578345[[#This Row],[Cabins +/-]]</f>
        <v>1</v>
      </c>
      <c r="I54" s="33">
        <f>Table17891011121323578[[#This Row],[Adjustment Variance]]+Table178910111213235787[[#This Row],[Adjustment Variance]]+Table178910111213235783[[#This Row],[Adjustment Variance]]+Table1789101112132357834[[#This Row],[Adjustment Variance]]+Table17891011121323578345[[#This Row],[Adjustment Variance]]</f>
        <v>112.21999999999991</v>
      </c>
      <c r="J54" s="32">
        <f>Table17891011121323578[[#This Row],[On Time Counts]]+Table178910111213235787[[#This Row],[On Time Counts]]+Table178910111213235783[[#This Row],[On Time Counts]]+Table1789101112132357834[[#This Row],[On Time Counts]]+Table17891011121323578345[[#This Row],[On Time Counts]]</f>
        <v>48</v>
      </c>
      <c r="K54" s="34">
        <f>Table178910111213235783456[[#This Row],[On Time Counts]]/45</f>
        <v>1.0666666666666667</v>
      </c>
      <c r="L54" s="35">
        <v>0</v>
      </c>
      <c r="M54" s="36" t="e">
        <f>Table178910111213235783456[[#This Row],[Wipers +/-]]/Table178910111213235783456[[#This Row],[Comp Sales]]</f>
        <v>#DIV/0!</v>
      </c>
      <c r="N54" s="37">
        <v>0</v>
      </c>
      <c r="O54" s="36">
        <f>Table178910111213235783456[[#This Row],[Big 4 Items]]/Table178910111213235783456[[#This Row],[Oil +/- ]]</f>
        <v>0</v>
      </c>
      <c r="P54" s="38">
        <f t="shared" si="6"/>
        <v>0.82758620689655171</v>
      </c>
      <c r="S54" s="6">
        <f>'P10 - 10-04'!S54+'P10 - 10-11'!S54+'P10 - 10-18'!S54+'P10 - 10-25'!S54+'P10 - 11-01'!S54</f>
        <v>58</v>
      </c>
    </row>
    <row r="55" spans="1:19" ht="15" hidden="1">
      <c r="A55" s="29" t="s">
        <v>26</v>
      </c>
      <c r="B55" s="40">
        <v>15</v>
      </c>
      <c r="C55" s="31">
        <f>Table17891011121323578[[#This Row],[Lubricants/Oil +/-]]+Table178910111213235787[[#This Row],[Lubricants/Oil +/-]]+Table178910111213235783[[#This Row],[Lubricants/Oil +/-]]+Table1789101112132357834[[#This Row],[Lubricants/Oil +/-]]+Table17891011121323578345[[#This Row],[Lubricants/Oil +/-]]</f>
        <v>67</v>
      </c>
      <c r="D55" s="32">
        <f>Table17891011121323578[[#This Row],[Oil +/- ]]+Table178910111213235787[[#This Row],[Oil +/- ]]+Table178910111213235783[[#This Row],[Oil +/- ]]+Table1789101112132357834[[#This Row],[Oil +/- ]]+Table17891011121323578345[[#This Row],[Oil +/- ]]</f>
        <v>58</v>
      </c>
      <c r="E55" s="32">
        <f>Table17891011121323578[[#This Row],[Oil Filters +/-]]+Table178910111213235787[[#This Row],[Oil Filters +/-]]+Table178910111213235783[[#This Row],[Oil Filters +/-]]+Table1789101112132357834[[#This Row],[Oil Filters +/-]]+Table17891011121323578345[[#This Row],[Oil Filters +/-]]</f>
        <v>7</v>
      </c>
      <c r="F55" s="32">
        <f>Table17891011121323578[[#This Row],[Air Filters +/-]]+Table178910111213235787[[#This Row],[Air Filters +/-]]+Table178910111213235783[[#This Row],[Air Filters +/-]]+Table1789101112132357834[[#This Row],[Air Filters +/-]]+Table17891011121323578345[[#This Row],[Air Filters +/-]]</f>
        <v>14</v>
      </c>
      <c r="G55" s="32">
        <f>Table17891011121323578[[#This Row],[Wipers +/-]]+Table178910111213235787[[#This Row],[Wipers +/-]]+Table178910111213235783[[#This Row],[Wipers +/-]]+Table1789101112132357834[[#This Row],[Wipers +/-]]+Table17891011121323578345[[#This Row],[Wipers +/-]]</f>
        <v>-18</v>
      </c>
      <c r="H55" s="32">
        <f>Table17891011121323578[[#This Row],[Cabins +/-]]+Table178910111213235787[[#This Row],[Cabins +/-]]+Table178910111213235783[[#This Row],[Cabins +/-]]+Table1789101112132357834[[#This Row],[Cabins +/-]]+Table17891011121323578345[[#This Row],[Cabins +/-]]</f>
        <v>2</v>
      </c>
      <c r="I55" s="33">
        <f>Table17891011121323578[[#This Row],[Adjustment Variance]]+Table178910111213235787[[#This Row],[Adjustment Variance]]+Table178910111213235783[[#This Row],[Adjustment Variance]]+Table1789101112132357834[[#This Row],[Adjustment Variance]]+Table17891011121323578345[[#This Row],[Adjustment Variance]]</f>
        <v>-270.77999999999997</v>
      </c>
      <c r="J55" s="32">
        <f>Table17891011121323578[[#This Row],[On Time Counts]]+Table178910111213235787[[#This Row],[On Time Counts]]+Table178910111213235783[[#This Row],[On Time Counts]]+Table1789101112132357834[[#This Row],[On Time Counts]]+Table17891011121323578345[[#This Row],[On Time Counts]]</f>
        <v>42</v>
      </c>
      <c r="K55" s="34">
        <f>Table178910111213235783456[[#This Row],[On Time Counts]]/45</f>
        <v>0.93333333333333335</v>
      </c>
      <c r="L55" s="35">
        <v>0</v>
      </c>
      <c r="M55" s="36" t="e">
        <f>Table178910111213235783456[[#This Row],[Wipers +/-]]/Table178910111213235783456[[#This Row],[Comp Sales]]</f>
        <v>#DIV/0!</v>
      </c>
      <c r="N55" s="37"/>
      <c r="O55" s="41">
        <f>Table178910111213235783456[[#This Row],[Big 4 Items]]/Table178910111213235783456[[#This Row],[Oil +/- ]]</f>
        <v>0</v>
      </c>
      <c r="P55" s="38">
        <f t="shared" si="6"/>
        <v>0.72413793103448276</v>
      </c>
      <c r="S55" s="6">
        <f>'P10 - 10-04'!S55+'P10 - 10-11'!S55+'P10 - 10-18'!S55+'P10 - 10-25'!S55+'P10 - 11-01'!S55</f>
        <v>58</v>
      </c>
    </row>
    <row r="56" spans="1:19" ht="15" hidden="1">
      <c r="A56" s="30" t="s">
        <v>26</v>
      </c>
      <c r="B56" s="40">
        <v>28</v>
      </c>
      <c r="C56" s="31">
        <f>Table17891011121323578[[#This Row],[Lubricants/Oil +/-]]+Table178910111213235787[[#This Row],[Lubricants/Oil +/-]]+Table178910111213235783[[#This Row],[Lubricants/Oil +/-]]+Table1789101112132357834[[#This Row],[Lubricants/Oil +/-]]+Table17891011121323578345[[#This Row],[Lubricants/Oil +/-]]</f>
        <v>-52</v>
      </c>
      <c r="D56" s="32">
        <f>Table17891011121323578[[#This Row],[Oil +/- ]]+Table178910111213235787[[#This Row],[Oil +/- ]]+Table178910111213235783[[#This Row],[Oil +/- ]]+Table1789101112132357834[[#This Row],[Oil +/- ]]+Table17891011121323578345[[#This Row],[Oil +/- ]]</f>
        <v>-361</v>
      </c>
      <c r="E56" s="32">
        <f>Table17891011121323578[[#This Row],[Oil Filters +/-]]+Table178910111213235787[[#This Row],[Oil Filters +/-]]+Table178910111213235783[[#This Row],[Oil Filters +/-]]+Table1789101112132357834[[#This Row],[Oil Filters +/-]]+Table17891011121323578345[[#This Row],[Oil Filters +/-]]</f>
        <v>-73</v>
      </c>
      <c r="F56" s="32">
        <f>Table17891011121323578[[#This Row],[Air Filters +/-]]+Table178910111213235787[[#This Row],[Air Filters +/-]]+Table178910111213235783[[#This Row],[Air Filters +/-]]+Table1789101112132357834[[#This Row],[Air Filters +/-]]+Table17891011121323578345[[#This Row],[Air Filters +/-]]</f>
        <v>36</v>
      </c>
      <c r="G56" s="32">
        <f>Table17891011121323578[[#This Row],[Wipers +/-]]+Table178910111213235787[[#This Row],[Wipers +/-]]+Table178910111213235783[[#This Row],[Wipers +/-]]+Table1789101112132357834[[#This Row],[Wipers +/-]]+Table17891011121323578345[[#This Row],[Wipers +/-]]</f>
        <v>11</v>
      </c>
      <c r="H56" s="32">
        <f>Table17891011121323578[[#This Row],[Cabins +/-]]+Table178910111213235787[[#This Row],[Cabins +/-]]+Table178910111213235783[[#This Row],[Cabins +/-]]+Table1789101112132357834[[#This Row],[Cabins +/-]]+Table17891011121323578345[[#This Row],[Cabins +/-]]</f>
        <v>5</v>
      </c>
      <c r="I56" s="33">
        <f>Table17891011121323578[[#This Row],[Adjustment Variance]]+Table178910111213235787[[#This Row],[Adjustment Variance]]+Table178910111213235783[[#This Row],[Adjustment Variance]]+Table1789101112132357834[[#This Row],[Adjustment Variance]]+Table17891011121323578345[[#This Row],[Adjustment Variance]]</f>
        <v>674.51</v>
      </c>
      <c r="J56" s="32">
        <f>Table17891011121323578[[#This Row],[On Time Counts]]+Table178910111213235787[[#This Row],[On Time Counts]]+Table178910111213235783[[#This Row],[On Time Counts]]+Table1789101112132357834[[#This Row],[On Time Counts]]+Table17891011121323578345[[#This Row],[On Time Counts]]</f>
        <v>41</v>
      </c>
      <c r="K56" s="34">
        <f>Table178910111213235783456[[#This Row],[On Time Counts]]/45</f>
        <v>0.91111111111111109</v>
      </c>
      <c r="L56" s="35">
        <v>6979.44</v>
      </c>
      <c r="M56" s="36">
        <f>Table178910111213235783456[[#This Row],[Wipers +/-]]/Table178910111213235783456[[#This Row],[Comp Sales]]</f>
        <v>1.5760576779798954E-3</v>
      </c>
      <c r="N56" s="39"/>
      <c r="O56" s="36">
        <f>Table178910111213235783456[[#This Row],[Big 4 Items]]/Table178910111213235783456[[#This Row],[Oil +/- ]]</f>
        <v>0</v>
      </c>
      <c r="P56" s="38">
        <f t="shared" si="6"/>
        <v>0.7068965517241379</v>
      </c>
      <c r="S56" s="6">
        <f>'P10 - 10-04'!S56+'P10 - 10-11'!S56+'P10 - 10-18'!S56+'P10 - 10-25'!S56+'P10 - 11-01'!S56</f>
        <v>58</v>
      </c>
    </row>
    <row r="57" spans="1:19" ht="15" hidden="1">
      <c r="A57" s="30" t="s">
        <v>26</v>
      </c>
      <c r="B57" s="40">
        <v>32</v>
      </c>
      <c r="C57" s="31">
        <f>Table17891011121323578[[#This Row],[Lubricants/Oil +/-]]+Table178910111213235787[[#This Row],[Lubricants/Oil +/-]]+Table178910111213235783[[#This Row],[Lubricants/Oil +/-]]+Table1789101112132357834[[#This Row],[Lubricants/Oil +/-]]+Table17891011121323578345[[#This Row],[Lubricants/Oil +/-]]</f>
        <v>3067</v>
      </c>
      <c r="D57" s="32">
        <f>Table17891011121323578[[#This Row],[Oil +/- ]]+Table178910111213235787[[#This Row],[Oil +/- ]]+Table178910111213235783[[#This Row],[Oil +/- ]]+Table1789101112132357834[[#This Row],[Oil +/- ]]+Table17891011121323578345[[#This Row],[Oil +/- ]]</f>
        <v>138</v>
      </c>
      <c r="E57" s="32">
        <f>Table17891011121323578[[#This Row],[Oil Filters +/-]]+Table178910111213235787[[#This Row],[Oil Filters +/-]]+Table178910111213235783[[#This Row],[Oil Filters +/-]]+Table1789101112132357834[[#This Row],[Oil Filters +/-]]+Table17891011121323578345[[#This Row],[Oil Filters +/-]]</f>
        <v>31</v>
      </c>
      <c r="F57" s="32">
        <f>Table17891011121323578[[#This Row],[Air Filters +/-]]+Table178910111213235787[[#This Row],[Air Filters +/-]]+Table178910111213235783[[#This Row],[Air Filters +/-]]+Table1789101112132357834[[#This Row],[Air Filters +/-]]+Table17891011121323578345[[#This Row],[Air Filters +/-]]</f>
        <v>1</v>
      </c>
      <c r="G57" s="32">
        <f>Table17891011121323578[[#This Row],[Wipers +/-]]+Table178910111213235787[[#This Row],[Wipers +/-]]+Table178910111213235783[[#This Row],[Wipers +/-]]+Table1789101112132357834[[#This Row],[Wipers +/-]]+Table17891011121323578345[[#This Row],[Wipers +/-]]</f>
        <v>4</v>
      </c>
      <c r="H57" s="32">
        <f>Table17891011121323578[[#This Row],[Cabins +/-]]+Table178910111213235787[[#This Row],[Cabins +/-]]+Table178910111213235783[[#This Row],[Cabins +/-]]+Table1789101112132357834[[#This Row],[Cabins +/-]]+Table17891011121323578345[[#This Row],[Cabins +/-]]</f>
        <v>-3</v>
      </c>
      <c r="I57" s="33">
        <f>Table17891011121323578[[#This Row],[Adjustment Variance]]+Table178910111213235787[[#This Row],[Adjustment Variance]]+Table178910111213235783[[#This Row],[Adjustment Variance]]+Table1789101112132357834[[#This Row],[Adjustment Variance]]+Table17891011121323578345[[#This Row],[Adjustment Variance]]</f>
        <v>7322.49</v>
      </c>
      <c r="J57" s="32">
        <f>Table17891011121323578[[#This Row],[On Time Counts]]+Table178910111213235787[[#This Row],[On Time Counts]]+Table178910111213235783[[#This Row],[On Time Counts]]+Table1789101112132357834[[#This Row],[On Time Counts]]+Table17891011121323578345[[#This Row],[On Time Counts]]</f>
        <v>44</v>
      </c>
      <c r="K57" s="34">
        <f>Table178910111213235783456[[#This Row],[On Time Counts]]/45</f>
        <v>0.97777777777777775</v>
      </c>
      <c r="L57" s="35">
        <v>6567.35</v>
      </c>
      <c r="M57" s="36">
        <f>Table178910111213235783456[[#This Row],[Wipers +/-]]/Table178910111213235783456[[#This Row],[Comp Sales]]</f>
        <v>6.0907367507442118E-4</v>
      </c>
      <c r="N57" s="39"/>
      <c r="O57" s="36">
        <f>Table178910111213235783456[[#This Row],[Big 4 Items]]/Table178910111213235783456[[#This Row],[Oil +/- ]]</f>
        <v>0</v>
      </c>
      <c r="P57" s="38">
        <f t="shared" si="6"/>
        <v>0.75862068965517238</v>
      </c>
      <c r="S57" s="6">
        <f>'P10 - 10-04'!S57+'P10 - 10-11'!S57+'P10 - 10-18'!S57+'P10 - 10-25'!S57+'P10 - 11-01'!S57</f>
        <v>58</v>
      </c>
    </row>
    <row r="58" spans="1:19" ht="15" hidden="1">
      <c r="A58" s="30" t="s">
        <v>26</v>
      </c>
      <c r="B58" s="40">
        <v>606</v>
      </c>
      <c r="C58" s="31">
        <f>Table17891011121323578[[#This Row],[Lubricants/Oil +/-]]+Table178910111213235787[[#This Row],[Lubricants/Oil +/-]]+Table178910111213235783[[#This Row],[Lubricants/Oil +/-]]+Table1789101112132357834[[#This Row],[Lubricants/Oil +/-]]+Table17891011121323578345[[#This Row],[Lubricants/Oil +/-]]</f>
        <v>167</v>
      </c>
      <c r="D58" s="32">
        <f>Table17891011121323578[[#This Row],[Oil +/- ]]+Table178910111213235787[[#This Row],[Oil +/- ]]+Table178910111213235783[[#This Row],[Oil +/- ]]+Table1789101112132357834[[#This Row],[Oil +/- ]]+Table17891011121323578345[[#This Row],[Oil +/- ]]</f>
        <v>171</v>
      </c>
      <c r="E58" s="32">
        <f>Table17891011121323578[[#This Row],[Oil Filters +/-]]+Table178910111213235787[[#This Row],[Oil Filters +/-]]+Table178910111213235783[[#This Row],[Oil Filters +/-]]+Table1789101112132357834[[#This Row],[Oil Filters +/-]]+Table17891011121323578345[[#This Row],[Oil Filters +/-]]</f>
        <v>-1</v>
      </c>
      <c r="F58" s="32">
        <f>Table17891011121323578[[#This Row],[Air Filters +/-]]+Table178910111213235787[[#This Row],[Air Filters +/-]]+Table178910111213235783[[#This Row],[Air Filters +/-]]+Table1789101112132357834[[#This Row],[Air Filters +/-]]+Table17891011121323578345[[#This Row],[Air Filters +/-]]</f>
        <v>-3</v>
      </c>
      <c r="G58" s="32">
        <f>Table17891011121323578[[#This Row],[Wipers +/-]]+Table178910111213235787[[#This Row],[Wipers +/-]]+Table178910111213235783[[#This Row],[Wipers +/-]]+Table1789101112132357834[[#This Row],[Wipers +/-]]+Table17891011121323578345[[#This Row],[Wipers +/-]]</f>
        <v>-7</v>
      </c>
      <c r="H58" s="32">
        <f>Table17891011121323578[[#This Row],[Cabins +/-]]+Table178910111213235787[[#This Row],[Cabins +/-]]+Table178910111213235783[[#This Row],[Cabins +/-]]+Table1789101112132357834[[#This Row],[Cabins +/-]]+Table17891011121323578345[[#This Row],[Cabins +/-]]</f>
        <v>-1</v>
      </c>
      <c r="I58" s="33">
        <f>Table17891011121323578[[#This Row],[Adjustment Variance]]+Table178910111213235787[[#This Row],[Adjustment Variance]]+Table178910111213235783[[#This Row],[Adjustment Variance]]+Table1789101112132357834[[#This Row],[Adjustment Variance]]+Table17891011121323578345[[#This Row],[Adjustment Variance]]</f>
        <v>383.38</v>
      </c>
      <c r="J58" s="32">
        <f>Table17891011121323578[[#This Row],[On Time Counts]]+Table178910111213235787[[#This Row],[On Time Counts]]+Table178910111213235783[[#This Row],[On Time Counts]]+Table1789101112132357834[[#This Row],[On Time Counts]]+Table17891011121323578345[[#This Row],[On Time Counts]]</f>
        <v>49</v>
      </c>
      <c r="K58" s="34">
        <f>Table178910111213235783456[[#This Row],[On Time Counts]]/45</f>
        <v>1.0888888888888888</v>
      </c>
      <c r="L58" s="35"/>
      <c r="M58" s="36" t="e">
        <f>Table178910111213235783456[[#This Row],[Wipers +/-]]/Table178910111213235783456[[#This Row],[Comp Sales]]</f>
        <v>#DIV/0!</v>
      </c>
      <c r="N58" s="39"/>
      <c r="O58" s="36">
        <f>Table178910111213235783456[[#This Row],[Big 4 Items]]/Table178910111213235783456[[#This Row],[Oil +/- ]]</f>
        <v>0</v>
      </c>
      <c r="P58" s="38">
        <f t="shared" si="6"/>
        <v>0.84482758620689657</v>
      </c>
      <c r="S58" s="6">
        <f>'P10 - 10-04'!S58+'P10 - 10-11'!S58+'P10 - 10-18'!S58+'P10 - 10-25'!S58+'P10 - 11-01'!S58</f>
        <v>58</v>
      </c>
    </row>
    <row r="59" spans="1:19" ht="15" hidden="1">
      <c r="A59" s="30" t="s">
        <v>26</v>
      </c>
      <c r="B59" s="40">
        <v>999</v>
      </c>
      <c r="C59" s="31">
        <f>Table17891011121323578[[#This Row],[Lubricants/Oil +/-]]+Table178910111213235787[[#This Row],[Lubricants/Oil +/-]]+Table178910111213235783[[#This Row],[Lubricants/Oil +/-]]+Table1789101112132357834[[#This Row],[Lubricants/Oil +/-]]+Table17891011121323578345[[#This Row],[Lubricants/Oil +/-]]</f>
        <v>859</v>
      </c>
      <c r="D59" s="32">
        <f>Table17891011121323578[[#This Row],[Oil +/- ]]+Table178910111213235787[[#This Row],[Oil +/- ]]+Table178910111213235783[[#This Row],[Oil +/- ]]+Table1789101112132357834[[#This Row],[Oil +/- ]]+Table17891011121323578345[[#This Row],[Oil +/- ]]</f>
        <v>-346</v>
      </c>
      <c r="E59" s="32">
        <f>Table17891011121323578[[#This Row],[Oil Filters +/-]]+Table178910111213235787[[#This Row],[Oil Filters +/-]]+Table178910111213235783[[#This Row],[Oil Filters +/-]]+Table1789101112132357834[[#This Row],[Oil Filters +/-]]+Table17891011121323578345[[#This Row],[Oil Filters +/-]]</f>
        <v>0</v>
      </c>
      <c r="F59" s="32">
        <f>Table17891011121323578[[#This Row],[Air Filters +/-]]+Table178910111213235787[[#This Row],[Air Filters +/-]]+Table178910111213235783[[#This Row],[Air Filters +/-]]+Table1789101112132357834[[#This Row],[Air Filters +/-]]+Table17891011121323578345[[#This Row],[Air Filters +/-]]</f>
        <v>0</v>
      </c>
      <c r="G59" s="32">
        <f>Table17891011121323578[[#This Row],[Wipers +/-]]+Table178910111213235787[[#This Row],[Wipers +/-]]+Table178910111213235783[[#This Row],[Wipers +/-]]+Table1789101112132357834[[#This Row],[Wipers +/-]]+Table17891011121323578345[[#This Row],[Wipers +/-]]</f>
        <v>0</v>
      </c>
      <c r="H59" s="32">
        <f>Table17891011121323578[[#This Row],[Cabins +/-]]+Table178910111213235787[[#This Row],[Cabins +/-]]+Table178910111213235783[[#This Row],[Cabins +/-]]+Table1789101112132357834[[#This Row],[Cabins +/-]]+Table17891011121323578345[[#This Row],[Cabins +/-]]</f>
        <v>0</v>
      </c>
      <c r="I59" s="33">
        <f>Table17891011121323578[[#This Row],[Adjustment Variance]]+Table178910111213235787[[#This Row],[Adjustment Variance]]+Table178910111213235783[[#This Row],[Adjustment Variance]]+Table1789101112132357834[[#This Row],[Adjustment Variance]]+Table17891011121323578345[[#This Row],[Adjustment Variance]]</f>
        <v>1072.8800000000001</v>
      </c>
      <c r="J59" s="32">
        <f>Table17891011121323578[[#This Row],[On Time Counts]]+Table178910111213235787[[#This Row],[On Time Counts]]+Table178910111213235783[[#This Row],[On Time Counts]]+Table1789101112132357834[[#This Row],[On Time Counts]]+Table17891011121323578345[[#This Row],[On Time Counts]]</f>
        <v>2</v>
      </c>
      <c r="K59" s="34">
        <f>Table178910111213235783456[[#This Row],[On Time Counts]]/45</f>
        <v>4.4444444444444446E-2</v>
      </c>
      <c r="L59" s="35">
        <v>6761.54</v>
      </c>
      <c r="M59" s="36">
        <f>Table178910111213235783456[[#This Row],[Wipers +/-]]/Table178910111213235783456[[#This Row],[Comp Sales]]</f>
        <v>0</v>
      </c>
      <c r="N59" s="39"/>
      <c r="O59" s="36">
        <f>Table178910111213235783456[[#This Row],[Big 4 Items]]/Table178910111213235783456[[#This Row],[Oil +/- ]]</f>
        <v>0</v>
      </c>
      <c r="P59" s="38">
        <f t="shared" si="6"/>
        <v>0.14285714285714285</v>
      </c>
      <c r="S59" s="6">
        <f>'P10 - 10-04'!S59+'P10 - 10-11'!S59+'P10 - 10-18'!S59+'P10 - 10-25'!S59+'P10 - 11-01'!S59</f>
        <v>14</v>
      </c>
    </row>
    <row r="60" spans="1:19" ht="15">
      <c r="A60" s="30" t="s">
        <v>27</v>
      </c>
      <c r="B60" s="40">
        <v>8</v>
      </c>
      <c r="C60" s="31">
        <f>Table17891011121323578[[#This Row],[Lubricants/Oil +/-]]+Table178910111213235787[[#This Row],[Lubricants/Oil +/-]]+Table178910111213235783[[#This Row],[Lubricants/Oil +/-]]+Table1789101112132357834[[#This Row],[Lubricants/Oil +/-]]+Table17891011121323578345[[#This Row],[Lubricants/Oil +/-]]</f>
        <v>2677</v>
      </c>
      <c r="D60" s="32">
        <f>Table17891011121323578[[#This Row],[Oil +/- ]]+Table178910111213235787[[#This Row],[Oil +/- ]]+Table178910111213235783[[#This Row],[Oil +/- ]]+Table1789101112132357834[[#This Row],[Oil +/- ]]+Table17891011121323578345[[#This Row],[Oil +/- ]]</f>
        <v>2544</v>
      </c>
      <c r="E60" s="32">
        <f>Table17891011121323578[[#This Row],[Oil Filters +/-]]+Table178910111213235787[[#This Row],[Oil Filters +/-]]+Table178910111213235783[[#This Row],[Oil Filters +/-]]+Table1789101112132357834[[#This Row],[Oil Filters +/-]]+Table17891011121323578345[[#This Row],[Oil Filters +/-]]</f>
        <v>209</v>
      </c>
      <c r="F60" s="32">
        <f>Table17891011121323578[[#This Row],[Air Filters +/-]]+Table178910111213235787[[#This Row],[Air Filters +/-]]+Table178910111213235783[[#This Row],[Air Filters +/-]]+Table1789101112132357834[[#This Row],[Air Filters +/-]]+Table17891011121323578345[[#This Row],[Air Filters +/-]]</f>
        <v>1</v>
      </c>
      <c r="G60" s="32">
        <f>Table17891011121323578[[#This Row],[Wipers +/-]]+Table178910111213235787[[#This Row],[Wipers +/-]]+Table178910111213235783[[#This Row],[Wipers +/-]]+Table1789101112132357834[[#This Row],[Wipers +/-]]+Table17891011121323578345[[#This Row],[Wipers +/-]]</f>
        <v>3</v>
      </c>
      <c r="H60" s="32">
        <f>Table17891011121323578[[#This Row],[Cabins +/-]]+Table178910111213235787[[#This Row],[Cabins +/-]]+Table178910111213235783[[#This Row],[Cabins +/-]]+Table1789101112132357834[[#This Row],[Cabins +/-]]+Table17891011121323578345[[#This Row],[Cabins +/-]]</f>
        <v>9</v>
      </c>
      <c r="I60" s="33">
        <f>Table17891011121323578[[#This Row],[Adjustment Variance]]+Table178910111213235787[[#This Row],[Adjustment Variance]]+Table178910111213235783[[#This Row],[Adjustment Variance]]+Table1789101112132357834[[#This Row],[Adjustment Variance]]+Table17891011121323578345[[#This Row],[Adjustment Variance]]</f>
        <v>8087.54</v>
      </c>
      <c r="J60" s="32">
        <f>Table17891011121323578[[#This Row],[On Time Counts]]+Table178910111213235787[[#This Row],[On Time Counts]]+Table178910111213235783[[#This Row],[On Time Counts]]+Table1789101112132357834[[#This Row],[On Time Counts]]+Table17891011121323578345[[#This Row],[On Time Counts]]</f>
        <v>20</v>
      </c>
      <c r="K60" s="34">
        <f>Table178910111213235783456[[#This Row],[On Time Counts]]/45</f>
        <v>0.44444444444444442</v>
      </c>
      <c r="L60" s="35">
        <v>6083.18</v>
      </c>
      <c r="M60" s="36">
        <f>Table178910111213235783456[[#This Row],[Wipers +/-]]/Table178910111213235783456[[#This Row],[Comp Sales]]</f>
        <v>4.9316311534427712E-4</v>
      </c>
      <c r="N60" s="39"/>
      <c r="O60" s="36">
        <f>Table178910111213235783456[[#This Row],[Big 4 Items]]/Table178910111213235783456[[#This Row],[Oil +/- ]]</f>
        <v>0</v>
      </c>
      <c r="P60" s="38">
        <f t="shared" si="6"/>
        <v>0.34482758620689657</v>
      </c>
      <c r="S60" s="6">
        <f>'P10 - 10-04'!S60+'P10 - 10-11'!S60+'P10 - 10-18'!S60+'P10 - 10-25'!S60+'P10 - 11-01'!S60</f>
        <v>58</v>
      </c>
    </row>
    <row r="61" spans="1:19" ht="15">
      <c r="A61" s="30" t="s">
        <v>27</v>
      </c>
      <c r="B61" s="40">
        <v>10</v>
      </c>
      <c r="C61" s="31">
        <f>Table17891011121323578[[#This Row],[Lubricants/Oil +/-]]+Table178910111213235787[[#This Row],[Lubricants/Oil +/-]]+Table178910111213235783[[#This Row],[Lubricants/Oil +/-]]+Table1789101112132357834[[#This Row],[Lubricants/Oil +/-]]+Table17891011121323578345[[#This Row],[Lubricants/Oil +/-]]</f>
        <v>1014</v>
      </c>
      <c r="D61" s="32">
        <f>Table17891011121323578[[#This Row],[Oil +/- ]]+Table178910111213235787[[#This Row],[Oil +/- ]]+Table178910111213235783[[#This Row],[Oil +/- ]]+Table1789101112132357834[[#This Row],[Oil +/- ]]+Table17891011121323578345[[#This Row],[Oil +/- ]]</f>
        <v>1014</v>
      </c>
      <c r="E61" s="32">
        <f>Table17891011121323578[[#This Row],[Oil Filters +/-]]+Table178910111213235787[[#This Row],[Oil Filters +/-]]+Table178910111213235783[[#This Row],[Oil Filters +/-]]+Table1789101112132357834[[#This Row],[Oil Filters +/-]]+Table17891011121323578345[[#This Row],[Oil Filters +/-]]</f>
        <v>45</v>
      </c>
      <c r="F61" s="32">
        <f>Table17891011121323578[[#This Row],[Air Filters +/-]]+Table178910111213235787[[#This Row],[Air Filters +/-]]+Table178910111213235783[[#This Row],[Air Filters +/-]]+Table1789101112132357834[[#This Row],[Air Filters +/-]]+Table17891011121323578345[[#This Row],[Air Filters +/-]]</f>
        <v>-5</v>
      </c>
      <c r="G61" s="32">
        <f>Table17891011121323578[[#This Row],[Wipers +/-]]+Table178910111213235787[[#This Row],[Wipers +/-]]+Table178910111213235783[[#This Row],[Wipers +/-]]+Table1789101112132357834[[#This Row],[Wipers +/-]]+Table17891011121323578345[[#This Row],[Wipers +/-]]</f>
        <v>3</v>
      </c>
      <c r="H61" s="32">
        <f>Table17891011121323578[[#This Row],[Cabins +/-]]+Table178910111213235787[[#This Row],[Cabins +/-]]+Table178910111213235783[[#This Row],[Cabins +/-]]+Table1789101112132357834[[#This Row],[Cabins +/-]]+Table17891011121323578345[[#This Row],[Cabins +/-]]</f>
        <v>-1</v>
      </c>
      <c r="I61" s="33">
        <f>Table17891011121323578[[#This Row],[Adjustment Variance]]+Table178910111213235787[[#This Row],[Adjustment Variance]]+Table178910111213235783[[#This Row],[Adjustment Variance]]+Table1789101112132357834[[#This Row],[Adjustment Variance]]+Table17891011121323578345[[#This Row],[Adjustment Variance]]</f>
        <v>2631.91</v>
      </c>
      <c r="J61" s="32">
        <f>Table17891011121323578[[#This Row],[On Time Counts]]+Table178910111213235787[[#This Row],[On Time Counts]]+Table178910111213235783[[#This Row],[On Time Counts]]+Table1789101112132357834[[#This Row],[On Time Counts]]+Table17891011121323578345[[#This Row],[On Time Counts]]</f>
        <v>42</v>
      </c>
      <c r="K61" s="34">
        <f>Table178910111213235783456[[#This Row],[On Time Counts]]/45</f>
        <v>0.93333333333333335</v>
      </c>
      <c r="L61" s="35">
        <v>4849.0200000000004</v>
      </c>
      <c r="M61" s="36">
        <f>Table178910111213235783456[[#This Row],[Wipers +/-]]/Table178910111213235783456[[#This Row],[Comp Sales]]</f>
        <v>6.1868171300592692E-4</v>
      </c>
      <c r="N61" s="39"/>
      <c r="O61" s="36">
        <f>Table178910111213235783456[[#This Row],[Big 4 Items]]/Table178910111213235783456[[#This Row],[Oil +/- ]]</f>
        <v>0</v>
      </c>
      <c r="P61" s="38">
        <f t="shared" si="6"/>
        <v>0.72413793103448276</v>
      </c>
      <c r="S61" s="6">
        <f>'P10 - 10-04'!S61+'P10 - 10-11'!S61+'P10 - 10-18'!S61+'P10 - 10-25'!S61+'P10 - 11-01'!S61</f>
        <v>58</v>
      </c>
    </row>
    <row r="62" spans="1:19" ht="15">
      <c r="A62" s="30" t="s">
        <v>27</v>
      </c>
      <c r="B62" s="40">
        <v>12</v>
      </c>
      <c r="C62" s="31">
        <f>Table17891011121323578[[#This Row],[Lubricants/Oil +/-]]+Table178910111213235787[[#This Row],[Lubricants/Oil +/-]]+Table178910111213235783[[#This Row],[Lubricants/Oil +/-]]+Table1789101112132357834[[#This Row],[Lubricants/Oil +/-]]+Table17891011121323578345[[#This Row],[Lubricants/Oil +/-]]</f>
        <v>-39</v>
      </c>
      <c r="D62" s="32">
        <f>Table17891011121323578[[#This Row],[Oil +/- ]]+Table178910111213235787[[#This Row],[Oil +/- ]]+Table178910111213235783[[#This Row],[Oil +/- ]]+Table1789101112132357834[[#This Row],[Oil +/- ]]+Table17891011121323578345[[#This Row],[Oil +/- ]]</f>
        <v>-39</v>
      </c>
      <c r="E62" s="32">
        <f>Table17891011121323578[[#This Row],[Oil Filters +/-]]+Table178910111213235787[[#This Row],[Oil Filters +/-]]+Table178910111213235783[[#This Row],[Oil Filters +/-]]+Table1789101112132357834[[#This Row],[Oil Filters +/-]]+Table17891011121323578345[[#This Row],[Oil Filters +/-]]</f>
        <v>504</v>
      </c>
      <c r="F62" s="32">
        <f>Table17891011121323578[[#This Row],[Air Filters +/-]]+Table178910111213235787[[#This Row],[Air Filters +/-]]+Table178910111213235783[[#This Row],[Air Filters +/-]]+Table1789101112132357834[[#This Row],[Air Filters +/-]]+Table17891011121323578345[[#This Row],[Air Filters +/-]]</f>
        <v>41</v>
      </c>
      <c r="G62" s="32">
        <f>Table17891011121323578[[#This Row],[Wipers +/-]]+Table178910111213235787[[#This Row],[Wipers +/-]]+Table178910111213235783[[#This Row],[Wipers +/-]]+Table1789101112132357834[[#This Row],[Wipers +/-]]+Table17891011121323578345[[#This Row],[Wipers +/-]]</f>
        <v>44</v>
      </c>
      <c r="H62" s="32">
        <f>Table17891011121323578[[#This Row],[Cabins +/-]]+Table178910111213235787[[#This Row],[Cabins +/-]]+Table178910111213235783[[#This Row],[Cabins +/-]]+Table1789101112132357834[[#This Row],[Cabins +/-]]+Table17891011121323578345[[#This Row],[Cabins +/-]]</f>
        <v>45</v>
      </c>
      <c r="I62" s="33">
        <f>Table17891011121323578[[#This Row],[Adjustment Variance]]+Table178910111213235787[[#This Row],[Adjustment Variance]]+Table178910111213235783[[#This Row],[Adjustment Variance]]+Table1789101112132357834[[#This Row],[Adjustment Variance]]+Table17891011121323578345[[#This Row],[Adjustment Variance]]</f>
        <v>973.58999999999992</v>
      </c>
      <c r="J62" s="32">
        <f>Table17891011121323578[[#This Row],[On Time Counts]]+Table178910111213235787[[#This Row],[On Time Counts]]+Table178910111213235783[[#This Row],[On Time Counts]]+Table1789101112132357834[[#This Row],[On Time Counts]]+Table17891011121323578345[[#This Row],[On Time Counts]]</f>
        <v>32</v>
      </c>
      <c r="K62" s="34">
        <f>Table178910111213235783456[[#This Row],[On Time Counts]]/45</f>
        <v>0.71111111111111114</v>
      </c>
      <c r="L62" s="35">
        <v>6870.99</v>
      </c>
      <c r="M62" s="36">
        <f>Table178910111213235783456[[#This Row],[Wipers +/-]]/Table178910111213235783456[[#This Row],[Comp Sales]]</f>
        <v>6.403735124050537E-3</v>
      </c>
      <c r="N62" s="39"/>
      <c r="O62" s="36">
        <f>Table178910111213235783456[[#This Row],[Big 4 Items]]/Table178910111213235783456[[#This Row],[Oil +/- ]]</f>
        <v>0</v>
      </c>
      <c r="P62" s="38">
        <f t="shared" si="6"/>
        <v>0.55172413793103448</v>
      </c>
      <c r="S62" s="6">
        <f>'P10 - 10-04'!S62+'P10 - 10-11'!S62+'P10 - 10-18'!S62+'P10 - 10-25'!S62+'P10 - 11-01'!S62</f>
        <v>58</v>
      </c>
    </row>
    <row r="63" spans="1:19" ht="15">
      <c r="A63" s="30" t="s">
        <v>27</v>
      </c>
      <c r="B63" s="40">
        <v>13</v>
      </c>
      <c r="C63" s="31">
        <f>Table17891011121323578[[#This Row],[Lubricants/Oil +/-]]+Table178910111213235787[[#This Row],[Lubricants/Oil +/-]]+Table178910111213235783[[#This Row],[Lubricants/Oil +/-]]+Table1789101112132357834[[#This Row],[Lubricants/Oil +/-]]+Table17891011121323578345[[#This Row],[Lubricants/Oil +/-]]</f>
        <v>1937</v>
      </c>
      <c r="D63" s="32">
        <f>Table17891011121323578[[#This Row],[Oil +/- ]]+Table178910111213235787[[#This Row],[Oil +/- ]]+Table178910111213235783[[#This Row],[Oil +/- ]]+Table1789101112132357834[[#This Row],[Oil +/- ]]+Table17891011121323578345[[#This Row],[Oil +/- ]]</f>
        <v>1076</v>
      </c>
      <c r="E63" s="32">
        <f>Table17891011121323578[[#This Row],[Oil Filters +/-]]+Table178910111213235787[[#This Row],[Oil Filters +/-]]+Table178910111213235783[[#This Row],[Oil Filters +/-]]+Table1789101112132357834[[#This Row],[Oil Filters +/-]]+Table17891011121323578345[[#This Row],[Oil Filters +/-]]</f>
        <v>36</v>
      </c>
      <c r="F63" s="32">
        <f>Table17891011121323578[[#This Row],[Air Filters +/-]]+Table178910111213235787[[#This Row],[Air Filters +/-]]+Table178910111213235783[[#This Row],[Air Filters +/-]]+Table1789101112132357834[[#This Row],[Air Filters +/-]]+Table17891011121323578345[[#This Row],[Air Filters +/-]]</f>
        <v>-28</v>
      </c>
      <c r="G63" s="32">
        <f>Table17891011121323578[[#This Row],[Wipers +/-]]+Table178910111213235787[[#This Row],[Wipers +/-]]+Table178910111213235783[[#This Row],[Wipers +/-]]+Table1789101112132357834[[#This Row],[Wipers +/-]]+Table17891011121323578345[[#This Row],[Wipers +/-]]</f>
        <v>-12</v>
      </c>
      <c r="H63" s="32">
        <f>Table17891011121323578[[#This Row],[Cabins +/-]]+Table178910111213235787[[#This Row],[Cabins +/-]]+Table178910111213235783[[#This Row],[Cabins +/-]]+Table1789101112132357834[[#This Row],[Cabins +/-]]+Table17891011121323578345[[#This Row],[Cabins +/-]]</f>
        <v>19</v>
      </c>
      <c r="I63" s="33">
        <f>Table17891011121323578[[#This Row],[Adjustment Variance]]+Table178910111213235787[[#This Row],[Adjustment Variance]]+Table178910111213235783[[#This Row],[Adjustment Variance]]+Table1789101112132357834[[#This Row],[Adjustment Variance]]+Table17891011121323578345[[#This Row],[Adjustment Variance]]</f>
        <v>5698.3799999999992</v>
      </c>
      <c r="J63" s="32">
        <f>Table17891011121323578[[#This Row],[On Time Counts]]+Table178910111213235787[[#This Row],[On Time Counts]]+Table178910111213235783[[#This Row],[On Time Counts]]+Table1789101112132357834[[#This Row],[On Time Counts]]+Table17891011121323578345[[#This Row],[On Time Counts]]</f>
        <v>50</v>
      </c>
      <c r="K63" s="34">
        <f>Table178910111213235783456[[#This Row],[On Time Counts]]/45</f>
        <v>1.1111111111111112</v>
      </c>
      <c r="L63" s="35">
        <v>6806.79</v>
      </c>
      <c r="M63" s="36">
        <f>Table178910111213235783456[[#This Row],[Wipers +/-]]/Table178910111213235783456[[#This Row],[Comp Sales]]</f>
        <v>-1.7629455293905057E-3</v>
      </c>
      <c r="N63" s="39"/>
      <c r="O63" s="36">
        <f>Table178910111213235783456[[#This Row],[Big 4 Items]]/Table178910111213235783456[[#This Row],[Oil +/- ]]</f>
        <v>0</v>
      </c>
      <c r="P63" s="38">
        <f t="shared" si="6"/>
        <v>0.86206896551724133</v>
      </c>
      <c r="S63" s="6">
        <f>'P10 - 10-04'!S63+'P10 - 10-11'!S63+'P10 - 10-18'!S63+'P10 - 10-25'!S63+'P10 - 11-01'!S63</f>
        <v>58</v>
      </c>
    </row>
    <row r="64" spans="1:19" ht="15">
      <c r="A64" s="30" t="s">
        <v>27</v>
      </c>
      <c r="B64" s="40">
        <v>31</v>
      </c>
      <c r="C64" s="31">
        <f>Table17891011121323578[[#This Row],[Lubricants/Oil +/-]]+Table178910111213235787[[#This Row],[Lubricants/Oil +/-]]+Table178910111213235783[[#This Row],[Lubricants/Oil +/-]]+Table1789101112132357834[[#This Row],[Lubricants/Oil +/-]]+Table17891011121323578345[[#This Row],[Lubricants/Oil +/-]]</f>
        <v>1152</v>
      </c>
      <c r="D64" s="32">
        <f>Table17891011121323578[[#This Row],[Oil +/- ]]+Table178910111213235787[[#This Row],[Oil +/- ]]+Table178910111213235783[[#This Row],[Oil +/- ]]+Table1789101112132357834[[#This Row],[Oil +/- ]]+Table17891011121323578345[[#This Row],[Oil +/- ]]</f>
        <v>252</v>
      </c>
      <c r="E64" s="32">
        <f>Table17891011121323578[[#This Row],[Oil Filters +/-]]+Table178910111213235787[[#This Row],[Oil Filters +/-]]+Table178910111213235783[[#This Row],[Oil Filters +/-]]+Table1789101112132357834[[#This Row],[Oil Filters +/-]]+Table17891011121323578345[[#This Row],[Oil Filters +/-]]</f>
        <v>24</v>
      </c>
      <c r="F64" s="32">
        <f>Table17891011121323578[[#This Row],[Air Filters +/-]]+Table178910111213235787[[#This Row],[Air Filters +/-]]+Table178910111213235783[[#This Row],[Air Filters +/-]]+Table1789101112132357834[[#This Row],[Air Filters +/-]]+Table17891011121323578345[[#This Row],[Air Filters +/-]]</f>
        <v>31</v>
      </c>
      <c r="G64" s="32">
        <f>Table17891011121323578[[#This Row],[Wipers +/-]]+Table178910111213235787[[#This Row],[Wipers +/-]]+Table178910111213235783[[#This Row],[Wipers +/-]]+Table1789101112132357834[[#This Row],[Wipers +/-]]+Table17891011121323578345[[#This Row],[Wipers +/-]]</f>
        <v>-9</v>
      </c>
      <c r="H64" s="32">
        <f>Table17891011121323578[[#This Row],[Cabins +/-]]+Table178910111213235787[[#This Row],[Cabins +/-]]+Table178910111213235783[[#This Row],[Cabins +/-]]+Table1789101112132357834[[#This Row],[Cabins +/-]]+Table17891011121323578345[[#This Row],[Cabins +/-]]</f>
        <v>12</v>
      </c>
      <c r="I64" s="33">
        <f>Table17891011121323578[[#This Row],[Adjustment Variance]]+Table178910111213235787[[#This Row],[Adjustment Variance]]+Table178910111213235783[[#This Row],[Adjustment Variance]]+Table1789101112132357834[[#This Row],[Adjustment Variance]]+Table17891011121323578345[[#This Row],[Adjustment Variance]]</f>
        <v>3365.9500000000003</v>
      </c>
      <c r="J64" s="32">
        <f>Table17891011121323578[[#This Row],[On Time Counts]]+Table178910111213235787[[#This Row],[On Time Counts]]+Table178910111213235783[[#This Row],[On Time Counts]]+Table1789101112132357834[[#This Row],[On Time Counts]]+Table17891011121323578345[[#This Row],[On Time Counts]]</f>
        <v>54</v>
      </c>
      <c r="K64" s="34">
        <f>Table178910111213235783456[[#This Row],[On Time Counts]]/45</f>
        <v>1.2</v>
      </c>
      <c r="L64" s="35">
        <v>5842.02</v>
      </c>
      <c r="M64" s="36">
        <f>Table178910111213235783456[[#This Row],[Wipers +/-]]/Table178910111213235783456[[#This Row],[Comp Sales]]</f>
        <v>-1.5405630244333295E-3</v>
      </c>
      <c r="N64" s="39"/>
      <c r="O64" s="36">
        <f>Table178910111213235783456[[#This Row],[Big 4 Items]]/Table178910111213235783456[[#This Row],[Oil +/- ]]</f>
        <v>0</v>
      </c>
      <c r="P64" s="38">
        <f t="shared" si="6"/>
        <v>0.93103448275862066</v>
      </c>
      <c r="S64" s="6">
        <f>'P10 - 10-04'!S64+'P10 - 10-11'!S64+'P10 - 10-18'!S64+'P10 - 10-25'!S64+'P10 - 11-01'!S64</f>
        <v>58</v>
      </c>
    </row>
    <row r="65" spans="1:19" ht="15">
      <c r="A65" s="30" t="s">
        <v>27</v>
      </c>
      <c r="B65" s="40">
        <v>92</v>
      </c>
      <c r="C65" s="31">
        <f>Table17891011121323578[[#This Row],[Lubricants/Oil +/-]]+Table178910111213235787[[#This Row],[Lubricants/Oil +/-]]+Table178910111213235783[[#This Row],[Lubricants/Oil +/-]]+Table1789101112132357834[[#This Row],[Lubricants/Oil +/-]]+Table17891011121323578345[[#This Row],[Lubricants/Oil +/-]]</f>
        <v>-180</v>
      </c>
      <c r="D65" s="32">
        <f>Table17891011121323578[[#This Row],[Oil +/- ]]+Table178910111213235787[[#This Row],[Oil +/- ]]+Table178910111213235783[[#This Row],[Oil +/- ]]+Table1789101112132357834[[#This Row],[Oil +/- ]]+Table17891011121323578345[[#This Row],[Oil +/- ]]</f>
        <v>-4</v>
      </c>
      <c r="E65" s="32">
        <f>Table17891011121323578[[#This Row],[Oil Filters +/-]]+Table178910111213235787[[#This Row],[Oil Filters +/-]]+Table178910111213235783[[#This Row],[Oil Filters +/-]]+Table1789101112132357834[[#This Row],[Oil Filters +/-]]+Table17891011121323578345[[#This Row],[Oil Filters +/-]]</f>
        <v>86</v>
      </c>
      <c r="F65" s="32">
        <f>Table17891011121323578[[#This Row],[Air Filters +/-]]+Table178910111213235787[[#This Row],[Air Filters +/-]]+Table178910111213235783[[#This Row],[Air Filters +/-]]+Table1789101112132357834[[#This Row],[Air Filters +/-]]+Table17891011121323578345[[#This Row],[Air Filters +/-]]</f>
        <v>15</v>
      </c>
      <c r="G65" s="32">
        <f>Table17891011121323578[[#This Row],[Wipers +/-]]+Table178910111213235787[[#This Row],[Wipers +/-]]+Table178910111213235783[[#This Row],[Wipers +/-]]+Table1789101112132357834[[#This Row],[Wipers +/-]]+Table17891011121323578345[[#This Row],[Wipers +/-]]</f>
        <v>-27</v>
      </c>
      <c r="H65" s="32">
        <f>Table17891011121323578[[#This Row],[Cabins +/-]]+Table178910111213235787[[#This Row],[Cabins +/-]]+Table178910111213235783[[#This Row],[Cabins +/-]]+Table1789101112132357834[[#This Row],[Cabins +/-]]+Table17891011121323578345[[#This Row],[Cabins +/-]]</f>
        <v>-5</v>
      </c>
      <c r="I65" s="33">
        <f>Table17891011121323578[[#This Row],[Adjustment Variance]]+Table178910111213235787[[#This Row],[Adjustment Variance]]+Table178910111213235783[[#This Row],[Adjustment Variance]]+Table1789101112132357834[[#This Row],[Adjustment Variance]]+Table17891011121323578345[[#This Row],[Adjustment Variance]]</f>
        <v>2829.4700000000003</v>
      </c>
      <c r="J65" s="32">
        <f>Table17891011121323578[[#This Row],[On Time Counts]]+Table178910111213235787[[#This Row],[On Time Counts]]+Table178910111213235783[[#This Row],[On Time Counts]]+Table1789101112132357834[[#This Row],[On Time Counts]]+Table17891011121323578345[[#This Row],[On Time Counts]]</f>
        <v>56</v>
      </c>
      <c r="K65" s="34">
        <f>Table178910111213235783456[[#This Row],[On Time Counts]]/45</f>
        <v>1.2444444444444445</v>
      </c>
      <c r="L65" s="35">
        <v>7096.63</v>
      </c>
      <c r="M65" s="36">
        <f>Table178910111213235783456[[#This Row],[Wipers +/-]]/Table178910111213235783456[[#This Row],[Comp Sales]]</f>
        <v>-3.8046227575623923E-3</v>
      </c>
      <c r="N65" s="39"/>
      <c r="O65" s="36">
        <f>Table178910111213235783456[[#This Row],[Big 4 Items]]/Table178910111213235783456[[#This Row],[Oil +/- ]]</f>
        <v>0</v>
      </c>
      <c r="P65" s="38">
        <f t="shared" si="6"/>
        <v>0.96551724137931039</v>
      </c>
      <c r="S65" s="6">
        <f>'P10 - 10-04'!S65+'P10 - 10-11'!S65+'P10 - 10-18'!S65+'P10 - 10-25'!S65+'P10 - 11-01'!S65</f>
        <v>58</v>
      </c>
    </row>
    <row r="66" spans="1:19" ht="15">
      <c r="A66" s="30" t="s">
        <v>27</v>
      </c>
      <c r="B66" s="40">
        <v>116</v>
      </c>
      <c r="C66" s="31">
        <f>Table17891011121323578[[#This Row],[Lubricants/Oil +/-]]+Table178910111213235787[[#This Row],[Lubricants/Oil +/-]]+Table178910111213235783[[#This Row],[Lubricants/Oil +/-]]+Table1789101112132357834[[#This Row],[Lubricants/Oil +/-]]+Table17891011121323578345[[#This Row],[Lubricants/Oil +/-]]</f>
        <v>8101</v>
      </c>
      <c r="D66" s="32">
        <f>Table17891011121323578[[#This Row],[Oil +/- ]]+Table178910111213235787[[#This Row],[Oil +/- ]]+Table178910111213235783[[#This Row],[Oil +/- ]]+Table1789101112132357834[[#This Row],[Oil +/- ]]+Table17891011121323578345[[#This Row],[Oil +/- ]]</f>
        <v>4361</v>
      </c>
      <c r="E66" s="32">
        <f>Table17891011121323578[[#This Row],[Oil Filters +/-]]+Table178910111213235787[[#This Row],[Oil Filters +/-]]+Table178910111213235783[[#This Row],[Oil Filters +/-]]+Table1789101112132357834[[#This Row],[Oil Filters +/-]]+Table17891011121323578345[[#This Row],[Oil Filters +/-]]</f>
        <v>95</v>
      </c>
      <c r="F66" s="32">
        <f>Table17891011121323578[[#This Row],[Air Filters +/-]]+Table178910111213235787[[#This Row],[Air Filters +/-]]+Table178910111213235783[[#This Row],[Air Filters +/-]]+Table1789101112132357834[[#This Row],[Air Filters +/-]]+Table17891011121323578345[[#This Row],[Air Filters +/-]]</f>
        <v>-2</v>
      </c>
      <c r="G66" s="32">
        <f>Table17891011121323578[[#This Row],[Wipers +/-]]+Table178910111213235787[[#This Row],[Wipers +/-]]+Table178910111213235783[[#This Row],[Wipers +/-]]+Table1789101112132357834[[#This Row],[Wipers +/-]]+Table17891011121323578345[[#This Row],[Wipers +/-]]</f>
        <v>-6</v>
      </c>
      <c r="H66" s="32">
        <f>Table17891011121323578[[#This Row],[Cabins +/-]]+Table178910111213235787[[#This Row],[Cabins +/-]]+Table178910111213235783[[#This Row],[Cabins +/-]]+Table1789101112132357834[[#This Row],[Cabins +/-]]+Table17891011121323578345[[#This Row],[Cabins +/-]]</f>
        <v>4</v>
      </c>
      <c r="I66" s="33">
        <f>Table17891011121323578[[#This Row],[Adjustment Variance]]+Table178910111213235787[[#This Row],[Adjustment Variance]]+Table178910111213235783[[#This Row],[Adjustment Variance]]+Table1789101112132357834[[#This Row],[Adjustment Variance]]+Table17891011121323578345[[#This Row],[Adjustment Variance]]</f>
        <v>18288.580000000002</v>
      </c>
      <c r="J66" s="32">
        <f>Table17891011121323578[[#This Row],[On Time Counts]]+Table178910111213235787[[#This Row],[On Time Counts]]+Table178910111213235783[[#This Row],[On Time Counts]]+Table1789101112132357834[[#This Row],[On Time Counts]]+Table17891011121323578345[[#This Row],[On Time Counts]]</f>
        <v>52</v>
      </c>
      <c r="K66" s="34">
        <f>Table178910111213235783456[[#This Row],[On Time Counts]]/45</f>
        <v>1.1555555555555554</v>
      </c>
      <c r="L66" s="35">
        <v>6662.04</v>
      </c>
      <c r="M66" s="36">
        <f>Table178910111213235783456[[#This Row],[Wipers +/-]]/Table178910111213235783456[[#This Row],[Comp Sales]]</f>
        <v>-9.0062503377343875E-4</v>
      </c>
      <c r="N66" s="39"/>
      <c r="O66" s="36">
        <f>Table178910111213235783456[[#This Row],[Big 4 Items]]/Table178910111213235783456[[#This Row],[Oil +/- ]]</f>
        <v>0</v>
      </c>
      <c r="P66" s="38">
        <f t="shared" si="6"/>
        <v>0.89655172413793105</v>
      </c>
      <c r="S66" s="6">
        <f>'P10 - 10-04'!S66+'P10 - 10-11'!S66+'P10 - 10-18'!S66+'P10 - 10-25'!S66+'P10 - 11-01'!S66</f>
        <v>58</v>
      </c>
    </row>
    <row r="67" spans="1:19" ht="15">
      <c r="A67" s="30" t="s">
        <v>27</v>
      </c>
      <c r="B67" s="40">
        <v>870</v>
      </c>
      <c r="C67" s="31">
        <f>Table17891011121323578[[#This Row],[Lubricants/Oil +/-]]+Table178910111213235787[[#This Row],[Lubricants/Oil +/-]]+Table178910111213235783[[#This Row],[Lubricants/Oil +/-]]+Table1789101112132357834[[#This Row],[Lubricants/Oil +/-]]+Table17891011121323578345[[#This Row],[Lubricants/Oil +/-]]</f>
        <v>1280</v>
      </c>
      <c r="D67" s="32">
        <f>Table17891011121323578[[#This Row],[Oil +/- ]]+Table178910111213235787[[#This Row],[Oil +/- ]]+Table178910111213235783[[#This Row],[Oil +/- ]]+Table1789101112132357834[[#This Row],[Oil +/- ]]+Table17891011121323578345[[#This Row],[Oil +/- ]]</f>
        <v>1553</v>
      </c>
      <c r="E67" s="32">
        <f>Table17891011121323578[[#This Row],[Oil Filters +/-]]+Table178910111213235787[[#This Row],[Oil Filters +/-]]+Table178910111213235783[[#This Row],[Oil Filters +/-]]+Table1789101112132357834[[#This Row],[Oil Filters +/-]]+Table17891011121323578345[[#This Row],[Oil Filters +/-]]</f>
        <v>4</v>
      </c>
      <c r="F67" s="32">
        <f>Table17891011121323578[[#This Row],[Air Filters +/-]]+Table178910111213235787[[#This Row],[Air Filters +/-]]+Table178910111213235783[[#This Row],[Air Filters +/-]]+Table1789101112132357834[[#This Row],[Air Filters +/-]]+Table17891011121323578345[[#This Row],[Air Filters +/-]]</f>
        <v>21</v>
      </c>
      <c r="G67" s="32">
        <f>Table17891011121323578[[#This Row],[Wipers +/-]]+Table178910111213235787[[#This Row],[Wipers +/-]]+Table178910111213235783[[#This Row],[Wipers +/-]]+Table1789101112132357834[[#This Row],[Wipers +/-]]+Table17891011121323578345[[#This Row],[Wipers +/-]]</f>
        <v>28</v>
      </c>
      <c r="H67" s="32">
        <f>Table17891011121323578[[#This Row],[Cabins +/-]]+Table178910111213235787[[#This Row],[Cabins +/-]]+Table178910111213235783[[#This Row],[Cabins +/-]]+Table1789101112132357834[[#This Row],[Cabins +/-]]+Table17891011121323578345[[#This Row],[Cabins +/-]]</f>
        <v>-6</v>
      </c>
      <c r="I67" s="33">
        <f>Table17891011121323578[[#This Row],[Adjustment Variance]]+Table178910111213235787[[#This Row],[Adjustment Variance]]+Table178910111213235783[[#This Row],[Adjustment Variance]]+Table1789101112132357834[[#This Row],[Adjustment Variance]]+Table17891011121323578345[[#This Row],[Adjustment Variance]]</f>
        <v>3499.95</v>
      </c>
      <c r="J67" s="32">
        <f>Table17891011121323578[[#This Row],[On Time Counts]]+Table178910111213235787[[#This Row],[On Time Counts]]+Table178910111213235783[[#This Row],[On Time Counts]]+Table1789101112132357834[[#This Row],[On Time Counts]]+Table17891011121323578345[[#This Row],[On Time Counts]]</f>
        <v>39</v>
      </c>
      <c r="K67" s="34">
        <f>Table178910111213235783456[[#This Row],[On Time Counts]]/45</f>
        <v>0.8666666666666667</v>
      </c>
      <c r="L67" s="35">
        <v>2791.49</v>
      </c>
      <c r="M67" s="36">
        <f>Table178910111213235783456[[#This Row],[Wipers +/-]]/Table178910111213235783456[[#This Row],[Comp Sales]]</f>
        <v>1.0030485511321911E-2</v>
      </c>
      <c r="N67" s="39"/>
      <c r="O67" s="36">
        <f>Table178910111213235783456[[#This Row],[Big 4 Items]]/Table178910111213235783456[[#This Row],[Oil +/- ]]</f>
        <v>0</v>
      </c>
      <c r="P67" s="38">
        <f t="shared" si="6"/>
        <v>0.67241379310344829</v>
      </c>
      <c r="S67" s="6">
        <f>'P10 - 10-04'!S67+'P10 - 10-11'!S67+'P10 - 10-18'!S67+'P10 - 10-25'!S67+'P10 - 11-01'!S67</f>
        <v>58</v>
      </c>
    </row>
    <row r="68" spans="1:19" ht="15">
      <c r="A68" s="44" t="s">
        <v>27</v>
      </c>
      <c r="B68" s="45">
        <v>3004</v>
      </c>
      <c r="C68" s="31">
        <f>Table17891011121323578[[#This Row],[Lubricants/Oil +/-]]+Table178910111213235787[[#This Row],[Lubricants/Oil +/-]]+Table178910111213235783[[#This Row],[Lubricants/Oil +/-]]+Table1789101112132357834[[#This Row],[Lubricants/Oil +/-]]+Table17891011121323578345[[#This Row],[Lubricants/Oil +/-]]</f>
        <v>1127</v>
      </c>
      <c r="D68" s="32">
        <f>Table17891011121323578[[#This Row],[Oil +/- ]]+Table178910111213235787[[#This Row],[Oil +/- ]]+Table178910111213235783[[#This Row],[Oil +/- ]]+Table1789101112132357834[[#This Row],[Oil +/- ]]+Table17891011121323578345[[#This Row],[Oil +/- ]]</f>
        <v>1292</v>
      </c>
      <c r="E68" s="32">
        <f>Table17891011121323578[[#This Row],[Oil Filters +/-]]+Table178910111213235787[[#This Row],[Oil Filters +/-]]+Table178910111213235783[[#This Row],[Oil Filters +/-]]+Table1789101112132357834[[#This Row],[Oil Filters +/-]]+Table17891011121323578345[[#This Row],[Oil Filters +/-]]</f>
        <v>125</v>
      </c>
      <c r="F68" s="32">
        <f>Table17891011121323578[[#This Row],[Air Filters +/-]]+Table178910111213235787[[#This Row],[Air Filters +/-]]+Table178910111213235783[[#This Row],[Air Filters +/-]]+Table1789101112132357834[[#This Row],[Air Filters +/-]]+Table17891011121323578345[[#This Row],[Air Filters +/-]]</f>
        <v>18</v>
      </c>
      <c r="G68" s="32">
        <f>Table17891011121323578[[#This Row],[Wipers +/-]]+Table178910111213235787[[#This Row],[Wipers +/-]]+Table178910111213235783[[#This Row],[Wipers +/-]]+Table1789101112132357834[[#This Row],[Wipers +/-]]+Table17891011121323578345[[#This Row],[Wipers +/-]]</f>
        <v>-8</v>
      </c>
      <c r="H68" s="32">
        <f>Table17891011121323578[[#This Row],[Cabins +/-]]+Table178910111213235787[[#This Row],[Cabins +/-]]+Table178910111213235783[[#This Row],[Cabins +/-]]+Table1789101112132357834[[#This Row],[Cabins +/-]]+Table17891011121323578345[[#This Row],[Cabins +/-]]</f>
        <v>31</v>
      </c>
      <c r="I68" s="33">
        <f>Table17891011121323578[[#This Row],[Adjustment Variance]]+Table178910111213235787[[#This Row],[Adjustment Variance]]+Table178910111213235783[[#This Row],[Adjustment Variance]]+Table1789101112132357834[[#This Row],[Adjustment Variance]]+Table17891011121323578345[[#This Row],[Adjustment Variance]]</f>
        <v>6216.6</v>
      </c>
      <c r="J68" s="32">
        <f>Table17891011121323578[[#This Row],[On Time Counts]]+Table178910111213235787[[#This Row],[On Time Counts]]+Table178910111213235783[[#This Row],[On Time Counts]]+Table1789101112132357834[[#This Row],[On Time Counts]]+Table17891011121323578345[[#This Row],[On Time Counts]]</f>
        <v>31</v>
      </c>
      <c r="K68" s="46">
        <f>Table178910111213235783456[[#This Row],[On Time Counts]]/45</f>
        <v>0.68888888888888888</v>
      </c>
      <c r="L68" s="47"/>
      <c r="M68" s="41" t="e">
        <f>Table178910111213235783456[[#This Row],[Wipers +/-]]/Table178910111213235783456[[#This Row],[Comp Sales]]</f>
        <v>#DIV/0!</v>
      </c>
      <c r="N68" s="48"/>
      <c r="O68" s="41">
        <f>Table178910111213235783456[[#This Row],[Big 4 Items]]/Table178910111213235783456[[#This Row],[Oil +/- ]]</f>
        <v>0</v>
      </c>
      <c r="P68" s="38">
        <f t="shared" si="6"/>
        <v>0.53448275862068961</v>
      </c>
      <c r="S68" s="6">
        <f>'P10 - 10-04'!S68+'P10 - 10-11'!S68+'P10 - 10-18'!S68+'P10 - 10-25'!S68+'P10 - 11-01'!S68</f>
        <v>58</v>
      </c>
    </row>
    <row r="275" spans="1:2" hidden="1"/>
    <row r="276" spans="1:2" hidden="1"/>
    <row r="277" spans="1:2" hidden="1"/>
    <row r="278" spans="1:2" hidden="1"/>
    <row r="279" spans="1:2" hidden="1"/>
    <row r="280" spans="1:2" hidden="1"/>
    <row r="281" spans="1:2" hidden="1"/>
    <row r="282" spans="1:2" hidden="1"/>
    <row r="283" spans="1:2" hidden="1"/>
    <row r="284" spans="1:2" hidden="1"/>
    <row r="285" spans="1:2" hidden="1">
      <c r="A285" s="42">
        <v>0.01</v>
      </c>
      <c r="B285" s="42">
        <v>-0.01</v>
      </c>
    </row>
    <row r="286" spans="1:2" hidden="1">
      <c r="A286" s="43">
        <f>A285+1%</f>
        <v>0.02</v>
      </c>
      <c r="B286" s="42">
        <f>B285-1%</f>
        <v>-0.02</v>
      </c>
    </row>
    <row r="287" spans="1:2" hidden="1">
      <c r="A287" s="43">
        <f t="shared" ref="A287:A350" si="7">A286+1%</f>
        <v>0.03</v>
      </c>
      <c r="B287" s="42">
        <f t="shared" ref="B287:B350" si="8">B286-1%</f>
        <v>-0.03</v>
      </c>
    </row>
    <row r="288" spans="1:2" hidden="1">
      <c r="A288" s="43">
        <f t="shared" si="7"/>
        <v>0.04</v>
      </c>
      <c r="B288" s="42">
        <f t="shared" si="8"/>
        <v>-0.04</v>
      </c>
    </row>
    <row r="289" spans="1:2" hidden="1">
      <c r="A289" s="43">
        <f t="shared" si="7"/>
        <v>0.05</v>
      </c>
      <c r="B289" s="42">
        <f t="shared" si="8"/>
        <v>-0.05</v>
      </c>
    </row>
    <row r="290" spans="1:2" hidden="1">
      <c r="A290" s="43">
        <f t="shared" si="7"/>
        <v>6.0000000000000005E-2</v>
      </c>
      <c r="B290" s="42">
        <f t="shared" si="8"/>
        <v>-6.0000000000000005E-2</v>
      </c>
    </row>
    <row r="291" spans="1:2" hidden="1">
      <c r="A291" s="43">
        <f t="shared" si="7"/>
        <v>7.0000000000000007E-2</v>
      </c>
      <c r="B291" s="42">
        <f t="shared" si="8"/>
        <v>-7.0000000000000007E-2</v>
      </c>
    </row>
    <row r="292" spans="1:2" hidden="1">
      <c r="A292" s="43">
        <f t="shared" si="7"/>
        <v>0.08</v>
      </c>
      <c r="B292" s="42">
        <f t="shared" si="8"/>
        <v>-0.08</v>
      </c>
    </row>
    <row r="293" spans="1:2" hidden="1">
      <c r="A293" s="43">
        <f t="shared" si="7"/>
        <v>0.09</v>
      </c>
      <c r="B293" s="42">
        <f t="shared" si="8"/>
        <v>-0.09</v>
      </c>
    </row>
    <row r="294" spans="1:2" hidden="1">
      <c r="A294" s="43">
        <f t="shared" si="7"/>
        <v>9.9999999999999992E-2</v>
      </c>
      <c r="B294" s="42">
        <f t="shared" si="8"/>
        <v>-9.9999999999999992E-2</v>
      </c>
    </row>
    <row r="295" spans="1:2" hidden="1">
      <c r="A295" s="43">
        <f t="shared" si="7"/>
        <v>0.10999999999999999</v>
      </c>
      <c r="B295" s="42">
        <f t="shared" si="8"/>
        <v>-0.10999999999999999</v>
      </c>
    </row>
    <row r="296" spans="1:2" hidden="1">
      <c r="A296" s="43">
        <f t="shared" si="7"/>
        <v>0.11999999999999998</v>
      </c>
      <c r="B296" s="42">
        <f t="shared" si="8"/>
        <v>-0.11999999999999998</v>
      </c>
    </row>
    <row r="297" spans="1:2" hidden="1">
      <c r="A297" s="43">
        <f t="shared" si="7"/>
        <v>0.12999999999999998</v>
      </c>
      <c r="B297" s="42">
        <f t="shared" si="8"/>
        <v>-0.12999999999999998</v>
      </c>
    </row>
    <row r="298" spans="1:2" hidden="1">
      <c r="A298" s="43">
        <f t="shared" si="7"/>
        <v>0.13999999999999999</v>
      </c>
      <c r="B298" s="42">
        <f t="shared" si="8"/>
        <v>-0.13999999999999999</v>
      </c>
    </row>
    <row r="299" spans="1:2" hidden="1">
      <c r="A299" s="43">
        <f t="shared" si="7"/>
        <v>0.15</v>
      </c>
      <c r="B299" s="42">
        <f t="shared" si="8"/>
        <v>-0.15</v>
      </c>
    </row>
    <row r="300" spans="1:2" hidden="1">
      <c r="A300" s="43">
        <f t="shared" si="7"/>
        <v>0.16</v>
      </c>
      <c r="B300" s="42">
        <f t="shared" si="8"/>
        <v>-0.16</v>
      </c>
    </row>
    <row r="301" spans="1:2" hidden="1">
      <c r="A301" s="43">
        <f t="shared" si="7"/>
        <v>0.17</v>
      </c>
      <c r="B301" s="42">
        <f t="shared" si="8"/>
        <v>-0.17</v>
      </c>
    </row>
    <row r="302" spans="1:2" hidden="1">
      <c r="A302" s="43">
        <f t="shared" si="7"/>
        <v>0.18000000000000002</v>
      </c>
      <c r="B302" s="42">
        <f t="shared" si="8"/>
        <v>-0.18000000000000002</v>
      </c>
    </row>
    <row r="303" spans="1:2" hidden="1">
      <c r="A303" s="43">
        <f t="shared" si="7"/>
        <v>0.19000000000000003</v>
      </c>
      <c r="B303" s="42">
        <f t="shared" si="8"/>
        <v>-0.19000000000000003</v>
      </c>
    </row>
    <row r="304" spans="1:2" hidden="1">
      <c r="A304" s="43">
        <f t="shared" si="7"/>
        <v>0.20000000000000004</v>
      </c>
      <c r="B304" s="42">
        <f t="shared" si="8"/>
        <v>-0.20000000000000004</v>
      </c>
    </row>
    <row r="305" spans="1:2" hidden="1">
      <c r="A305" s="43">
        <f t="shared" si="7"/>
        <v>0.21000000000000005</v>
      </c>
      <c r="B305" s="42">
        <f t="shared" si="8"/>
        <v>-0.21000000000000005</v>
      </c>
    </row>
    <row r="306" spans="1:2" hidden="1">
      <c r="A306" s="43">
        <f t="shared" si="7"/>
        <v>0.22000000000000006</v>
      </c>
      <c r="B306" s="42">
        <f t="shared" si="8"/>
        <v>-0.22000000000000006</v>
      </c>
    </row>
    <row r="307" spans="1:2" hidden="1">
      <c r="A307" s="43">
        <f t="shared" si="7"/>
        <v>0.23000000000000007</v>
      </c>
      <c r="B307" s="42">
        <f t="shared" si="8"/>
        <v>-0.23000000000000007</v>
      </c>
    </row>
    <row r="308" spans="1:2" hidden="1">
      <c r="A308" s="43">
        <f t="shared" si="7"/>
        <v>0.24000000000000007</v>
      </c>
      <c r="B308" s="42">
        <f t="shared" si="8"/>
        <v>-0.24000000000000007</v>
      </c>
    </row>
    <row r="309" spans="1:2" hidden="1">
      <c r="A309" s="43">
        <f t="shared" si="7"/>
        <v>0.25000000000000006</v>
      </c>
      <c r="B309" s="42">
        <f t="shared" si="8"/>
        <v>-0.25000000000000006</v>
      </c>
    </row>
    <row r="310" spans="1:2" hidden="1">
      <c r="A310" s="43">
        <f t="shared" si="7"/>
        <v>0.26000000000000006</v>
      </c>
      <c r="B310" s="42">
        <f t="shared" si="8"/>
        <v>-0.26000000000000006</v>
      </c>
    </row>
    <row r="311" spans="1:2" hidden="1">
      <c r="A311" s="43">
        <f t="shared" si="7"/>
        <v>0.27000000000000007</v>
      </c>
      <c r="B311" s="42">
        <f t="shared" si="8"/>
        <v>-0.27000000000000007</v>
      </c>
    </row>
    <row r="312" spans="1:2" hidden="1">
      <c r="A312" s="43">
        <f t="shared" si="7"/>
        <v>0.28000000000000008</v>
      </c>
      <c r="B312" s="42">
        <f t="shared" si="8"/>
        <v>-0.28000000000000008</v>
      </c>
    </row>
    <row r="313" spans="1:2" hidden="1">
      <c r="A313" s="43">
        <f t="shared" si="7"/>
        <v>0.29000000000000009</v>
      </c>
      <c r="B313" s="42">
        <f t="shared" si="8"/>
        <v>-0.29000000000000009</v>
      </c>
    </row>
    <row r="314" spans="1:2" hidden="1">
      <c r="A314" s="43">
        <f t="shared" si="7"/>
        <v>0.3000000000000001</v>
      </c>
      <c r="B314" s="42">
        <f t="shared" si="8"/>
        <v>-0.3000000000000001</v>
      </c>
    </row>
    <row r="315" spans="1:2" hidden="1">
      <c r="A315" s="43">
        <f t="shared" si="7"/>
        <v>0.31000000000000011</v>
      </c>
      <c r="B315" s="42">
        <f t="shared" si="8"/>
        <v>-0.31000000000000011</v>
      </c>
    </row>
    <row r="316" spans="1:2" hidden="1">
      <c r="A316" s="43">
        <f t="shared" si="7"/>
        <v>0.32000000000000012</v>
      </c>
      <c r="B316" s="42">
        <f t="shared" si="8"/>
        <v>-0.32000000000000012</v>
      </c>
    </row>
    <row r="317" spans="1:2" hidden="1">
      <c r="A317" s="43">
        <f t="shared" si="7"/>
        <v>0.33000000000000013</v>
      </c>
      <c r="B317" s="42">
        <f t="shared" si="8"/>
        <v>-0.33000000000000013</v>
      </c>
    </row>
    <row r="318" spans="1:2" hidden="1">
      <c r="A318" s="43">
        <f t="shared" si="7"/>
        <v>0.34000000000000014</v>
      </c>
      <c r="B318" s="42">
        <f t="shared" si="8"/>
        <v>-0.34000000000000014</v>
      </c>
    </row>
    <row r="319" spans="1:2" hidden="1">
      <c r="A319" s="43">
        <f t="shared" si="7"/>
        <v>0.35000000000000014</v>
      </c>
      <c r="B319" s="42">
        <f t="shared" si="8"/>
        <v>-0.35000000000000014</v>
      </c>
    </row>
    <row r="320" spans="1:2" hidden="1">
      <c r="A320" s="43">
        <f t="shared" si="7"/>
        <v>0.36000000000000015</v>
      </c>
      <c r="B320" s="42">
        <f t="shared" si="8"/>
        <v>-0.36000000000000015</v>
      </c>
    </row>
    <row r="321" spans="1:2" hidden="1">
      <c r="A321" s="43">
        <f t="shared" si="7"/>
        <v>0.37000000000000016</v>
      </c>
      <c r="B321" s="42">
        <f t="shared" si="8"/>
        <v>-0.37000000000000016</v>
      </c>
    </row>
    <row r="322" spans="1:2" hidden="1">
      <c r="A322" s="43">
        <f t="shared" si="7"/>
        <v>0.38000000000000017</v>
      </c>
      <c r="B322" s="42">
        <f t="shared" si="8"/>
        <v>-0.38000000000000017</v>
      </c>
    </row>
    <row r="323" spans="1:2" hidden="1">
      <c r="A323" s="43">
        <f t="shared" si="7"/>
        <v>0.39000000000000018</v>
      </c>
      <c r="B323" s="42">
        <f t="shared" si="8"/>
        <v>-0.39000000000000018</v>
      </c>
    </row>
    <row r="324" spans="1:2" hidden="1">
      <c r="A324" s="43">
        <f t="shared" si="7"/>
        <v>0.40000000000000019</v>
      </c>
      <c r="B324" s="42">
        <f t="shared" si="8"/>
        <v>-0.40000000000000019</v>
      </c>
    </row>
    <row r="325" spans="1:2" hidden="1">
      <c r="A325" s="43">
        <f t="shared" si="7"/>
        <v>0.4100000000000002</v>
      </c>
      <c r="B325" s="42">
        <f t="shared" si="8"/>
        <v>-0.4100000000000002</v>
      </c>
    </row>
    <row r="326" spans="1:2" hidden="1">
      <c r="A326" s="43">
        <f t="shared" si="7"/>
        <v>0.42000000000000021</v>
      </c>
      <c r="B326" s="42">
        <f t="shared" si="8"/>
        <v>-0.42000000000000021</v>
      </c>
    </row>
    <row r="327" spans="1:2" hidden="1">
      <c r="A327" s="43">
        <f t="shared" si="7"/>
        <v>0.43000000000000022</v>
      </c>
      <c r="B327" s="42">
        <f t="shared" si="8"/>
        <v>-0.43000000000000022</v>
      </c>
    </row>
    <row r="328" spans="1:2" hidden="1">
      <c r="A328" s="43">
        <f t="shared" si="7"/>
        <v>0.44000000000000022</v>
      </c>
      <c r="B328" s="42">
        <f t="shared" si="8"/>
        <v>-0.44000000000000022</v>
      </c>
    </row>
    <row r="329" spans="1:2" hidden="1">
      <c r="A329" s="43">
        <f t="shared" si="7"/>
        <v>0.45000000000000023</v>
      </c>
      <c r="B329" s="42">
        <f t="shared" si="8"/>
        <v>-0.45000000000000023</v>
      </c>
    </row>
    <row r="330" spans="1:2" hidden="1">
      <c r="A330" s="43">
        <f t="shared" si="7"/>
        <v>0.46000000000000024</v>
      </c>
      <c r="B330" s="42">
        <f t="shared" si="8"/>
        <v>-0.46000000000000024</v>
      </c>
    </row>
    <row r="331" spans="1:2" hidden="1">
      <c r="A331" s="43">
        <f t="shared" si="7"/>
        <v>0.47000000000000025</v>
      </c>
      <c r="B331" s="42">
        <f t="shared" si="8"/>
        <v>-0.47000000000000025</v>
      </c>
    </row>
    <row r="332" spans="1:2" hidden="1">
      <c r="A332" s="43">
        <f t="shared" si="7"/>
        <v>0.48000000000000026</v>
      </c>
      <c r="B332" s="42">
        <f t="shared" si="8"/>
        <v>-0.48000000000000026</v>
      </c>
    </row>
    <row r="333" spans="1:2" hidden="1">
      <c r="A333" s="43">
        <f t="shared" si="7"/>
        <v>0.49000000000000027</v>
      </c>
      <c r="B333" s="42">
        <f t="shared" si="8"/>
        <v>-0.49000000000000027</v>
      </c>
    </row>
    <row r="334" spans="1:2" hidden="1">
      <c r="A334" s="43">
        <f t="shared" si="7"/>
        <v>0.50000000000000022</v>
      </c>
      <c r="B334" s="42">
        <f t="shared" si="8"/>
        <v>-0.50000000000000022</v>
      </c>
    </row>
    <row r="335" spans="1:2" hidden="1">
      <c r="A335" s="43">
        <f t="shared" si="7"/>
        <v>0.51000000000000023</v>
      </c>
      <c r="B335" s="42">
        <f t="shared" si="8"/>
        <v>-0.51000000000000023</v>
      </c>
    </row>
    <row r="336" spans="1:2" hidden="1">
      <c r="A336" s="43">
        <f t="shared" si="7"/>
        <v>0.52000000000000024</v>
      </c>
      <c r="B336" s="42">
        <f t="shared" si="8"/>
        <v>-0.52000000000000024</v>
      </c>
    </row>
    <row r="337" spans="1:2" hidden="1">
      <c r="A337" s="43">
        <f t="shared" si="7"/>
        <v>0.53000000000000025</v>
      </c>
      <c r="B337" s="42">
        <f t="shared" si="8"/>
        <v>-0.53000000000000025</v>
      </c>
    </row>
    <row r="338" spans="1:2" hidden="1">
      <c r="A338" s="43">
        <f t="shared" si="7"/>
        <v>0.54000000000000026</v>
      </c>
      <c r="B338" s="42">
        <f t="shared" si="8"/>
        <v>-0.54000000000000026</v>
      </c>
    </row>
    <row r="339" spans="1:2" hidden="1">
      <c r="A339" s="43">
        <f t="shared" si="7"/>
        <v>0.55000000000000027</v>
      </c>
      <c r="B339" s="42">
        <f t="shared" si="8"/>
        <v>-0.55000000000000027</v>
      </c>
    </row>
    <row r="340" spans="1:2" hidden="1">
      <c r="A340" s="43">
        <f t="shared" si="7"/>
        <v>0.56000000000000028</v>
      </c>
      <c r="B340" s="42">
        <f t="shared" si="8"/>
        <v>-0.56000000000000028</v>
      </c>
    </row>
    <row r="341" spans="1:2" hidden="1">
      <c r="A341" s="43">
        <f t="shared" si="7"/>
        <v>0.57000000000000028</v>
      </c>
      <c r="B341" s="42">
        <f t="shared" si="8"/>
        <v>-0.57000000000000028</v>
      </c>
    </row>
    <row r="342" spans="1:2" hidden="1">
      <c r="A342" s="43">
        <f t="shared" si="7"/>
        <v>0.58000000000000029</v>
      </c>
      <c r="B342" s="42">
        <f t="shared" si="8"/>
        <v>-0.58000000000000029</v>
      </c>
    </row>
    <row r="343" spans="1:2" hidden="1">
      <c r="A343" s="43">
        <f t="shared" si="7"/>
        <v>0.5900000000000003</v>
      </c>
      <c r="B343" s="42">
        <f t="shared" si="8"/>
        <v>-0.5900000000000003</v>
      </c>
    </row>
    <row r="344" spans="1:2" hidden="1">
      <c r="A344" s="43">
        <f t="shared" si="7"/>
        <v>0.60000000000000031</v>
      </c>
      <c r="B344" s="42">
        <f t="shared" si="8"/>
        <v>-0.60000000000000031</v>
      </c>
    </row>
    <row r="345" spans="1:2" hidden="1">
      <c r="A345" s="43">
        <f t="shared" si="7"/>
        <v>0.61000000000000032</v>
      </c>
      <c r="B345" s="42">
        <f t="shared" si="8"/>
        <v>-0.61000000000000032</v>
      </c>
    </row>
    <row r="346" spans="1:2" hidden="1">
      <c r="A346" s="43">
        <f t="shared" si="7"/>
        <v>0.62000000000000033</v>
      </c>
      <c r="B346" s="42">
        <f t="shared" si="8"/>
        <v>-0.62000000000000033</v>
      </c>
    </row>
    <row r="347" spans="1:2" hidden="1">
      <c r="A347" s="43">
        <f t="shared" si="7"/>
        <v>0.63000000000000034</v>
      </c>
      <c r="B347" s="42">
        <f t="shared" si="8"/>
        <v>-0.63000000000000034</v>
      </c>
    </row>
    <row r="348" spans="1:2" hidden="1">
      <c r="A348" s="43">
        <f t="shared" si="7"/>
        <v>0.64000000000000035</v>
      </c>
      <c r="B348" s="42">
        <f t="shared" si="8"/>
        <v>-0.64000000000000035</v>
      </c>
    </row>
    <row r="349" spans="1:2" hidden="1">
      <c r="A349" s="43">
        <f t="shared" si="7"/>
        <v>0.65000000000000036</v>
      </c>
      <c r="B349" s="42">
        <f t="shared" si="8"/>
        <v>-0.65000000000000036</v>
      </c>
    </row>
    <row r="350" spans="1:2" hidden="1">
      <c r="A350" s="43">
        <f t="shared" si="7"/>
        <v>0.66000000000000036</v>
      </c>
      <c r="B350" s="42">
        <f t="shared" si="8"/>
        <v>-0.66000000000000036</v>
      </c>
    </row>
    <row r="351" spans="1:2" hidden="1">
      <c r="A351" s="43">
        <f t="shared" ref="A351:A384" si="9">A350+1%</f>
        <v>0.67000000000000037</v>
      </c>
      <c r="B351" s="42">
        <f t="shared" ref="B351:B384" si="10">B350-1%</f>
        <v>-0.67000000000000037</v>
      </c>
    </row>
    <row r="352" spans="1:2" hidden="1">
      <c r="A352" s="43">
        <f t="shared" si="9"/>
        <v>0.68000000000000038</v>
      </c>
      <c r="B352" s="42">
        <f t="shared" si="10"/>
        <v>-0.68000000000000038</v>
      </c>
    </row>
    <row r="353" spans="1:2" hidden="1">
      <c r="A353" s="43">
        <f t="shared" si="9"/>
        <v>0.69000000000000039</v>
      </c>
      <c r="B353" s="42">
        <f t="shared" si="10"/>
        <v>-0.69000000000000039</v>
      </c>
    </row>
    <row r="354" spans="1:2" hidden="1">
      <c r="A354" s="43">
        <f t="shared" si="9"/>
        <v>0.7000000000000004</v>
      </c>
      <c r="B354" s="42">
        <f t="shared" si="10"/>
        <v>-0.7000000000000004</v>
      </c>
    </row>
    <row r="355" spans="1:2" hidden="1">
      <c r="A355" s="43">
        <f t="shared" si="9"/>
        <v>0.71000000000000041</v>
      </c>
      <c r="B355" s="42">
        <f t="shared" si="10"/>
        <v>-0.71000000000000041</v>
      </c>
    </row>
    <row r="356" spans="1:2" hidden="1">
      <c r="A356" s="43">
        <f t="shared" si="9"/>
        <v>0.72000000000000042</v>
      </c>
      <c r="B356" s="42">
        <f t="shared" si="10"/>
        <v>-0.72000000000000042</v>
      </c>
    </row>
    <row r="357" spans="1:2" hidden="1">
      <c r="A357" s="43">
        <f t="shared" si="9"/>
        <v>0.73000000000000043</v>
      </c>
      <c r="B357" s="42">
        <f t="shared" si="10"/>
        <v>-0.73000000000000043</v>
      </c>
    </row>
    <row r="358" spans="1:2" hidden="1">
      <c r="A358" s="43">
        <f t="shared" si="9"/>
        <v>0.74000000000000044</v>
      </c>
      <c r="B358" s="42">
        <f t="shared" si="10"/>
        <v>-0.74000000000000044</v>
      </c>
    </row>
    <row r="359" spans="1:2" hidden="1">
      <c r="A359" s="43">
        <f t="shared" si="9"/>
        <v>0.75000000000000044</v>
      </c>
      <c r="B359" s="42">
        <f t="shared" si="10"/>
        <v>-0.75000000000000044</v>
      </c>
    </row>
    <row r="360" spans="1:2" hidden="1">
      <c r="A360" s="43">
        <f t="shared" si="9"/>
        <v>0.76000000000000045</v>
      </c>
      <c r="B360" s="42">
        <f t="shared" si="10"/>
        <v>-0.76000000000000045</v>
      </c>
    </row>
    <row r="361" spans="1:2" hidden="1">
      <c r="A361" s="43">
        <f t="shared" si="9"/>
        <v>0.77000000000000046</v>
      </c>
      <c r="B361" s="42">
        <f t="shared" si="10"/>
        <v>-0.77000000000000046</v>
      </c>
    </row>
    <row r="362" spans="1:2" hidden="1">
      <c r="A362" s="43">
        <f t="shared" si="9"/>
        <v>0.78000000000000047</v>
      </c>
      <c r="B362" s="42">
        <f t="shared" si="10"/>
        <v>-0.78000000000000047</v>
      </c>
    </row>
    <row r="363" spans="1:2" hidden="1">
      <c r="A363" s="43">
        <f t="shared" si="9"/>
        <v>0.79000000000000048</v>
      </c>
      <c r="B363" s="42">
        <f t="shared" si="10"/>
        <v>-0.79000000000000048</v>
      </c>
    </row>
    <row r="364" spans="1:2" hidden="1">
      <c r="A364" s="43">
        <f t="shared" si="9"/>
        <v>0.80000000000000049</v>
      </c>
      <c r="B364" s="42">
        <f t="shared" si="10"/>
        <v>-0.80000000000000049</v>
      </c>
    </row>
    <row r="365" spans="1:2" hidden="1">
      <c r="A365" s="43">
        <f t="shared" si="9"/>
        <v>0.8100000000000005</v>
      </c>
      <c r="B365" s="42">
        <f t="shared" si="10"/>
        <v>-0.8100000000000005</v>
      </c>
    </row>
    <row r="366" spans="1:2" hidden="1">
      <c r="A366" s="43">
        <f t="shared" si="9"/>
        <v>0.82000000000000051</v>
      </c>
      <c r="B366" s="42">
        <f t="shared" si="10"/>
        <v>-0.82000000000000051</v>
      </c>
    </row>
    <row r="367" spans="1:2" hidden="1">
      <c r="A367" s="43">
        <f t="shared" si="9"/>
        <v>0.83000000000000052</v>
      </c>
      <c r="B367" s="42">
        <f t="shared" si="10"/>
        <v>-0.83000000000000052</v>
      </c>
    </row>
    <row r="368" spans="1:2" hidden="1">
      <c r="A368" s="43">
        <f t="shared" si="9"/>
        <v>0.84000000000000052</v>
      </c>
      <c r="B368" s="42">
        <f t="shared" si="10"/>
        <v>-0.84000000000000052</v>
      </c>
    </row>
    <row r="369" spans="1:2" hidden="1">
      <c r="A369" s="43">
        <f t="shared" si="9"/>
        <v>0.85000000000000053</v>
      </c>
      <c r="B369" s="42">
        <f t="shared" si="10"/>
        <v>-0.85000000000000053</v>
      </c>
    </row>
    <row r="370" spans="1:2" hidden="1">
      <c r="A370" s="43">
        <f t="shared" si="9"/>
        <v>0.86000000000000054</v>
      </c>
      <c r="B370" s="42">
        <f t="shared" si="10"/>
        <v>-0.86000000000000054</v>
      </c>
    </row>
    <row r="371" spans="1:2" hidden="1">
      <c r="A371" s="43">
        <f t="shared" si="9"/>
        <v>0.87000000000000055</v>
      </c>
      <c r="B371" s="42">
        <f t="shared" si="10"/>
        <v>-0.87000000000000055</v>
      </c>
    </row>
    <row r="372" spans="1:2" hidden="1">
      <c r="A372" s="43">
        <f t="shared" si="9"/>
        <v>0.88000000000000056</v>
      </c>
      <c r="B372" s="42">
        <f t="shared" si="10"/>
        <v>-0.88000000000000056</v>
      </c>
    </row>
    <row r="373" spans="1:2" hidden="1">
      <c r="A373" s="43">
        <f t="shared" si="9"/>
        <v>0.89000000000000057</v>
      </c>
      <c r="B373" s="42">
        <f t="shared" si="10"/>
        <v>-0.89000000000000057</v>
      </c>
    </row>
    <row r="374" spans="1:2" hidden="1">
      <c r="A374" s="43">
        <f t="shared" si="9"/>
        <v>0.90000000000000058</v>
      </c>
      <c r="B374" s="42">
        <f t="shared" si="10"/>
        <v>-0.90000000000000058</v>
      </c>
    </row>
    <row r="375" spans="1:2">
      <c r="A375" s="43">
        <f t="shared" si="9"/>
        <v>0.91000000000000059</v>
      </c>
      <c r="B375" s="42">
        <f t="shared" si="10"/>
        <v>-0.91000000000000059</v>
      </c>
    </row>
    <row r="376" spans="1:2">
      <c r="A376" s="43">
        <f t="shared" si="9"/>
        <v>0.9200000000000006</v>
      </c>
      <c r="B376" s="42">
        <f t="shared" si="10"/>
        <v>-0.9200000000000006</v>
      </c>
    </row>
    <row r="377" spans="1:2">
      <c r="A377" s="43">
        <f t="shared" si="9"/>
        <v>0.9300000000000006</v>
      </c>
      <c r="B377" s="42">
        <f t="shared" si="10"/>
        <v>-0.9300000000000006</v>
      </c>
    </row>
    <row r="378" spans="1:2">
      <c r="A378" s="43">
        <f t="shared" si="9"/>
        <v>0.94000000000000061</v>
      </c>
      <c r="B378" s="42">
        <f t="shared" si="10"/>
        <v>-0.94000000000000061</v>
      </c>
    </row>
    <row r="379" spans="1:2">
      <c r="A379" s="43">
        <f t="shared" si="9"/>
        <v>0.95000000000000062</v>
      </c>
      <c r="B379" s="42">
        <f t="shared" si="10"/>
        <v>-0.95000000000000062</v>
      </c>
    </row>
    <row r="380" spans="1:2">
      <c r="A380" s="43">
        <f t="shared" si="9"/>
        <v>0.96000000000000063</v>
      </c>
      <c r="B380" s="42">
        <f t="shared" si="10"/>
        <v>-0.96000000000000063</v>
      </c>
    </row>
    <row r="381" spans="1:2">
      <c r="A381" s="43">
        <f t="shared" si="9"/>
        <v>0.97000000000000064</v>
      </c>
      <c r="B381" s="42">
        <f t="shared" si="10"/>
        <v>-0.97000000000000064</v>
      </c>
    </row>
    <row r="382" spans="1:2">
      <c r="A382" s="43">
        <f t="shared" si="9"/>
        <v>0.98000000000000065</v>
      </c>
      <c r="B382" s="42">
        <f t="shared" si="10"/>
        <v>-0.98000000000000065</v>
      </c>
    </row>
    <row r="383" spans="1:2">
      <c r="A383" s="43">
        <f t="shared" si="9"/>
        <v>0.99000000000000066</v>
      </c>
      <c r="B383" s="42">
        <f t="shared" si="10"/>
        <v>-0.99000000000000066</v>
      </c>
    </row>
    <row r="384" spans="1:2">
      <c r="A384" s="43">
        <f t="shared" si="9"/>
        <v>1.0000000000000007</v>
      </c>
      <c r="B384" s="42">
        <f t="shared" si="10"/>
        <v>-1.0000000000000007</v>
      </c>
    </row>
  </sheetData>
  <sheetProtection selectLockedCells="1" autoFilter="0" pivotTables="0"/>
  <conditionalFormatting sqref="A68 A169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85:A384 J9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85:B384 M9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85:B384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2:J68">
    <cfRule type="containsBlanks" dxfId="29" priority="10">
      <formula>LEN(TRIM(C12))=0</formula>
    </cfRule>
  </conditionalFormatting>
  <conditionalFormatting sqref="D12:H68">
    <cfRule type="cellIs" dxfId="28" priority="8" operator="lessThan">
      <formula>-200</formula>
    </cfRule>
    <cfRule type="cellIs" dxfId="27" priority="9" operator="greaterThan">
      <formula>200</formula>
    </cfRule>
  </conditionalFormatting>
  <conditionalFormatting sqref="E12:G68">
    <cfRule type="cellIs" dxfId="26" priority="6" operator="lessThan">
      <formula>-6</formula>
    </cfRule>
    <cfRule type="cellIs" dxfId="25" priority="7" operator="greaterThan">
      <formula>6</formula>
    </cfRule>
  </conditionalFormatting>
  <conditionalFormatting sqref="H12:H68">
    <cfRule type="cellIs" dxfId="24" priority="4" operator="lessThan">
      <formula>-3</formula>
    </cfRule>
    <cfRule type="cellIs" dxfId="23" priority="5" operator="greaterThan">
      <formula>3</formula>
    </cfRule>
  </conditionalFormatting>
  <conditionalFormatting sqref="I12:I68">
    <cfRule type="cellIs" dxfId="22" priority="2" operator="lessThan">
      <formula>-1000</formula>
    </cfRule>
    <cfRule type="cellIs" dxfId="21" priority="3" operator="greaterThan">
      <formula>1000</formula>
    </cfRule>
  </conditionalFormatting>
  <conditionalFormatting sqref="J2:J8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:M8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:N9">
    <cfRule type="cellIs" dxfId="20" priority="24" operator="lessThan">
      <formula>0.516</formula>
    </cfRule>
    <cfRule type="cellIs" dxfId="19" priority="25" operator="greaterThan">
      <formula>0.516</formula>
    </cfRule>
  </conditionalFormatting>
  <conditionalFormatting sqref="O2:O9">
    <cfRule type="cellIs" dxfId="18" priority="22" operator="lessThan">
      <formula>0.0659</formula>
    </cfRule>
    <cfRule type="cellIs" dxfId="17" priority="23" operator="greaterThan">
      <formula>0.0659</formula>
    </cfRule>
  </conditionalFormatting>
  <conditionalFormatting sqref="P12:P6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89BC15E273FE4EB5DA9106A124D2D0" ma:contentTypeVersion="15" ma:contentTypeDescription="Create a new document." ma:contentTypeScope="" ma:versionID="cdaa0117229aea1d586186a86d377102">
  <xsd:schema xmlns:xsd="http://www.w3.org/2001/XMLSchema" xmlns:xs="http://www.w3.org/2001/XMLSchema" xmlns:p="http://schemas.microsoft.com/office/2006/metadata/properties" xmlns:ns2="ea541c21-14ef-4a2f-89c1-bcd7a9e2deea" xmlns:ns3="d6fe49bd-2a5b-4aa6-84bb-fdc543c2c21f" targetNamespace="http://schemas.microsoft.com/office/2006/metadata/properties" ma:root="true" ma:fieldsID="dbe4473e95c7f78469cfacd32bceb8eb" ns2:_="" ns3:_="">
    <xsd:import namespace="ea541c21-14ef-4a2f-89c1-bcd7a9e2deea"/>
    <xsd:import namespace="d6fe49bd-2a5b-4aa6-84bb-fdc543c2c21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541c21-14ef-4a2f-89c1-bcd7a9e2de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b9fc7b1-ac6c-4cf4-a8dd-2f137b6936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fe49bd-2a5b-4aa6-84bb-fdc543c2c21f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a541c21-14ef-4a2f-89c1-bcd7a9e2dee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445DED0-AF55-4232-97B1-73CDC00EF165}"/>
</file>

<file path=customXml/itemProps2.xml><?xml version="1.0" encoding="utf-8"?>
<ds:datastoreItem xmlns:ds="http://schemas.openxmlformats.org/officeDocument/2006/customXml" ds:itemID="{ADB02ADB-36A1-458F-97D5-8BF0A653564E}"/>
</file>

<file path=customXml/itemProps3.xml><?xml version="1.0" encoding="utf-8"?>
<ds:datastoreItem xmlns:ds="http://schemas.openxmlformats.org/officeDocument/2006/customXml" ds:itemID="{78EF4B4E-90A5-4892-8377-EF60F27DF79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James Cranch</dc:creator>
  <cp:keywords/>
  <dc:description/>
  <cp:lastModifiedBy>James Cranch</cp:lastModifiedBy>
  <cp:revision/>
  <dcterms:created xsi:type="dcterms:W3CDTF">2025-03-17T13:20:31Z</dcterms:created>
  <dcterms:modified xsi:type="dcterms:W3CDTF">2025-11-24T21:14:54Z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0x0101007489BC15E273FE4EB5DA9106A124D2D0</vt:lpwstr>
  </property>
  <property fmtid="{D5CDD505-2E9C-101B-9397-08002B2CF9AE}" pid="3" name="MediaServiceImageTags">
    <vt:lpwstr/>
  </property>
</Properties>
</file>