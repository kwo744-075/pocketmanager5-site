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drawings/drawing6.xml" ContentType="application/vnd.openxmlformats-officedocument.drawing+xml"/>
  <Override PartName="/xl/tables/table6.xml" ContentType="application/vnd.openxmlformats-officedocument.spreadsheetml.table+xml"/>
  <Override PartName="/xl/slicers/slicer6.xml" ContentType="application/vnd.ms-excel.slicer+xml"/>
  <Override PartName="/xl/drawings/drawing7.xml" ContentType="application/vnd.openxmlformats-officedocument.drawing+xml"/>
  <Override PartName="/xl/tables/table7.xml" ContentType="application/vnd.openxmlformats-officedocument.spreadsheetml.table+xml"/>
  <Override PartName="/xl/slicers/slicer7.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radx365-my.sharepoint.com/personal/58775_drivenbrands_com/Documents/Documents/Copies/"/>
    </mc:Choice>
  </mc:AlternateContent>
  <xr:revisionPtr revIDLastSave="1968" documentId="8_{87BAC417-B90E-4FDA-B927-AA2B3F95B6F0}" xr6:coauthVersionLast="47" xr6:coauthVersionMax="47" xr10:uidLastSave="{AABEBC8B-3561-4BFE-8309-D994366C25B9}"/>
  <bookViews>
    <workbookView xWindow="28680" yWindow="-120" windowWidth="29040" windowHeight="15720" firstSheet="5" activeTab="7" xr2:uid="{00000000-000D-0000-FFFF-FFFF00000000}"/>
  </bookViews>
  <sheets>
    <sheet name="Sunday" sheetId="1" r:id="rId1"/>
    <sheet name="Monday" sheetId="2" r:id="rId2"/>
    <sheet name="Tuesday" sheetId="13" r:id="rId3"/>
    <sheet name="Wednesday" sheetId="19" r:id="rId4"/>
    <sheet name="Thursday" sheetId="20" r:id="rId5"/>
    <sheet name="Friday" sheetId="22" r:id="rId6"/>
    <sheet name="Saturday" sheetId="21" r:id="rId7"/>
    <sheet name="WTD" sheetId="18" r:id="rId8"/>
  </sheets>
  <definedNames>
    <definedName name="_xlnm._FilterDatabase" localSheetId="7" hidden="1">WTD!$B$2:$B$69</definedName>
    <definedName name="Slicer_District">#N/A</definedName>
    <definedName name="Slicer_District1">#N/A</definedName>
    <definedName name="Slicer_District11">#N/A</definedName>
    <definedName name="Slicer_District2">#N/A</definedName>
    <definedName name="Slicer_District3">#N/A</definedName>
    <definedName name="Slicer_District4">#N/A</definedName>
    <definedName name="Slicer_District5">#N/A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1" i="18" l="1"/>
  <c r="I61" i="18"/>
  <c r="H61" i="18"/>
  <c r="G61" i="18"/>
  <c r="F61" i="18"/>
  <c r="E61" i="18"/>
  <c r="D61" i="18"/>
  <c r="K61" i="18" s="1"/>
  <c r="J21" i="18"/>
  <c r="I21" i="18"/>
  <c r="H21" i="18"/>
  <c r="G21" i="18"/>
  <c r="F21" i="18"/>
  <c r="E21" i="18"/>
  <c r="J20" i="18"/>
  <c r="I20" i="18"/>
  <c r="H20" i="18"/>
  <c r="G20" i="18"/>
  <c r="F20" i="18"/>
  <c r="E20" i="18"/>
  <c r="D21" i="18"/>
  <c r="K21" i="18" s="1"/>
  <c r="D20" i="18"/>
  <c r="K20" i="18" s="1"/>
  <c r="I8" i="21"/>
  <c r="F8" i="21"/>
  <c r="I3" i="21"/>
  <c r="F3" i="21"/>
  <c r="I61" i="21"/>
  <c r="J61" i="21" a="1"/>
  <c r="J61" i="21"/>
  <c r="L61" i="21"/>
  <c r="I20" i="21"/>
  <c r="J20" i="21" a="1"/>
  <c r="J20" i="21"/>
  <c r="L20" i="21"/>
  <c r="I21" i="21"/>
  <c r="J21" i="21" a="1"/>
  <c r="J21" i="21"/>
  <c r="L21" i="21"/>
  <c r="I8" i="22"/>
  <c r="F8" i="22"/>
  <c r="I3" i="22"/>
  <c r="F3" i="22"/>
  <c r="I61" i="22"/>
  <c r="J61" i="22" a="1"/>
  <c r="J61" i="22"/>
  <c r="L61" i="22"/>
  <c r="I20" i="22"/>
  <c r="J20" i="22" a="1"/>
  <c r="J20" i="22"/>
  <c r="L20" i="22"/>
  <c r="I21" i="22"/>
  <c r="J21" i="22" a="1"/>
  <c r="J21" i="22"/>
  <c r="L21" i="22"/>
  <c r="I8" i="20"/>
  <c r="F8" i="20"/>
  <c r="I3" i="20"/>
  <c r="F3" i="20"/>
  <c r="I61" i="20"/>
  <c r="J61" i="20" a="1"/>
  <c r="J61" i="20"/>
  <c r="L61" i="20"/>
  <c r="I20" i="20"/>
  <c r="J20" i="20" a="1"/>
  <c r="J20" i="20"/>
  <c r="L20" i="20"/>
  <c r="I21" i="20"/>
  <c r="J21" i="20" a="1"/>
  <c r="J21" i="20"/>
  <c r="L21" i="20"/>
  <c r="I8" i="19"/>
  <c r="F8" i="19"/>
  <c r="I3" i="19"/>
  <c r="F3" i="19"/>
  <c r="I61" i="19"/>
  <c r="J61" i="19" a="1"/>
  <c r="J61" i="19"/>
  <c r="L61" i="19"/>
  <c r="I20" i="19"/>
  <c r="J20" i="19" a="1"/>
  <c r="J20" i="19"/>
  <c r="L20" i="19"/>
  <c r="I21" i="19"/>
  <c r="J21" i="19" a="1"/>
  <c r="J21" i="19"/>
  <c r="L21" i="19"/>
  <c r="I8" i="13"/>
  <c r="F8" i="13"/>
  <c r="I3" i="13"/>
  <c r="F3" i="13"/>
  <c r="I61" i="13"/>
  <c r="J61" i="13" a="1"/>
  <c r="J61" i="13"/>
  <c r="L61" i="13"/>
  <c r="I20" i="13"/>
  <c r="J20" i="13" a="1"/>
  <c r="J20" i="13"/>
  <c r="L20" i="13"/>
  <c r="I21" i="13"/>
  <c r="J21" i="13" a="1"/>
  <c r="J21" i="13"/>
  <c r="L21" i="13"/>
  <c r="I8" i="2"/>
  <c r="F8" i="2"/>
  <c r="I3" i="2"/>
  <c r="F3" i="2"/>
  <c r="I61" i="2"/>
  <c r="J61" i="2" a="1"/>
  <c r="J61" i="2"/>
  <c r="L61" i="2"/>
  <c r="I20" i="2"/>
  <c r="J20" i="2" a="1"/>
  <c r="J20" i="2"/>
  <c r="L20" i="2"/>
  <c r="I21" i="2"/>
  <c r="J21" i="2" a="1"/>
  <c r="J21" i="2"/>
  <c r="L21" i="2"/>
  <c r="I8" i="1"/>
  <c r="F8" i="1"/>
  <c r="I3" i="1"/>
  <c r="F3" i="1"/>
  <c r="I21" i="1"/>
  <c r="L20" i="18" s="1"/>
  <c r="M20" i="18" s="1" a="1"/>
  <c r="M20" i="18" s="1"/>
  <c r="N20" i="18" s="1"/>
  <c r="J21" i="1" a="1"/>
  <c r="J21" i="1"/>
  <c r="L21" i="1"/>
  <c r="R20" i="18" s="1"/>
  <c r="S20" i="18" s="1"/>
  <c r="I22" i="1"/>
  <c r="L21" i="18" s="1"/>
  <c r="M21" i="18" s="1" a="1"/>
  <c r="M21" i="18" s="1"/>
  <c r="N21" i="18" s="1"/>
  <c r="J22" i="1" a="1"/>
  <c r="J22" i="1"/>
  <c r="L22" i="1"/>
  <c r="R21" i="18" s="1"/>
  <c r="S21" i="18" s="1"/>
  <c r="I62" i="1"/>
  <c r="L61" i="18" s="1"/>
  <c r="M61" i="18" s="1" a="1"/>
  <c r="M61" i="18" s="1"/>
  <c r="N61" i="18" s="1"/>
  <c r="J62" i="1" a="1"/>
  <c r="J62" i="1"/>
  <c r="L62" i="1"/>
  <c r="R61" i="18" s="1"/>
  <c r="S61" i="18" s="1"/>
  <c r="J52" i="18"/>
  <c r="I52" i="18"/>
  <c r="H52" i="18"/>
  <c r="G52" i="18"/>
  <c r="F52" i="18"/>
  <c r="E52" i="18"/>
  <c r="D52" i="18"/>
  <c r="K52" i="18" s="1"/>
  <c r="I7" i="21"/>
  <c r="F7" i="21"/>
  <c r="I52" i="21"/>
  <c r="J52" i="21" a="1"/>
  <c r="J52" i="21"/>
  <c r="L52" i="21"/>
  <c r="I7" i="22"/>
  <c r="F7" i="22"/>
  <c r="I52" i="22"/>
  <c r="J52" i="22" a="1"/>
  <c r="J52" i="22"/>
  <c r="L52" i="22"/>
  <c r="I7" i="20"/>
  <c r="F7" i="20"/>
  <c r="I52" i="20"/>
  <c r="J52" i="20" a="1"/>
  <c r="J52" i="20"/>
  <c r="L52" i="20"/>
  <c r="I7" i="19"/>
  <c r="F7" i="19"/>
  <c r="I52" i="19"/>
  <c r="J52" i="19" a="1"/>
  <c r="J52" i="19"/>
  <c r="L52" i="19"/>
  <c r="I7" i="13"/>
  <c r="F7" i="13"/>
  <c r="I52" i="13"/>
  <c r="J52" i="13" a="1"/>
  <c r="J52" i="13"/>
  <c r="L52" i="13"/>
  <c r="I7" i="2"/>
  <c r="F7" i="2"/>
  <c r="I52" i="2"/>
  <c r="J52" i="2" a="1"/>
  <c r="J52" i="2"/>
  <c r="L52" i="2"/>
  <c r="I7" i="1"/>
  <c r="F7" i="1"/>
  <c r="I53" i="1"/>
  <c r="L52" i="18" s="1"/>
  <c r="M52" i="18" s="1" a="1"/>
  <c r="M52" i="18" s="1"/>
  <c r="N52" i="18" s="1"/>
  <c r="J53" i="1" a="1"/>
  <c r="J53" i="1"/>
  <c r="L53" i="1"/>
  <c r="Q9" i="18"/>
  <c r="Q8" i="18"/>
  <c r="Q7" i="18"/>
  <c r="Q6" i="18"/>
  <c r="Q5" i="18"/>
  <c r="Q4" i="18"/>
  <c r="Q3" i="18"/>
  <c r="J70" i="18"/>
  <c r="I70" i="18"/>
  <c r="H70" i="18"/>
  <c r="G70" i="18"/>
  <c r="F70" i="18"/>
  <c r="E70" i="18"/>
  <c r="D70" i="18"/>
  <c r="K70" i="18" s="1"/>
  <c r="I9" i="21"/>
  <c r="F9" i="21"/>
  <c r="I70" i="21"/>
  <c r="J70" i="21" s="1" a="1"/>
  <c r="J70" i="21" s="1"/>
  <c r="L70" i="21" s="1"/>
  <c r="I9" i="22"/>
  <c r="F9" i="22"/>
  <c r="I70" i="22"/>
  <c r="J70" i="22" s="1" a="1"/>
  <c r="J70" i="22" s="1"/>
  <c r="L70" i="22" s="1"/>
  <c r="I9" i="20"/>
  <c r="F9" i="20"/>
  <c r="I70" i="20"/>
  <c r="J70" i="20" s="1" a="1"/>
  <c r="J70" i="20" s="1"/>
  <c r="L70" i="20" s="1"/>
  <c r="I9" i="19"/>
  <c r="F9" i="19"/>
  <c r="I70" i="19"/>
  <c r="J70" i="19" s="1" a="1"/>
  <c r="J70" i="19" s="1"/>
  <c r="L70" i="19" s="1"/>
  <c r="I9" i="13"/>
  <c r="F9" i="13"/>
  <c r="I70" i="13"/>
  <c r="J70" i="13" s="1" a="1"/>
  <c r="J70" i="13" s="1"/>
  <c r="L70" i="13" s="1"/>
  <c r="I9" i="2"/>
  <c r="F9" i="2"/>
  <c r="I70" i="2"/>
  <c r="J70" i="2" s="1" a="1"/>
  <c r="J70" i="2" s="1"/>
  <c r="L70" i="2" s="1"/>
  <c r="I9" i="1"/>
  <c r="F9" i="1"/>
  <c r="I71" i="1"/>
  <c r="P10" i="18"/>
  <c r="O10" i="18"/>
  <c r="Q10" i="18" s="1"/>
  <c r="J45" i="18"/>
  <c r="I45" i="18"/>
  <c r="H45" i="18"/>
  <c r="G45" i="18"/>
  <c r="F45" i="18"/>
  <c r="E45" i="18"/>
  <c r="D45" i="18"/>
  <c r="K45" i="18" s="1"/>
  <c r="I6" i="21"/>
  <c r="F6" i="21"/>
  <c r="I45" i="21"/>
  <c r="J45" i="21" s="1" a="1"/>
  <c r="J45" i="21" s="1"/>
  <c r="L45" i="21" s="1"/>
  <c r="I6" i="22"/>
  <c r="F6" i="22"/>
  <c r="I45" i="22"/>
  <c r="J45" i="22" s="1" a="1"/>
  <c r="J45" i="22" s="1"/>
  <c r="L45" i="22" s="1"/>
  <c r="I6" i="20"/>
  <c r="F6" i="20"/>
  <c r="I45" i="20"/>
  <c r="J45" i="20" s="1" a="1"/>
  <c r="J45" i="20" s="1"/>
  <c r="L45" i="20" s="1"/>
  <c r="I6" i="19"/>
  <c r="F6" i="19"/>
  <c r="I45" i="19"/>
  <c r="J45" i="19" s="1" a="1"/>
  <c r="J45" i="19" s="1"/>
  <c r="L45" i="19" s="1"/>
  <c r="I6" i="13"/>
  <c r="F6" i="13"/>
  <c r="I45" i="13"/>
  <c r="J45" i="13" s="1" a="1"/>
  <c r="J45" i="13" s="1"/>
  <c r="L45" i="13" s="1"/>
  <c r="I6" i="2"/>
  <c r="F6" i="2"/>
  <c r="I45" i="2"/>
  <c r="J45" i="2" s="1" a="1"/>
  <c r="J45" i="2" s="1"/>
  <c r="L45" i="2" s="1"/>
  <c r="I6" i="1"/>
  <c r="F6" i="1"/>
  <c r="I46" i="1"/>
  <c r="I5" i="21"/>
  <c r="F5" i="21"/>
  <c r="I4" i="21"/>
  <c r="F4" i="21"/>
  <c r="I10" i="21"/>
  <c r="F10" i="21"/>
  <c r="I5" i="22"/>
  <c r="F5" i="22"/>
  <c r="I4" i="22"/>
  <c r="F4" i="22"/>
  <c r="I10" i="22"/>
  <c r="F10" i="22"/>
  <c r="I5" i="20"/>
  <c r="F5" i="20"/>
  <c r="I4" i="20"/>
  <c r="F4" i="20"/>
  <c r="I10" i="20"/>
  <c r="F10" i="20"/>
  <c r="I5" i="19"/>
  <c r="F5" i="19"/>
  <c r="I4" i="19"/>
  <c r="F4" i="19"/>
  <c r="I10" i="19"/>
  <c r="F10" i="19"/>
  <c r="I5" i="13"/>
  <c r="F5" i="13"/>
  <c r="I4" i="13"/>
  <c r="F4" i="13"/>
  <c r="I10" i="13"/>
  <c r="F10" i="13"/>
  <c r="I5" i="2"/>
  <c r="F5" i="2"/>
  <c r="I4" i="2"/>
  <c r="F4" i="2"/>
  <c r="I10" i="2"/>
  <c r="F10" i="2"/>
  <c r="K7" i="18"/>
  <c r="K6" i="18"/>
  <c r="J69" i="18"/>
  <c r="I69" i="18"/>
  <c r="H69" i="18"/>
  <c r="G69" i="18"/>
  <c r="F69" i="18"/>
  <c r="E69" i="18"/>
  <c r="D69" i="18"/>
  <c r="J68" i="18"/>
  <c r="I68" i="18"/>
  <c r="H68" i="18"/>
  <c r="G68" i="18"/>
  <c r="F68" i="18"/>
  <c r="E68" i="18"/>
  <c r="D68" i="18"/>
  <c r="J67" i="18"/>
  <c r="I67" i="18"/>
  <c r="H67" i="18"/>
  <c r="G67" i="18"/>
  <c r="F67" i="18"/>
  <c r="E67" i="18"/>
  <c r="D67" i="18"/>
  <c r="J66" i="18"/>
  <c r="I66" i="18"/>
  <c r="H66" i="18"/>
  <c r="G66" i="18"/>
  <c r="F66" i="18"/>
  <c r="E66" i="18"/>
  <c r="D66" i="18"/>
  <c r="J65" i="18"/>
  <c r="I65" i="18"/>
  <c r="H65" i="18"/>
  <c r="G65" i="18"/>
  <c r="F65" i="18"/>
  <c r="E65" i="18"/>
  <c r="D65" i="18"/>
  <c r="K65" i="18" s="1"/>
  <c r="J64" i="18"/>
  <c r="I64" i="18"/>
  <c r="H64" i="18"/>
  <c r="G64" i="18"/>
  <c r="F64" i="18"/>
  <c r="E64" i="18"/>
  <c r="D64" i="18"/>
  <c r="J63" i="18"/>
  <c r="I63" i="18"/>
  <c r="H63" i="18"/>
  <c r="G63" i="18"/>
  <c r="F63" i="18"/>
  <c r="E63" i="18"/>
  <c r="D63" i="18"/>
  <c r="J62" i="18"/>
  <c r="I62" i="18"/>
  <c r="H62" i="18"/>
  <c r="G62" i="18"/>
  <c r="F62" i="18"/>
  <c r="E62" i="18"/>
  <c r="D62" i="18"/>
  <c r="J60" i="18"/>
  <c r="I60" i="18"/>
  <c r="H60" i="18"/>
  <c r="G60" i="18"/>
  <c r="F60" i="18"/>
  <c r="E60" i="18"/>
  <c r="D60" i="18"/>
  <c r="J59" i="18"/>
  <c r="I59" i="18"/>
  <c r="H59" i="18"/>
  <c r="G59" i="18"/>
  <c r="F59" i="18"/>
  <c r="E59" i="18"/>
  <c r="D59" i="18"/>
  <c r="J58" i="18"/>
  <c r="I58" i="18"/>
  <c r="H58" i="18"/>
  <c r="G58" i="18"/>
  <c r="F58" i="18"/>
  <c r="E58" i="18"/>
  <c r="D58" i="18"/>
  <c r="J57" i="18"/>
  <c r="I57" i="18"/>
  <c r="H57" i="18"/>
  <c r="G57" i="18"/>
  <c r="F57" i="18"/>
  <c r="E57" i="18"/>
  <c r="D57" i="18"/>
  <c r="K57" i="18" s="1"/>
  <c r="J56" i="18"/>
  <c r="I56" i="18"/>
  <c r="H56" i="18"/>
  <c r="G56" i="18"/>
  <c r="F56" i="18"/>
  <c r="E56" i="18"/>
  <c r="D56" i="18"/>
  <c r="J55" i="18"/>
  <c r="I55" i="18"/>
  <c r="H55" i="18"/>
  <c r="G55" i="18"/>
  <c r="F55" i="18"/>
  <c r="E55" i="18"/>
  <c r="D55" i="18"/>
  <c r="J54" i="18"/>
  <c r="I54" i="18"/>
  <c r="H54" i="18"/>
  <c r="G54" i="18"/>
  <c r="F54" i="18"/>
  <c r="E54" i="18"/>
  <c r="D54" i="18"/>
  <c r="J53" i="18"/>
  <c r="I53" i="18"/>
  <c r="H53" i="18"/>
  <c r="G53" i="18"/>
  <c r="F53" i="18"/>
  <c r="E53" i="18"/>
  <c r="D53" i="18"/>
  <c r="J51" i="18"/>
  <c r="I51" i="18"/>
  <c r="H51" i="18"/>
  <c r="G51" i="18"/>
  <c r="F51" i="18"/>
  <c r="E51" i="18"/>
  <c r="D51" i="18"/>
  <c r="K51" i="18" s="1"/>
  <c r="J50" i="18"/>
  <c r="I50" i="18"/>
  <c r="H50" i="18"/>
  <c r="G50" i="18"/>
  <c r="F50" i="18"/>
  <c r="E50" i="18"/>
  <c r="D50" i="18"/>
  <c r="J49" i="18"/>
  <c r="I49" i="18"/>
  <c r="H49" i="18"/>
  <c r="G49" i="18"/>
  <c r="F49" i="18"/>
  <c r="E49" i="18"/>
  <c r="D49" i="18"/>
  <c r="J48" i="18"/>
  <c r="I48" i="18"/>
  <c r="H48" i="18"/>
  <c r="G48" i="18"/>
  <c r="F48" i="18"/>
  <c r="E48" i="18"/>
  <c r="D48" i="18"/>
  <c r="J47" i="18"/>
  <c r="I47" i="18"/>
  <c r="H47" i="18"/>
  <c r="G47" i="18"/>
  <c r="F47" i="18"/>
  <c r="E47" i="18"/>
  <c r="D47" i="18"/>
  <c r="J46" i="18"/>
  <c r="I46" i="18"/>
  <c r="H46" i="18"/>
  <c r="G46" i="18"/>
  <c r="F46" i="18"/>
  <c r="E46" i="18"/>
  <c r="D46" i="18"/>
  <c r="J44" i="18"/>
  <c r="I44" i="18"/>
  <c r="H44" i="18"/>
  <c r="G44" i="18"/>
  <c r="F44" i="18"/>
  <c r="E44" i="18"/>
  <c r="D44" i="18"/>
  <c r="J43" i="18"/>
  <c r="I43" i="18"/>
  <c r="H43" i="18"/>
  <c r="G43" i="18"/>
  <c r="F43" i="18"/>
  <c r="E43" i="18"/>
  <c r="D43" i="18"/>
  <c r="K43" i="18" s="1"/>
  <c r="J42" i="18"/>
  <c r="I42" i="18"/>
  <c r="H42" i="18"/>
  <c r="G42" i="18"/>
  <c r="F42" i="18"/>
  <c r="E42" i="18"/>
  <c r="D42" i="18"/>
  <c r="J41" i="18"/>
  <c r="I41" i="18"/>
  <c r="H41" i="18"/>
  <c r="G41" i="18"/>
  <c r="F41" i="18"/>
  <c r="E41" i="18"/>
  <c r="D41" i="18"/>
  <c r="J40" i="18"/>
  <c r="I40" i="18"/>
  <c r="H40" i="18"/>
  <c r="G40" i="18"/>
  <c r="F40" i="18"/>
  <c r="E40" i="18"/>
  <c r="D40" i="18"/>
  <c r="J39" i="18"/>
  <c r="I39" i="18"/>
  <c r="H39" i="18"/>
  <c r="G39" i="18"/>
  <c r="F39" i="18"/>
  <c r="E39" i="18"/>
  <c r="D39" i="18"/>
  <c r="J38" i="18"/>
  <c r="I38" i="18"/>
  <c r="H38" i="18"/>
  <c r="G38" i="18"/>
  <c r="F38" i="18"/>
  <c r="E38" i="18"/>
  <c r="D38" i="18"/>
  <c r="K38" i="18" s="1"/>
  <c r="J37" i="18"/>
  <c r="I37" i="18"/>
  <c r="H37" i="18"/>
  <c r="G37" i="18"/>
  <c r="F37" i="18"/>
  <c r="E37" i="18"/>
  <c r="D37" i="18"/>
  <c r="J36" i="18"/>
  <c r="I36" i="18"/>
  <c r="H36" i="18"/>
  <c r="G36" i="18"/>
  <c r="F36" i="18"/>
  <c r="E36" i="18"/>
  <c r="D36" i="18"/>
  <c r="J35" i="18"/>
  <c r="I35" i="18"/>
  <c r="H35" i="18"/>
  <c r="G35" i="18"/>
  <c r="F35" i="18"/>
  <c r="E35" i="18"/>
  <c r="D35" i="18"/>
  <c r="J34" i="18"/>
  <c r="I34" i="18"/>
  <c r="H34" i="18"/>
  <c r="G34" i="18"/>
  <c r="F34" i="18"/>
  <c r="E34" i="18"/>
  <c r="D34" i="18"/>
  <c r="J33" i="18"/>
  <c r="I33" i="18"/>
  <c r="H33" i="18"/>
  <c r="G33" i="18"/>
  <c r="F33" i="18"/>
  <c r="E33" i="18"/>
  <c r="D33" i="18"/>
  <c r="J32" i="18"/>
  <c r="I32" i="18"/>
  <c r="H32" i="18"/>
  <c r="G32" i="18"/>
  <c r="F32" i="18"/>
  <c r="E32" i="18"/>
  <c r="D32" i="18"/>
  <c r="J31" i="18"/>
  <c r="I31" i="18"/>
  <c r="H31" i="18"/>
  <c r="G31" i="18"/>
  <c r="F31" i="18"/>
  <c r="E31" i="18"/>
  <c r="D31" i="18"/>
  <c r="J30" i="18"/>
  <c r="I30" i="18"/>
  <c r="H30" i="18"/>
  <c r="G30" i="18"/>
  <c r="F30" i="18"/>
  <c r="E30" i="18"/>
  <c r="D30" i="18"/>
  <c r="J29" i="18"/>
  <c r="I29" i="18"/>
  <c r="H29" i="18"/>
  <c r="G29" i="18"/>
  <c r="F29" i="18"/>
  <c r="E29" i="18"/>
  <c r="D29" i="18"/>
  <c r="J28" i="18"/>
  <c r="I28" i="18"/>
  <c r="H28" i="18"/>
  <c r="G28" i="18"/>
  <c r="F28" i="18"/>
  <c r="E28" i="18"/>
  <c r="D28" i="18"/>
  <c r="K28" i="18" s="1"/>
  <c r="J27" i="18"/>
  <c r="I27" i="18"/>
  <c r="H27" i="18"/>
  <c r="G27" i="18"/>
  <c r="F27" i="18"/>
  <c r="E27" i="18"/>
  <c r="D27" i="18"/>
  <c r="J26" i="18"/>
  <c r="I26" i="18"/>
  <c r="H26" i="18"/>
  <c r="G26" i="18"/>
  <c r="F26" i="18"/>
  <c r="E26" i="18"/>
  <c r="D26" i="18"/>
  <c r="J25" i="18"/>
  <c r="I25" i="18"/>
  <c r="H25" i="18"/>
  <c r="G25" i="18"/>
  <c r="F25" i="18"/>
  <c r="E25" i="18"/>
  <c r="D25" i="18"/>
  <c r="J24" i="18"/>
  <c r="I24" i="18"/>
  <c r="H24" i="18"/>
  <c r="G24" i="18"/>
  <c r="F24" i="18"/>
  <c r="E24" i="18"/>
  <c r="D24" i="18"/>
  <c r="J23" i="18"/>
  <c r="I23" i="18"/>
  <c r="H23" i="18"/>
  <c r="G23" i="18"/>
  <c r="F23" i="18"/>
  <c r="E23" i="18"/>
  <c r="D23" i="18"/>
  <c r="J22" i="18"/>
  <c r="I22" i="18"/>
  <c r="H22" i="18"/>
  <c r="G22" i="18"/>
  <c r="F22" i="18"/>
  <c r="E22" i="18"/>
  <c r="D22" i="18"/>
  <c r="J19" i="18"/>
  <c r="I19" i="18"/>
  <c r="H19" i="18"/>
  <c r="G19" i="18"/>
  <c r="F19" i="18"/>
  <c r="E19" i="18"/>
  <c r="D19" i="18"/>
  <c r="J18" i="18"/>
  <c r="I18" i="18"/>
  <c r="H18" i="18"/>
  <c r="G18" i="18"/>
  <c r="F18" i="18"/>
  <c r="E18" i="18"/>
  <c r="D18" i="18"/>
  <c r="J17" i="18"/>
  <c r="I17" i="18"/>
  <c r="H17" i="18"/>
  <c r="G17" i="18"/>
  <c r="F17" i="18"/>
  <c r="E17" i="18"/>
  <c r="D17" i="18"/>
  <c r="J16" i="18"/>
  <c r="I16" i="18"/>
  <c r="H16" i="18"/>
  <c r="G16" i="18"/>
  <c r="F16" i="18"/>
  <c r="E16" i="18"/>
  <c r="D16" i="18"/>
  <c r="J15" i="18"/>
  <c r="I15" i="18"/>
  <c r="H15" i="18"/>
  <c r="G15" i="18"/>
  <c r="F15" i="18"/>
  <c r="E15" i="18"/>
  <c r="D15" i="18"/>
  <c r="J14" i="18"/>
  <c r="I14" i="18"/>
  <c r="H14" i="18"/>
  <c r="G14" i="18"/>
  <c r="F14" i="18"/>
  <c r="E14" i="18"/>
  <c r="D14" i="18"/>
  <c r="K14" i="18" s="1"/>
  <c r="I69" i="22"/>
  <c r="J69" i="22" s="1" a="1"/>
  <c r="J69" i="22" s="1"/>
  <c r="L69" i="22" s="1"/>
  <c r="I68" i="22"/>
  <c r="J68" i="22" s="1" a="1"/>
  <c r="J68" i="22" s="1"/>
  <c r="L68" i="22" s="1"/>
  <c r="I67" i="22"/>
  <c r="J67" i="22" s="1" a="1"/>
  <c r="J67" i="22" s="1"/>
  <c r="L67" i="22" s="1"/>
  <c r="I66" i="22"/>
  <c r="J66" i="22" s="1" a="1"/>
  <c r="J66" i="22" s="1"/>
  <c r="L66" i="22" s="1"/>
  <c r="I65" i="22"/>
  <c r="J65" i="22" s="1" a="1"/>
  <c r="J65" i="22" s="1"/>
  <c r="L65" i="22" s="1"/>
  <c r="I64" i="22"/>
  <c r="J64" i="22" s="1" a="1"/>
  <c r="J64" i="22" s="1"/>
  <c r="L64" i="22" s="1"/>
  <c r="I63" i="22"/>
  <c r="J63" i="22" s="1" a="1"/>
  <c r="J63" i="22" s="1"/>
  <c r="L63" i="22" s="1"/>
  <c r="I62" i="22"/>
  <c r="H9" i="22" s="1"/>
  <c r="I60" i="22"/>
  <c r="J60" i="22" s="1" a="1"/>
  <c r="J60" i="22" s="1"/>
  <c r="L60" i="22" s="1"/>
  <c r="I59" i="22"/>
  <c r="J59" i="22" s="1" a="1"/>
  <c r="J59" i="22" s="1"/>
  <c r="L59" i="22" s="1"/>
  <c r="I58" i="22"/>
  <c r="J58" i="22" s="1" a="1"/>
  <c r="J58" i="22" s="1"/>
  <c r="L58" i="22" s="1"/>
  <c r="I57" i="22"/>
  <c r="J57" i="22" s="1" a="1"/>
  <c r="J57" i="22" s="1"/>
  <c r="L57" i="22" s="1"/>
  <c r="I56" i="22"/>
  <c r="J56" i="22" s="1" a="1"/>
  <c r="J56" i="22" s="1"/>
  <c r="L56" i="22" s="1"/>
  <c r="I55" i="22"/>
  <c r="J55" i="22" s="1" a="1"/>
  <c r="J55" i="22" s="1"/>
  <c r="L55" i="22" s="1"/>
  <c r="I54" i="22"/>
  <c r="J54" i="22" s="1" a="1"/>
  <c r="J54" i="22" s="1"/>
  <c r="L54" i="22" s="1"/>
  <c r="I53" i="22"/>
  <c r="H8" i="22" s="1"/>
  <c r="I51" i="22"/>
  <c r="J51" i="22" s="1" a="1"/>
  <c r="J51" i="22" s="1"/>
  <c r="L51" i="22" s="1"/>
  <c r="I50" i="22"/>
  <c r="J50" i="22" s="1" a="1"/>
  <c r="J50" i="22" s="1"/>
  <c r="L50" i="22" s="1"/>
  <c r="I49" i="22"/>
  <c r="J49" i="22" s="1" a="1"/>
  <c r="J49" i="22" s="1"/>
  <c r="L49" i="22" s="1"/>
  <c r="I48" i="22"/>
  <c r="J48" i="22" s="1" a="1"/>
  <c r="J48" i="22" s="1"/>
  <c r="L48" i="22" s="1"/>
  <c r="I47" i="22"/>
  <c r="J47" i="22" s="1" a="1"/>
  <c r="J47" i="22" s="1"/>
  <c r="L47" i="22" s="1"/>
  <c r="I46" i="22"/>
  <c r="H7" i="22" s="1"/>
  <c r="I44" i="22"/>
  <c r="J44" i="22" s="1" a="1"/>
  <c r="J44" i="22" s="1"/>
  <c r="L44" i="22" s="1"/>
  <c r="I43" i="22"/>
  <c r="J43" i="22" s="1" a="1"/>
  <c r="J43" i="22" s="1"/>
  <c r="L43" i="22" s="1"/>
  <c r="I42" i="22"/>
  <c r="J42" i="22" s="1" a="1"/>
  <c r="J42" i="22" s="1"/>
  <c r="L42" i="22" s="1"/>
  <c r="I41" i="22"/>
  <c r="J41" i="22" s="1" a="1"/>
  <c r="J41" i="22" s="1"/>
  <c r="L41" i="22" s="1"/>
  <c r="I40" i="22"/>
  <c r="J40" i="22" s="1" a="1"/>
  <c r="J40" i="22" s="1"/>
  <c r="L40" i="22" s="1"/>
  <c r="I39" i="22"/>
  <c r="I38" i="22"/>
  <c r="H6" i="22" s="1"/>
  <c r="I37" i="22"/>
  <c r="J37" i="22" s="1" a="1"/>
  <c r="J37" i="22" s="1"/>
  <c r="L37" i="22" s="1"/>
  <c r="I36" i="22"/>
  <c r="J36" i="22" s="1" a="1"/>
  <c r="J36" i="22" s="1"/>
  <c r="L36" i="22" s="1"/>
  <c r="I35" i="22"/>
  <c r="J35" i="22" s="1" a="1"/>
  <c r="J35" i="22" s="1"/>
  <c r="L35" i="22" s="1"/>
  <c r="I34" i="22"/>
  <c r="J34" i="22" s="1" a="1"/>
  <c r="J34" i="22" s="1"/>
  <c r="L34" i="22" s="1"/>
  <c r="I33" i="22"/>
  <c r="J33" i="22" s="1" a="1"/>
  <c r="J33" i="22" s="1"/>
  <c r="L33" i="22" s="1"/>
  <c r="I32" i="22"/>
  <c r="J32" i="22" s="1" a="1"/>
  <c r="J32" i="22" s="1"/>
  <c r="L32" i="22" s="1"/>
  <c r="I31" i="22"/>
  <c r="J31" i="22" s="1" a="1"/>
  <c r="J31" i="22" s="1"/>
  <c r="L31" i="22" s="1"/>
  <c r="I30" i="22"/>
  <c r="J30" i="22" s="1" a="1"/>
  <c r="J30" i="22" s="1"/>
  <c r="L30" i="22" s="1"/>
  <c r="I29" i="22"/>
  <c r="I28" i="22"/>
  <c r="J28" i="22" s="1" a="1"/>
  <c r="J28" i="22" s="1"/>
  <c r="L28" i="22" s="1"/>
  <c r="I27" i="22"/>
  <c r="J27" i="22" s="1" a="1"/>
  <c r="J27" i="22" s="1"/>
  <c r="L27" i="22" s="1"/>
  <c r="I26" i="22"/>
  <c r="J26" i="22" s="1" a="1"/>
  <c r="J26" i="22" s="1"/>
  <c r="L26" i="22" s="1"/>
  <c r="I25" i="22"/>
  <c r="J25" i="22" s="1" a="1"/>
  <c r="J25" i="22" s="1"/>
  <c r="L25" i="22" s="1"/>
  <c r="I24" i="22"/>
  <c r="J24" i="22" s="1" a="1"/>
  <c r="J24" i="22" s="1"/>
  <c r="L24" i="22" s="1"/>
  <c r="I23" i="22"/>
  <c r="J23" i="22" s="1" a="1"/>
  <c r="J23" i="22" s="1"/>
  <c r="L23" i="22" s="1"/>
  <c r="I22" i="22"/>
  <c r="H4" i="22" s="1"/>
  <c r="I19" i="22"/>
  <c r="J19" i="22" s="1" a="1"/>
  <c r="J19" i="22" s="1"/>
  <c r="L19" i="22" s="1"/>
  <c r="I18" i="22"/>
  <c r="J18" i="22" s="1" a="1"/>
  <c r="J18" i="22" s="1"/>
  <c r="L18" i="22" s="1"/>
  <c r="I17" i="22"/>
  <c r="J17" i="22" s="1" a="1"/>
  <c r="J17" i="22" s="1"/>
  <c r="L17" i="22" s="1"/>
  <c r="I16" i="22"/>
  <c r="J16" i="22" s="1" a="1"/>
  <c r="J16" i="22" s="1"/>
  <c r="L16" i="22" s="1"/>
  <c r="I15" i="22"/>
  <c r="J15" i="22" s="1" a="1"/>
  <c r="J15" i="22" s="1"/>
  <c r="L15" i="22" s="1"/>
  <c r="I14" i="22"/>
  <c r="H3" i="22" s="1"/>
  <c r="I69" i="21"/>
  <c r="J69" i="21" s="1" a="1"/>
  <c r="J69" i="21" s="1"/>
  <c r="L69" i="21" s="1"/>
  <c r="I68" i="21"/>
  <c r="J68" i="21" s="1" a="1"/>
  <c r="J68" i="21" s="1"/>
  <c r="L68" i="21" s="1"/>
  <c r="I67" i="21"/>
  <c r="J67" i="21" s="1" a="1"/>
  <c r="J67" i="21" s="1"/>
  <c r="L67" i="21" s="1"/>
  <c r="I66" i="21"/>
  <c r="J66" i="21" s="1" a="1"/>
  <c r="J66" i="21" s="1"/>
  <c r="L66" i="21" s="1"/>
  <c r="I65" i="21"/>
  <c r="J65" i="21" s="1" a="1"/>
  <c r="J65" i="21" s="1"/>
  <c r="L65" i="21" s="1"/>
  <c r="I64" i="21"/>
  <c r="J64" i="21" s="1" a="1"/>
  <c r="J64" i="21" s="1"/>
  <c r="L64" i="21" s="1"/>
  <c r="I63" i="21"/>
  <c r="J63" i="21" s="1" a="1"/>
  <c r="J63" i="21" s="1"/>
  <c r="L63" i="21" s="1"/>
  <c r="I62" i="21"/>
  <c r="H9" i="21" s="1"/>
  <c r="I60" i="21"/>
  <c r="J60" i="21" s="1" a="1"/>
  <c r="J60" i="21" s="1"/>
  <c r="L60" i="21" s="1"/>
  <c r="I59" i="21"/>
  <c r="J59" i="21" s="1" a="1"/>
  <c r="J59" i="21" s="1"/>
  <c r="L59" i="21" s="1"/>
  <c r="I58" i="21"/>
  <c r="J58" i="21" s="1" a="1"/>
  <c r="J58" i="21" s="1"/>
  <c r="L58" i="21" s="1"/>
  <c r="I57" i="21"/>
  <c r="J57" i="21" s="1" a="1"/>
  <c r="J57" i="21" s="1"/>
  <c r="L57" i="21" s="1"/>
  <c r="I56" i="21"/>
  <c r="J56" i="21" s="1" a="1"/>
  <c r="J56" i="21" s="1"/>
  <c r="L56" i="21" s="1"/>
  <c r="I55" i="21"/>
  <c r="J55" i="21" s="1" a="1"/>
  <c r="J55" i="21" s="1"/>
  <c r="L55" i="21" s="1"/>
  <c r="I54" i="21"/>
  <c r="I53" i="21"/>
  <c r="H8" i="21" s="1"/>
  <c r="I51" i="21"/>
  <c r="J51" i="21" s="1" a="1"/>
  <c r="J51" i="21" s="1"/>
  <c r="L51" i="21" s="1"/>
  <c r="I50" i="21"/>
  <c r="J50" i="21" s="1" a="1"/>
  <c r="J50" i="21" s="1"/>
  <c r="L50" i="21" s="1"/>
  <c r="I49" i="21"/>
  <c r="J49" i="21" s="1" a="1"/>
  <c r="J49" i="21" s="1"/>
  <c r="L49" i="21" s="1"/>
  <c r="I48" i="21"/>
  <c r="J48" i="21" s="1" a="1"/>
  <c r="J48" i="21" s="1"/>
  <c r="L48" i="21" s="1"/>
  <c r="I47" i="21"/>
  <c r="J47" i="21" s="1" a="1"/>
  <c r="J47" i="21" s="1"/>
  <c r="L47" i="21" s="1"/>
  <c r="I46" i="21"/>
  <c r="H7" i="21" s="1"/>
  <c r="I44" i="21"/>
  <c r="J44" i="21" s="1" a="1"/>
  <c r="J44" i="21" s="1"/>
  <c r="L44" i="21" s="1"/>
  <c r="I43" i="21"/>
  <c r="J43" i="21" s="1" a="1"/>
  <c r="J43" i="21" s="1"/>
  <c r="L43" i="21" s="1"/>
  <c r="I42" i="21"/>
  <c r="J42" i="21" s="1" a="1"/>
  <c r="J42" i="21" s="1"/>
  <c r="L42" i="21" s="1"/>
  <c r="I41" i="21"/>
  <c r="J41" i="21" s="1" a="1"/>
  <c r="J41" i="21" s="1"/>
  <c r="L41" i="21" s="1"/>
  <c r="I40" i="21"/>
  <c r="J40" i="21" s="1" a="1"/>
  <c r="J40" i="21" s="1"/>
  <c r="L40" i="21" s="1"/>
  <c r="I39" i="21"/>
  <c r="J39" i="21" s="1" a="1"/>
  <c r="J39" i="21" s="1"/>
  <c r="L39" i="21" s="1"/>
  <c r="I38" i="21"/>
  <c r="H6" i="21" s="1"/>
  <c r="I37" i="21"/>
  <c r="J37" i="21" s="1" a="1"/>
  <c r="J37" i="21" s="1"/>
  <c r="L37" i="21" s="1"/>
  <c r="I36" i="21"/>
  <c r="J36" i="21" s="1" a="1"/>
  <c r="J36" i="21" s="1"/>
  <c r="L36" i="21" s="1"/>
  <c r="I35" i="21"/>
  <c r="J35" i="21" s="1" a="1"/>
  <c r="J35" i="21" s="1"/>
  <c r="L35" i="21" s="1"/>
  <c r="I34" i="21"/>
  <c r="J34" i="21" s="1" a="1"/>
  <c r="J34" i="21" s="1"/>
  <c r="L34" i="21" s="1"/>
  <c r="I33" i="21"/>
  <c r="J33" i="21" s="1" a="1"/>
  <c r="J33" i="21" s="1"/>
  <c r="L33" i="21" s="1"/>
  <c r="I32" i="21"/>
  <c r="J32" i="21" s="1" a="1"/>
  <c r="J32" i="21" s="1"/>
  <c r="L32" i="21" s="1"/>
  <c r="I31" i="21"/>
  <c r="J31" i="21" s="1" a="1"/>
  <c r="J31" i="21" s="1"/>
  <c r="L31" i="21" s="1"/>
  <c r="I30" i="21"/>
  <c r="J30" i="21" s="1" a="1"/>
  <c r="J30" i="21" s="1"/>
  <c r="L30" i="21" s="1"/>
  <c r="I29" i="21"/>
  <c r="I28" i="21"/>
  <c r="J28" i="21" s="1" a="1"/>
  <c r="J28" i="21" s="1"/>
  <c r="L28" i="21" s="1"/>
  <c r="I27" i="21"/>
  <c r="J27" i="21" s="1" a="1"/>
  <c r="J27" i="21" s="1"/>
  <c r="L27" i="21" s="1"/>
  <c r="I26" i="21"/>
  <c r="J26" i="21" s="1" a="1"/>
  <c r="J26" i="21" s="1"/>
  <c r="L26" i="21" s="1"/>
  <c r="I25" i="21"/>
  <c r="J25" i="21" s="1" a="1"/>
  <c r="J25" i="21" s="1"/>
  <c r="L25" i="21" s="1"/>
  <c r="I24" i="21"/>
  <c r="J24" i="21" s="1" a="1"/>
  <c r="J24" i="21" s="1"/>
  <c r="L24" i="21" s="1"/>
  <c r="I23" i="21"/>
  <c r="J23" i="21" s="1" a="1"/>
  <c r="J23" i="21" s="1"/>
  <c r="L23" i="21" s="1"/>
  <c r="I22" i="21"/>
  <c r="H4" i="21" s="1"/>
  <c r="I19" i="21"/>
  <c r="J19" i="21" s="1" a="1"/>
  <c r="J19" i="21" s="1"/>
  <c r="L19" i="21" s="1"/>
  <c r="I18" i="21"/>
  <c r="J18" i="21" s="1" a="1"/>
  <c r="J18" i="21" s="1"/>
  <c r="L18" i="21" s="1"/>
  <c r="I17" i="21"/>
  <c r="J17" i="21" s="1" a="1"/>
  <c r="J17" i="21" s="1"/>
  <c r="L17" i="21" s="1"/>
  <c r="I16" i="21"/>
  <c r="J16" i="21" s="1" a="1"/>
  <c r="J16" i="21" s="1"/>
  <c r="L16" i="21" s="1"/>
  <c r="I15" i="21"/>
  <c r="J15" i="21" s="1" a="1"/>
  <c r="J15" i="21" s="1"/>
  <c r="L15" i="21" s="1"/>
  <c r="I14" i="21"/>
  <c r="H3" i="21" s="1"/>
  <c r="I69" i="20"/>
  <c r="J69" i="20" s="1" a="1"/>
  <c r="J69" i="20" s="1"/>
  <c r="L69" i="20" s="1"/>
  <c r="I68" i="20"/>
  <c r="J68" i="20" s="1" a="1"/>
  <c r="J68" i="20" s="1"/>
  <c r="L68" i="20" s="1"/>
  <c r="I67" i="20"/>
  <c r="J67" i="20" s="1" a="1"/>
  <c r="J67" i="20" s="1"/>
  <c r="L67" i="20" s="1"/>
  <c r="I66" i="20"/>
  <c r="J66" i="20" s="1" a="1"/>
  <c r="J66" i="20" s="1"/>
  <c r="L66" i="20" s="1"/>
  <c r="I65" i="20"/>
  <c r="J65" i="20" s="1" a="1"/>
  <c r="J65" i="20" s="1"/>
  <c r="L65" i="20" s="1"/>
  <c r="I64" i="20"/>
  <c r="J64" i="20" s="1" a="1"/>
  <c r="J64" i="20" s="1"/>
  <c r="L64" i="20" s="1"/>
  <c r="I63" i="20"/>
  <c r="J63" i="20" s="1" a="1"/>
  <c r="J63" i="20" s="1"/>
  <c r="L63" i="20" s="1"/>
  <c r="I62" i="20"/>
  <c r="H9" i="20" s="1"/>
  <c r="I60" i="20"/>
  <c r="J60" i="20" s="1" a="1"/>
  <c r="J60" i="20" s="1"/>
  <c r="L60" i="20" s="1"/>
  <c r="I59" i="20"/>
  <c r="J59" i="20" s="1" a="1"/>
  <c r="J59" i="20" s="1"/>
  <c r="L59" i="20" s="1"/>
  <c r="I58" i="20"/>
  <c r="J58" i="20" s="1" a="1"/>
  <c r="J58" i="20" s="1"/>
  <c r="L58" i="20" s="1"/>
  <c r="I57" i="20"/>
  <c r="J57" i="20" s="1" a="1"/>
  <c r="J57" i="20" s="1"/>
  <c r="L57" i="20" s="1"/>
  <c r="I56" i="20"/>
  <c r="J56" i="20" s="1" a="1"/>
  <c r="J56" i="20" s="1"/>
  <c r="L56" i="20" s="1"/>
  <c r="I55" i="20"/>
  <c r="J55" i="20" s="1" a="1"/>
  <c r="J55" i="20" s="1"/>
  <c r="L55" i="20" s="1"/>
  <c r="I54" i="20"/>
  <c r="I53" i="20"/>
  <c r="H8" i="20" s="1"/>
  <c r="I51" i="20"/>
  <c r="J51" i="20" s="1" a="1"/>
  <c r="J51" i="20" s="1"/>
  <c r="L51" i="20" s="1"/>
  <c r="I50" i="20"/>
  <c r="J50" i="20" s="1" a="1"/>
  <c r="J50" i="20" s="1"/>
  <c r="L50" i="20" s="1"/>
  <c r="I49" i="20"/>
  <c r="J49" i="20" s="1" a="1"/>
  <c r="J49" i="20" s="1"/>
  <c r="L49" i="20" s="1"/>
  <c r="I48" i="20"/>
  <c r="J48" i="20" s="1" a="1"/>
  <c r="J48" i="20" s="1"/>
  <c r="L48" i="20" s="1"/>
  <c r="I47" i="20"/>
  <c r="J47" i="20" s="1" a="1"/>
  <c r="J47" i="20" s="1"/>
  <c r="L47" i="20" s="1"/>
  <c r="I46" i="20"/>
  <c r="H7" i="20" s="1"/>
  <c r="I44" i="20"/>
  <c r="J44" i="20" s="1" a="1"/>
  <c r="J44" i="20" s="1"/>
  <c r="L44" i="20" s="1"/>
  <c r="I43" i="20"/>
  <c r="J43" i="20" s="1" a="1"/>
  <c r="J43" i="20" s="1"/>
  <c r="L43" i="20" s="1"/>
  <c r="I42" i="20"/>
  <c r="J42" i="20" s="1" a="1"/>
  <c r="J42" i="20" s="1"/>
  <c r="L42" i="20" s="1"/>
  <c r="I41" i="20"/>
  <c r="J41" i="20" s="1" a="1"/>
  <c r="J41" i="20" s="1"/>
  <c r="L41" i="20" s="1"/>
  <c r="I40" i="20"/>
  <c r="J40" i="20" s="1" a="1"/>
  <c r="J40" i="20" s="1"/>
  <c r="L40" i="20" s="1"/>
  <c r="I39" i="20"/>
  <c r="J39" i="20" s="1" a="1"/>
  <c r="J39" i="20" s="1"/>
  <c r="L39" i="20" s="1"/>
  <c r="I38" i="20"/>
  <c r="H6" i="20" s="1"/>
  <c r="I37" i="20"/>
  <c r="J37" i="20" s="1" a="1"/>
  <c r="J37" i="20" s="1"/>
  <c r="L37" i="20" s="1"/>
  <c r="I36" i="20"/>
  <c r="J36" i="20" s="1" a="1"/>
  <c r="J36" i="20" s="1"/>
  <c r="L36" i="20" s="1"/>
  <c r="I35" i="20"/>
  <c r="J35" i="20" s="1" a="1"/>
  <c r="J35" i="20" s="1"/>
  <c r="L35" i="20" s="1"/>
  <c r="I34" i="20"/>
  <c r="J34" i="20" s="1" a="1"/>
  <c r="J34" i="20" s="1"/>
  <c r="L34" i="20" s="1"/>
  <c r="I33" i="20"/>
  <c r="J33" i="20" s="1" a="1"/>
  <c r="J33" i="20" s="1"/>
  <c r="L33" i="20" s="1"/>
  <c r="I32" i="20"/>
  <c r="J32" i="20" s="1" a="1"/>
  <c r="J32" i="20" s="1"/>
  <c r="L32" i="20" s="1"/>
  <c r="I31" i="20"/>
  <c r="J31" i="20" s="1" a="1"/>
  <c r="J31" i="20" s="1"/>
  <c r="L31" i="20" s="1"/>
  <c r="I30" i="20"/>
  <c r="J30" i="20" s="1" a="1"/>
  <c r="J30" i="20" s="1"/>
  <c r="L30" i="20" s="1"/>
  <c r="I29" i="20"/>
  <c r="I28" i="20"/>
  <c r="J28" i="20" s="1" a="1"/>
  <c r="J28" i="20" s="1"/>
  <c r="L28" i="20" s="1"/>
  <c r="I27" i="20"/>
  <c r="J27" i="20" s="1" a="1"/>
  <c r="J27" i="20" s="1"/>
  <c r="L27" i="20" s="1"/>
  <c r="I26" i="20"/>
  <c r="J26" i="20" s="1" a="1"/>
  <c r="J26" i="20" s="1"/>
  <c r="L26" i="20" s="1"/>
  <c r="I25" i="20"/>
  <c r="J25" i="20" s="1" a="1"/>
  <c r="J25" i="20" s="1"/>
  <c r="L25" i="20" s="1"/>
  <c r="I24" i="20"/>
  <c r="J24" i="20" s="1" a="1"/>
  <c r="J24" i="20" s="1"/>
  <c r="L24" i="20" s="1"/>
  <c r="I23" i="20"/>
  <c r="J23" i="20" s="1" a="1"/>
  <c r="J23" i="20" s="1"/>
  <c r="L23" i="20" s="1"/>
  <c r="I22" i="20"/>
  <c r="I19" i="20"/>
  <c r="J19" i="20" s="1" a="1"/>
  <c r="J19" i="20" s="1"/>
  <c r="L19" i="20" s="1"/>
  <c r="I18" i="20"/>
  <c r="J18" i="20" s="1" a="1"/>
  <c r="J18" i="20" s="1"/>
  <c r="L18" i="20" s="1"/>
  <c r="I17" i="20"/>
  <c r="J17" i="20" s="1" a="1"/>
  <c r="J17" i="20" s="1"/>
  <c r="L17" i="20" s="1"/>
  <c r="I16" i="20"/>
  <c r="J16" i="20" s="1" a="1"/>
  <c r="J16" i="20" s="1"/>
  <c r="L16" i="20" s="1"/>
  <c r="I15" i="20"/>
  <c r="J15" i="20" s="1" a="1"/>
  <c r="J15" i="20" s="1"/>
  <c r="L15" i="20" s="1"/>
  <c r="I14" i="20"/>
  <c r="H3" i="20" s="1"/>
  <c r="I69" i="19"/>
  <c r="J69" i="19" s="1" a="1"/>
  <c r="J69" i="19" s="1"/>
  <c r="L69" i="19" s="1"/>
  <c r="I68" i="19"/>
  <c r="J68" i="19" s="1" a="1"/>
  <c r="J68" i="19" s="1"/>
  <c r="L68" i="19" s="1"/>
  <c r="I67" i="19"/>
  <c r="J67" i="19" s="1" a="1"/>
  <c r="J67" i="19" s="1"/>
  <c r="L67" i="19" s="1"/>
  <c r="I66" i="19"/>
  <c r="J66" i="19" s="1" a="1"/>
  <c r="J66" i="19" s="1"/>
  <c r="L66" i="19" s="1"/>
  <c r="I65" i="19"/>
  <c r="J65" i="19" s="1" a="1"/>
  <c r="J65" i="19" s="1"/>
  <c r="L65" i="19" s="1"/>
  <c r="I64" i="19"/>
  <c r="J64" i="19" s="1" a="1"/>
  <c r="J64" i="19" s="1"/>
  <c r="L64" i="19" s="1"/>
  <c r="I63" i="19"/>
  <c r="J63" i="19" s="1" a="1"/>
  <c r="J63" i="19" s="1"/>
  <c r="L63" i="19" s="1"/>
  <c r="I62" i="19"/>
  <c r="H9" i="19" s="1"/>
  <c r="I60" i="19"/>
  <c r="J60" i="19" s="1" a="1"/>
  <c r="J60" i="19" s="1"/>
  <c r="L60" i="19" s="1"/>
  <c r="I59" i="19"/>
  <c r="J59" i="19" s="1" a="1"/>
  <c r="J59" i="19" s="1"/>
  <c r="L59" i="19" s="1"/>
  <c r="I58" i="19"/>
  <c r="J58" i="19" s="1" a="1"/>
  <c r="J58" i="19" s="1"/>
  <c r="L58" i="19" s="1"/>
  <c r="I57" i="19"/>
  <c r="J57" i="19" s="1" a="1"/>
  <c r="J57" i="19" s="1"/>
  <c r="L57" i="19" s="1"/>
  <c r="I56" i="19"/>
  <c r="J56" i="19" s="1" a="1"/>
  <c r="J56" i="19" s="1"/>
  <c r="L56" i="19" s="1"/>
  <c r="I55" i="19"/>
  <c r="J55" i="19" s="1" a="1"/>
  <c r="J55" i="19" s="1"/>
  <c r="L55" i="19" s="1"/>
  <c r="I54" i="19"/>
  <c r="I53" i="19"/>
  <c r="H8" i="19" s="1"/>
  <c r="I51" i="19"/>
  <c r="J51" i="19" s="1" a="1"/>
  <c r="J51" i="19" s="1"/>
  <c r="L51" i="19" s="1"/>
  <c r="I50" i="19"/>
  <c r="J50" i="19" s="1" a="1"/>
  <c r="J50" i="19" s="1"/>
  <c r="L50" i="19" s="1"/>
  <c r="I49" i="19"/>
  <c r="J49" i="19" s="1" a="1"/>
  <c r="J49" i="19" s="1"/>
  <c r="L49" i="19" s="1"/>
  <c r="I48" i="19"/>
  <c r="J48" i="19" s="1" a="1"/>
  <c r="J48" i="19" s="1"/>
  <c r="L48" i="19" s="1"/>
  <c r="I47" i="19"/>
  <c r="J47" i="19" s="1" a="1"/>
  <c r="J47" i="19" s="1"/>
  <c r="L47" i="19" s="1"/>
  <c r="I46" i="19"/>
  <c r="H7" i="19" s="1"/>
  <c r="I44" i="19"/>
  <c r="J44" i="19" s="1" a="1"/>
  <c r="J44" i="19" s="1"/>
  <c r="L44" i="19" s="1"/>
  <c r="I43" i="19"/>
  <c r="J43" i="19" s="1" a="1"/>
  <c r="J43" i="19" s="1"/>
  <c r="L43" i="19" s="1"/>
  <c r="I42" i="19"/>
  <c r="J42" i="19" s="1" a="1"/>
  <c r="J42" i="19" s="1"/>
  <c r="L42" i="19" s="1"/>
  <c r="I41" i="19"/>
  <c r="J41" i="19" s="1" a="1"/>
  <c r="J41" i="19" s="1"/>
  <c r="L41" i="19" s="1"/>
  <c r="I40" i="19"/>
  <c r="J40" i="19" s="1" a="1"/>
  <c r="J40" i="19" s="1"/>
  <c r="L40" i="19" s="1"/>
  <c r="I39" i="19"/>
  <c r="J39" i="19" s="1" a="1"/>
  <c r="J39" i="19" s="1"/>
  <c r="L39" i="19" s="1"/>
  <c r="I38" i="19"/>
  <c r="H6" i="19" s="1"/>
  <c r="I37" i="19"/>
  <c r="J37" i="19" s="1" a="1"/>
  <c r="J37" i="19" s="1"/>
  <c r="L37" i="19" s="1"/>
  <c r="I36" i="19"/>
  <c r="J36" i="19" s="1" a="1"/>
  <c r="J36" i="19" s="1"/>
  <c r="L36" i="19" s="1"/>
  <c r="I35" i="19"/>
  <c r="J35" i="19" s="1" a="1"/>
  <c r="J35" i="19" s="1"/>
  <c r="L35" i="19" s="1"/>
  <c r="I34" i="19"/>
  <c r="J34" i="19" s="1" a="1"/>
  <c r="J34" i="19" s="1"/>
  <c r="L34" i="19" s="1"/>
  <c r="I33" i="19"/>
  <c r="J33" i="19" s="1" a="1"/>
  <c r="J33" i="19" s="1"/>
  <c r="L33" i="19" s="1"/>
  <c r="I32" i="19"/>
  <c r="J32" i="19" s="1" a="1"/>
  <c r="J32" i="19" s="1"/>
  <c r="L32" i="19" s="1"/>
  <c r="I31" i="19"/>
  <c r="J31" i="19" s="1" a="1"/>
  <c r="J31" i="19" s="1"/>
  <c r="L31" i="19" s="1"/>
  <c r="I30" i="19"/>
  <c r="J30" i="19" s="1" a="1"/>
  <c r="J30" i="19" s="1"/>
  <c r="L30" i="19" s="1"/>
  <c r="I29" i="19"/>
  <c r="I28" i="19"/>
  <c r="J28" i="19" s="1" a="1"/>
  <c r="J28" i="19" s="1"/>
  <c r="L28" i="19" s="1"/>
  <c r="I27" i="19"/>
  <c r="J27" i="19" s="1" a="1"/>
  <c r="J27" i="19" s="1"/>
  <c r="L27" i="19" s="1"/>
  <c r="I26" i="19"/>
  <c r="J26" i="19" s="1" a="1"/>
  <c r="J26" i="19" s="1"/>
  <c r="L26" i="19" s="1"/>
  <c r="I25" i="19"/>
  <c r="J25" i="19" s="1" a="1"/>
  <c r="J25" i="19" s="1"/>
  <c r="L25" i="19" s="1"/>
  <c r="I24" i="19"/>
  <c r="J24" i="19" s="1" a="1"/>
  <c r="J24" i="19" s="1"/>
  <c r="L24" i="19" s="1"/>
  <c r="I23" i="19"/>
  <c r="J23" i="19" s="1" a="1"/>
  <c r="J23" i="19" s="1"/>
  <c r="L23" i="19" s="1"/>
  <c r="I22" i="19"/>
  <c r="I19" i="19"/>
  <c r="J19" i="19" s="1" a="1"/>
  <c r="J19" i="19" s="1"/>
  <c r="L19" i="19" s="1"/>
  <c r="I18" i="19"/>
  <c r="J18" i="19" s="1" a="1"/>
  <c r="J18" i="19" s="1"/>
  <c r="L18" i="19" s="1"/>
  <c r="I17" i="19"/>
  <c r="J17" i="19" s="1" a="1"/>
  <c r="J17" i="19" s="1"/>
  <c r="L17" i="19" s="1"/>
  <c r="I16" i="19"/>
  <c r="J16" i="19" s="1" a="1"/>
  <c r="J16" i="19" s="1"/>
  <c r="L16" i="19" s="1"/>
  <c r="I15" i="19"/>
  <c r="J15" i="19" s="1" a="1"/>
  <c r="J15" i="19" s="1"/>
  <c r="L15" i="19" s="1"/>
  <c r="I14" i="19"/>
  <c r="H3" i="19" s="1"/>
  <c r="I69" i="13"/>
  <c r="J69" i="13" s="1" a="1"/>
  <c r="J69" i="13" s="1"/>
  <c r="I68" i="13"/>
  <c r="J68" i="13" s="1" a="1"/>
  <c r="J68" i="13" s="1"/>
  <c r="I67" i="13"/>
  <c r="J67" i="13" s="1" a="1"/>
  <c r="J67" i="13" s="1"/>
  <c r="I66" i="13"/>
  <c r="J66" i="13" s="1" a="1"/>
  <c r="J66" i="13" s="1"/>
  <c r="I65" i="13"/>
  <c r="J65" i="13" s="1" a="1"/>
  <c r="J65" i="13" s="1"/>
  <c r="I64" i="13"/>
  <c r="J64" i="13" s="1" a="1"/>
  <c r="J64" i="13" s="1"/>
  <c r="I63" i="13"/>
  <c r="J63" i="13" s="1" a="1"/>
  <c r="J63" i="13" s="1"/>
  <c r="I62" i="13"/>
  <c r="H9" i="13" s="1"/>
  <c r="I60" i="13"/>
  <c r="J60" i="13" s="1" a="1"/>
  <c r="J60" i="13" s="1"/>
  <c r="I59" i="13"/>
  <c r="J59" i="13" s="1" a="1"/>
  <c r="J59" i="13" s="1"/>
  <c r="I58" i="13"/>
  <c r="J58" i="13" s="1" a="1"/>
  <c r="J58" i="13" s="1"/>
  <c r="I57" i="13"/>
  <c r="J57" i="13" s="1" a="1"/>
  <c r="J57" i="13" s="1"/>
  <c r="I56" i="13"/>
  <c r="J56" i="13" s="1" a="1"/>
  <c r="J56" i="13" s="1"/>
  <c r="I55" i="13"/>
  <c r="J55" i="13" s="1" a="1"/>
  <c r="J55" i="13" s="1"/>
  <c r="I54" i="13"/>
  <c r="J54" i="13" s="1" a="1"/>
  <c r="J54" i="13" s="1"/>
  <c r="I53" i="13"/>
  <c r="H8" i="13" s="1"/>
  <c r="I51" i="13"/>
  <c r="J51" i="13" s="1" a="1"/>
  <c r="J51" i="13" s="1"/>
  <c r="I50" i="13"/>
  <c r="J50" i="13" s="1" a="1"/>
  <c r="J50" i="13" s="1"/>
  <c r="I49" i="13"/>
  <c r="J49" i="13" s="1" a="1"/>
  <c r="J49" i="13" s="1"/>
  <c r="I48" i="13"/>
  <c r="J48" i="13" s="1" a="1"/>
  <c r="J48" i="13" s="1"/>
  <c r="I47" i="13"/>
  <c r="J47" i="13" s="1" a="1"/>
  <c r="J47" i="13" s="1"/>
  <c r="I46" i="13"/>
  <c r="H7" i="13" s="1"/>
  <c r="I44" i="13"/>
  <c r="J44" i="13" s="1" a="1"/>
  <c r="J44" i="13" s="1"/>
  <c r="I43" i="13"/>
  <c r="J43" i="13" s="1" a="1"/>
  <c r="J43" i="13" s="1"/>
  <c r="I42" i="13"/>
  <c r="J42" i="13" s="1" a="1"/>
  <c r="J42" i="13" s="1"/>
  <c r="I41" i="13"/>
  <c r="J41" i="13" s="1" a="1"/>
  <c r="J41" i="13" s="1"/>
  <c r="I40" i="13"/>
  <c r="J40" i="13" s="1" a="1"/>
  <c r="J40" i="13" s="1"/>
  <c r="I39" i="13"/>
  <c r="J39" i="13" s="1" a="1"/>
  <c r="J39" i="13" s="1"/>
  <c r="I38" i="13"/>
  <c r="H6" i="13" s="1"/>
  <c r="I37" i="13"/>
  <c r="J37" i="13" s="1" a="1"/>
  <c r="J37" i="13" s="1"/>
  <c r="I36" i="13"/>
  <c r="J36" i="13" s="1" a="1"/>
  <c r="J36" i="13" s="1"/>
  <c r="I35" i="13"/>
  <c r="J35" i="13" s="1" a="1"/>
  <c r="J35" i="13" s="1"/>
  <c r="I34" i="13"/>
  <c r="J34" i="13" s="1" a="1"/>
  <c r="J34" i="13" s="1"/>
  <c r="I33" i="13"/>
  <c r="J33" i="13" s="1" a="1"/>
  <c r="J33" i="13" s="1"/>
  <c r="I32" i="13"/>
  <c r="J32" i="13" s="1" a="1"/>
  <c r="J32" i="13" s="1"/>
  <c r="I31" i="13"/>
  <c r="J31" i="13" s="1" a="1"/>
  <c r="J31" i="13" s="1"/>
  <c r="I30" i="13"/>
  <c r="J30" i="13" s="1" a="1"/>
  <c r="J30" i="13" s="1"/>
  <c r="I29" i="13"/>
  <c r="I28" i="13"/>
  <c r="J28" i="13" s="1" a="1"/>
  <c r="J28" i="13" s="1"/>
  <c r="I27" i="13"/>
  <c r="J27" i="13" s="1" a="1"/>
  <c r="J27" i="13" s="1"/>
  <c r="I26" i="13"/>
  <c r="J26" i="13" s="1" a="1"/>
  <c r="J26" i="13" s="1"/>
  <c r="I25" i="13"/>
  <c r="J25" i="13" s="1" a="1"/>
  <c r="J25" i="13" s="1"/>
  <c r="I24" i="13"/>
  <c r="J24" i="13" s="1" a="1"/>
  <c r="J24" i="13" s="1"/>
  <c r="I23" i="13"/>
  <c r="J23" i="13" s="1" a="1"/>
  <c r="J23" i="13" s="1"/>
  <c r="I22" i="13"/>
  <c r="I19" i="13"/>
  <c r="J19" i="13" s="1" a="1"/>
  <c r="J19" i="13" s="1"/>
  <c r="I18" i="13"/>
  <c r="J18" i="13" s="1" a="1"/>
  <c r="J18" i="13" s="1"/>
  <c r="I17" i="13"/>
  <c r="J17" i="13" s="1" a="1"/>
  <c r="J17" i="13" s="1"/>
  <c r="I16" i="13"/>
  <c r="J16" i="13" s="1" a="1"/>
  <c r="J16" i="13" s="1"/>
  <c r="I15" i="13"/>
  <c r="J15" i="13" s="1" a="1"/>
  <c r="J15" i="13" s="1"/>
  <c r="I14" i="13"/>
  <c r="H3" i="13" s="1"/>
  <c r="I15" i="1"/>
  <c r="I69" i="2"/>
  <c r="J69" i="2" s="1" a="1"/>
  <c r="J69" i="2" s="1"/>
  <c r="L69" i="2" s="1"/>
  <c r="I68" i="2"/>
  <c r="J68" i="2" s="1" a="1"/>
  <c r="J68" i="2" s="1"/>
  <c r="L68" i="2" s="1"/>
  <c r="I67" i="2"/>
  <c r="J67" i="2" s="1" a="1"/>
  <c r="J67" i="2" s="1"/>
  <c r="L67" i="2" s="1"/>
  <c r="I66" i="2"/>
  <c r="J66" i="2" s="1" a="1"/>
  <c r="J66" i="2" s="1"/>
  <c r="L66" i="2" s="1"/>
  <c r="I65" i="2"/>
  <c r="J65" i="2" s="1" a="1"/>
  <c r="J65" i="2" s="1"/>
  <c r="L65" i="2" s="1"/>
  <c r="I64" i="2"/>
  <c r="J64" i="2" s="1" a="1"/>
  <c r="J64" i="2" s="1"/>
  <c r="L64" i="2" s="1"/>
  <c r="I63" i="2"/>
  <c r="J63" i="2" s="1" a="1"/>
  <c r="J63" i="2" s="1"/>
  <c r="L63" i="2" s="1"/>
  <c r="I62" i="2"/>
  <c r="H9" i="2" s="1"/>
  <c r="I60" i="2"/>
  <c r="J60" i="2" s="1" a="1"/>
  <c r="J60" i="2" s="1"/>
  <c r="L60" i="2" s="1"/>
  <c r="I59" i="2"/>
  <c r="J59" i="2" s="1" a="1"/>
  <c r="J59" i="2" s="1"/>
  <c r="L59" i="2" s="1"/>
  <c r="I58" i="2"/>
  <c r="J58" i="2" s="1" a="1"/>
  <c r="J58" i="2" s="1"/>
  <c r="L58" i="2" s="1"/>
  <c r="I57" i="2"/>
  <c r="J57" i="2" s="1" a="1"/>
  <c r="J57" i="2" s="1"/>
  <c r="L57" i="2" s="1"/>
  <c r="I56" i="2"/>
  <c r="J56" i="2" s="1" a="1"/>
  <c r="J56" i="2" s="1"/>
  <c r="L56" i="2" s="1"/>
  <c r="I55" i="2"/>
  <c r="J55" i="2" s="1" a="1"/>
  <c r="J55" i="2" s="1"/>
  <c r="L55" i="2" s="1"/>
  <c r="I54" i="2"/>
  <c r="J54" i="2" s="1" a="1"/>
  <c r="J54" i="2" s="1"/>
  <c r="L54" i="2" s="1"/>
  <c r="I53" i="2"/>
  <c r="H8" i="2" s="1"/>
  <c r="I51" i="2"/>
  <c r="J51" i="2" s="1" a="1"/>
  <c r="J51" i="2" s="1"/>
  <c r="L51" i="2" s="1"/>
  <c r="I50" i="2"/>
  <c r="J50" i="2" s="1" a="1"/>
  <c r="J50" i="2" s="1"/>
  <c r="L50" i="2" s="1"/>
  <c r="I49" i="2"/>
  <c r="J49" i="2" s="1" a="1"/>
  <c r="J49" i="2" s="1"/>
  <c r="L49" i="2" s="1"/>
  <c r="I48" i="2"/>
  <c r="J48" i="2" s="1" a="1"/>
  <c r="J48" i="2" s="1"/>
  <c r="L48" i="2" s="1"/>
  <c r="I47" i="2"/>
  <c r="J47" i="2" s="1" a="1"/>
  <c r="J47" i="2" s="1"/>
  <c r="L47" i="2" s="1"/>
  <c r="I46" i="2"/>
  <c r="H7" i="2" s="1"/>
  <c r="I44" i="2"/>
  <c r="J44" i="2" s="1" a="1"/>
  <c r="J44" i="2" s="1"/>
  <c r="L44" i="2" s="1"/>
  <c r="I43" i="2"/>
  <c r="J43" i="2" s="1" a="1"/>
  <c r="J43" i="2" s="1"/>
  <c r="L43" i="2" s="1"/>
  <c r="I42" i="2"/>
  <c r="J42" i="2" s="1" a="1"/>
  <c r="J42" i="2" s="1"/>
  <c r="L42" i="2" s="1"/>
  <c r="I41" i="2"/>
  <c r="J41" i="2" s="1" a="1"/>
  <c r="J41" i="2" s="1"/>
  <c r="L41" i="2" s="1"/>
  <c r="I40" i="2"/>
  <c r="J40" i="2" s="1" a="1"/>
  <c r="J40" i="2" s="1"/>
  <c r="L40" i="2" s="1"/>
  <c r="I39" i="2"/>
  <c r="J39" i="2" s="1" a="1"/>
  <c r="J39" i="2" s="1"/>
  <c r="L39" i="2" s="1"/>
  <c r="I38" i="2"/>
  <c r="H6" i="2" s="1"/>
  <c r="I37" i="2"/>
  <c r="J37" i="2" s="1" a="1"/>
  <c r="J37" i="2" s="1"/>
  <c r="L37" i="2" s="1"/>
  <c r="I36" i="2"/>
  <c r="J36" i="2" s="1" a="1"/>
  <c r="J36" i="2" s="1"/>
  <c r="L36" i="2" s="1"/>
  <c r="I35" i="2"/>
  <c r="J35" i="2" s="1" a="1"/>
  <c r="J35" i="2" s="1"/>
  <c r="L35" i="2" s="1"/>
  <c r="I34" i="2"/>
  <c r="J34" i="2" s="1" a="1"/>
  <c r="J34" i="2" s="1"/>
  <c r="L34" i="2" s="1"/>
  <c r="I33" i="2"/>
  <c r="J33" i="2" s="1" a="1"/>
  <c r="J33" i="2" s="1"/>
  <c r="L33" i="2" s="1"/>
  <c r="I32" i="2"/>
  <c r="J32" i="2" s="1" a="1"/>
  <c r="J32" i="2" s="1"/>
  <c r="L32" i="2" s="1"/>
  <c r="I31" i="2"/>
  <c r="J31" i="2" s="1" a="1"/>
  <c r="J31" i="2" s="1"/>
  <c r="L31" i="2" s="1"/>
  <c r="I30" i="2"/>
  <c r="J30" i="2" s="1" a="1"/>
  <c r="J30" i="2" s="1"/>
  <c r="L30" i="2" s="1"/>
  <c r="I29" i="2"/>
  <c r="I28" i="2"/>
  <c r="J28" i="2" s="1" a="1"/>
  <c r="J28" i="2" s="1"/>
  <c r="L28" i="2" s="1"/>
  <c r="I27" i="2"/>
  <c r="J27" i="2" s="1" a="1"/>
  <c r="J27" i="2" s="1"/>
  <c r="L27" i="2" s="1"/>
  <c r="I26" i="2"/>
  <c r="J26" i="2" s="1" a="1"/>
  <c r="J26" i="2" s="1"/>
  <c r="L26" i="2" s="1"/>
  <c r="I25" i="2"/>
  <c r="J25" i="2" s="1" a="1"/>
  <c r="J25" i="2" s="1"/>
  <c r="L25" i="2" s="1"/>
  <c r="I24" i="2"/>
  <c r="J24" i="2" s="1" a="1"/>
  <c r="J24" i="2" s="1"/>
  <c r="L24" i="2" s="1"/>
  <c r="I23" i="2"/>
  <c r="J23" i="2" s="1" a="1"/>
  <c r="J23" i="2" s="1"/>
  <c r="L23" i="2" s="1"/>
  <c r="I22" i="2"/>
  <c r="I19" i="2"/>
  <c r="J19" i="2" s="1" a="1"/>
  <c r="J19" i="2" s="1"/>
  <c r="L19" i="2" s="1"/>
  <c r="I18" i="2"/>
  <c r="J18" i="2" s="1" a="1"/>
  <c r="J18" i="2" s="1"/>
  <c r="L18" i="2" s="1"/>
  <c r="I17" i="2"/>
  <c r="J17" i="2" s="1" a="1"/>
  <c r="J17" i="2" s="1"/>
  <c r="L17" i="2" s="1"/>
  <c r="I16" i="2"/>
  <c r="J16" i="2" s="1" a="1"/>
  <c r="J16" i="2" s="1"/>
  <c r="L16" i="2" s="1"/>
  <c r="I70" i="1"/>
  <c r="J70" i="1" s="1" a="1"/>
  <c r="J70" i="1" s="1"/>
  <c r="L70" i="1" s="1"/>
  <c r="I69" i="1"/>
  <c r="L68" i="18" s="1"/>
  <c r="M68" i="18" s="1" a="1"/>
  <c r="M68" i="18" s="1"/>
  <c r="I68" i="1"/>
  <c r="J68" i="1" s="1" a="1"/>
  <c r="J68" i="1" s="1"/>
  <c r="L68" i="1" s="1"/>
  <c r="I67" i="1"/>
  <c r="L66" i="18" s="1"/>
  <c r="M66" i="18" s="1" a="1"/>
  <c r="M66" i="18" s="1"/>
  <c r="I66" i="1"/>
  <c r="J66" i="1" s="1" a="1"/>
  <c r="J66" i="1" s="1"/>
  <c r="L66" i="1" s="1"/>
  <c r="I65" i="1"/>
  <c r="L64" i="18" s="1"/>
  <c r="M64" i="18" s="1" a="1"/>
  <c r="M64" i="18" s="1"/>
  <c r="I64" i="1"/>
  <c r="L63" i="18" s="1"/>
  <c r="M63" i="18" s="1" a="1"/>
  <c r="M63" i="18" s="1"/>
  <c r="I63" i="1"/>
  <c r="I61" i="1"/>
  <c r="J61" i="1" s="1" a="1"/>
  <c r="J61" i="1" s="1"/>
  <c r="L61" i="1" s="1"/>
  <c r="I60" i="1"/>
  <c r="L59" i="18" s="1"/>
  <c r="M59" i="18" s="1" a="1"/>
  <c r="M59" i="18" s="1"/>
  <c r="I59" i="1"/>
  <c r="J59" i="1" s="1" a="1"/>
  <c r="J59" i="1" s="1"/>
  <c r="L59" i="1" s="1"/>
  <c r="I58" i="1"/>
  <c r="J58" i="1" s="1" a="1"/>
  <c r="J58" i="1" s="1"/>
  <c r="L58" i="1" s="1"/>
  <c r="I57" i="1"/>
  <c r="J57" i="1" s="1" a="1"/>
  <c r="J57" i="1" s="1"/>
  <c r="L57" i="1" s="1"/>
  <c r="I56" i="1"/>
  <c r="L55" i="18" s="1"/>
  <c r="M55" i="18" s="1" a="1"/>
  <c r="M55" i="18" s="1"/>
  <c r="I55" i="1"/>
  <c r="L54" i="18" s="1"/>
  <c r="M54" i="18" s="1" a="1"/>
  <c r="M54" i="18" s="1"/>
  <c r="I54" i="1"/>
  <c r="I52" i="1"/>
  <c r="J52" i="1" s="1" a="1"/>
  <c r="J52" i="1" s="1"/>
  <c r="L52" i="1" s="1"/>
  <c r="I51" i="1"/>
  <c r="L50" i="18" s="1"/>
  <c r="M50" i="18" s="1" a="1"/>
  <c r="M50" i="18" s="1"/>
  <c r="I50" i="1"/>
  <c r="J50" i="1" s="1" a="1"/>
  <c r="J50" i="1" s="1"/>
  <c r="L50" i="1" s="1"/>
  <c r="I49" i="1"/>
  <c r="J49" i="1" s="1" a="1"/>
  <c r="J49" i="1" s="1"/>
  <c r="L49" i="1" s="1"/>
  <c r="I48" i="1"/>
  <c r="L47" i="18" s="1"/>
  <c r="M47" i="18" s="1" a="1"/>
  <c r="M47" i="18" s="1"/>
  <c r="I47" i="1"/>
  <c r="H7" i="1" s="1"/>
  <c r="I45" i="1"/>
  <c r="J45" i="1" s="1" a="1"/>
  <c r="J45" i="1" s="1"/>
  <c r="L45" i="1" s="1"/>
  <c r="I44" i="1"/>
  <c r="J44" i="1" s="1" a="1"/>
  <c r="J44" i="1" s="1"/>
  <c r="L44" i="1" s="1"/>
  <c r="I43" i="1"/>
  <c r="J43" i="1" s="1" a="1"/>
  <c r="J43" i="1" s="1"/>
  <c r="L43" i="1" s="1"/>
  <c r="I42" i="1"/>
  <c r="L41" i="18" s="1"/>
  <c r="M41" i="18" s="1" a="1"/>
  <c r="M41" i="18" s="1"/>
  <c r="I41" i="1"/>
  <c r="I40" i="1"/>
  <c r="J40" i="1" s="1" a="1"/>
  <c r="J40" i="1" s="1"/>
  <c r="L40" i="1" s="1"/>
  <c r="I39" i="1"/>
  <c r="H6" i="1" s="1"/>
  <c r="I38" i="1"/>
  <c r="L37" i="18" s="1"/>
  <c r="M37" i="18" s="1" a="1"/>
  <c r="M37" i="18" s="1"/>
  <c r="I37" i="1"/>
  <c r="L36" i="18" s="1"/>
  <c r="M36" i="18" s="1" a="1"/>
  <c r="M36" i="18" s="1"/>
  <c r="I36" i="1"/>
  <c r="J36" i="1" s="1" a="1"/>
  <c r="J36" i="1" s="1"/>
  <c r="L36" i="1" s="1"/>
  <c r="I35" i="1"/>
  <c r="J35" i="1" s="1" a="1"/>
  <c r="J35" i="1" s="1"/>
  <c r="L35" i="1" s="1"/>
  <c r="I34" i="1"/>
  <c r="L33" i="18" s="1"/>
  <c r="M33" i="18" s="1" a="1"/>
  <c r="M33" i="18" s="1"/>
  <c r="I33" i="1"/>
  <c r="J33" i="1" s="1" a="1"/>
  <c r="J33" i="1" s="1"/>
  <c r="L33" i="1" s="1"/>
  <c r="I32" i="1"/>
  <c r="J32" i="1" s="1" a="1"/>
  <c r="J32" i="1" s="1"/>
  <c r="L32" i="1" s="1"/>
  <c r="I31" i="1"/>
  <c r="J31" i="1" s="1" a="1"/>
  <c r="J31" i="1" s="1"/>
  <c r="L31" i="1" s="1"/>
  <c r="I30" i="1"/>
  <c r="L29" i="18" s="1"/>
  <c r="M29" i="18" s="1" a="1"/>
  <c r="M29" i="18" s="1"/>
  <c r="I29" i="1"/>
  <c r="L28" i="18" s="1"/>
  <c r="M28" i="18" s="1" a="1"/>
  <c r="M28" i="18" s="1"/>
  <c r="I28" i="1"/>
  <c r="L27" i="18" s="1"/>
  <c r="M27" i="18" s="1" a="1"/>
  <c r="M27" i="18" s="1"/>
  <c r="I26" i="1"/>
  <c r="J26" i="1" s="1" a="1"/>
  <c r="J26" i="1" s="1"/>
  <c r="L26" i="1" s="1"/>
  <c r="I25" i="1"/>
  <c r="J25" i="1" s="1" a="1"/>
  <c r="J25" i="1" s="1"/>
  <c r="L25" i="1" s="1"/>
  <c r="I24" i="1"/>
  <c r="L23" i="18" s="1"/>
  <c r="M23" i="18" s="1" a="1"/>
  <c r="M23" i="18" s="1"/>
  <c r="I23" i="1"/>
  <c r="J23" i="1" s="1" a="1"/>
  <c r="J23" i="1" s="1"/>
  <c r="L23" i="1" s="1"/>
  <c r="I20" i="1"/>
  <c r="L19" i="18" s="1"/>
  <c r="M19" i="18" s="1" a="1"/>
  <c r="M19" i="18" s="1"/>
  <c r="I19" i="1"/>
  <c r="J19" i="1" s="1" a="1"/>
  <c r="J19" i="1" s="1"/>
  <c r="L19" i="1" s="1"/>
  <c r="I18" i="1"/>
  <c r="J18" i="1" s="1" a="1"/>
  <c r="J18" i="1" s="1"/>
  <c r="L18" i="1" s="1"/>
  <c r="I16" i="1"/>
  <c r="I15" i="2"/>
  <c r="J15" i="2" s="1" a="1"/>
  <c r="J15" i="2" s="1"/>
  <c r="L15" i="2" s="1"/>
  <c r="I17" i="1"/>
  <c r="L16" i="18" s="1"/>
  <c r="M16" i="18" s="1" a="1"/>
  <c r="M16" i="18" s="1"/>
  <c r="I27" i="1"/>
  <c r="L26" i="18" s="1"/>
  <c r="M26" i="18" s="1" a="1"/>
  <c r="M26" i="18" s="1"/>
  <c r="I14" i="2"/>
  <c r="H3" i="2" s="1"/>
  <c r="F5" i="1"/>
  <c r="F4" i="1"/>
  <c r="L53" i="18" l="1"/>
  <c r="M53" i="18" s="1" a="1"/>
  <c r="M53" i="18" s="1"/>
  <c r="H8" i="1"/>
  <c r="J15" i="1" a="1"/>
  <c r="J15" i="1" s="1"/>
  <c r="H3" i="1"/>
  <c r="L62" i="18"/>
  <c r="M62" i="18" s="1" a="1"/>
  <c r="M62" i="18" s="1"/>
  <c r="H9" i="1"/>
  <c r="J71" i="1" a="1"/>
  <c r="J71" i="1" s="1"/>
  <c r="L71" i="1" s="1"/>
  <c r="L70" i="18"/>
  <c r="M70" i="18" s="1" a="1"/>
  <c r="M70" i="18" s="1"/>
  <c r="N70" i="18"/>
  <c r="J46" i="1" a="1"/>
  <c r="J46" i="1" s="1"/>
  <c r="L46" i="1" s="1"/>
  <c r="L45" i="18"/>
  <c r="M45" i="18" s="1" a="1"/>
  <c r="M45" i="18" s="1"/>
  <c r="N45" i="18"/>
  <c r="J29" i="21" a="1"/>
  <c r="J29" i="21" s="1"/>
  <c r="L29" i="21" s="1"/>
  <c r="J5" i="21" s="1"/>
  <c r="I5" i="18" s="1"/>
  <c r="H5" i="21"/>
  <c r="J46" i="21" a="1"/>
  <c r="J46" i="21" s="1"/>
  <c r="L46" i="21" s="1"/>
  <c r="J53" i="21" a="1"/>
  <c r="J53" i="21" s="1"/>
  <c r="L53" i="21" s="1"/>
  <c r="J62" i="21" a="1"/>
  <c r="J62" i="21" s="1"/>
  <c r="L62" i="21" s="1"/>
  <c r="J14" i="22" a="1"/>
  <c r="J14" i="22" s="1"/>
  <c r="L14" i="22" s="1"/>
  <c r="J3" i="22" s="1"/>
  <c r="J29" i="22" a="1"/>
  <c r="J29" i="22" s="1"/>
  <c r="L29" i="22" s="1"/>
  <c r="J5" i="22" s="1"/>
  <c r="H5" i="18" s="1"/>
  <c r="H5" i="22"/>
  <c r="J38" i="22" a="1"/>
  <c r="J38" i="22" s="1"/>
  <c r="L38" i="22" s="1"/>
  <c r="J46" i="22" a="1"/>
  <c r="J46" i="22" s="1"/>
  <c r="L46" i="22" s="1"/>
  <c r="J62" i="22" a="1"/>
  <c r="J62" i="22" s="1"/>
  <c r="L62" i="22" s="1"/>
  <c r="J22" i="20" a="1"/>
  <c r="J22" i="20" s="1"/>
  <c r="L22" i="20" s="1"/>
  <c r="H4" i="20"/>
  <c r="J29" i="20" a="1"/>
  <c r="J29" i="20" s="1"/>
  <c r="L29" i="20" s="1"/>
  <c r="H5" i="20"/>
  <c r="J38" i="20" a="1"/>
  <c r="J38" i="20" s="1"/>
  <c r="L38" i="20" s="1"/>
  <c r="J6" i="20" s="1"/>
  <c r="J46" i="20" a="1"/>
  <c r="J46" i="20" s="1"/>
  <c r="L46" i="20" s="1"/>
  <c r="J7" i="20" s="1"/>
  <c r="J53" i="20" a="1"/>
  <c r="J53" i="20" s="1"/>
  <c r="L53" i="20" s="1"/>
  <c r="J62" i="20" a="1"/>
  <c r="J62" i="20" s="1"/>
  <c r="L62" i="20" s="1"/>
  <c r="J9" i="20" s="1"/>
  <c r="J22" i="19" a="1"/>
  <c r="J22" i="19" s="1"/>
  <c r="L22" i="19" s="1"/>
  <c r="J4" i="19" s="1"/>
  <c r="F4" i="18" s="1"/>
  <c r="H4" i="19"/>
  <c r="J29" i="19" a="1"/>
  <c r="J29" i="19" s="1"/>
  <c r="L29" i="19" s="1"/>
  <c r="J5" i="19" s="1"/>
  <c r="F5" i="18" s="1"/>
  <c r="H5" i="19"/>
  <c r="J46" i="19" a="1"/>
  <c r="J46" i="19" s="1"/>
  <c r="L46" i="19" s="1"/>
  <c r="J53" i="19" a="1"/>
  <c r="J53" i="19" s="1"/>
  <c r="L53" i="19" s="1"/>
  <c r="J62" i="19" a="1"/>
  <c r="J62" i="19" s="1"/>
  <c r="L62" i="19" s="1"/>
  <c r="J14" i="13" a="1"/>
  <c r="J14" i="13" s="1"/>
  <c r="H4" i="13"/>
  <c r="J22" i="13" a="1"/>
  <c r="J22" i="13" s="1"/>
  <c r="H5" i="13"/>
  <c r="J29" i="13" a="1"/>
  <c r="J29" i="13" s="1"/>
  <c r="J38" i="13" a="1"/>
  <c r="J38" i="13" s="1"/>
  <c r="J46" i="13" a="1"/>
  <c r="J46" i="13" s="1"/>
  <c r="J53" i="13" a="1"/>
  <c r="J53" i="13" s="1"/>
  <c r="J62" i="13" a="1"/>
  <c r="J62" i="13" s="1"/>
  <c r="J14" i="2" a="1"/>
  <c r="J14" i="2" s="1"/>
  <c r="L14" i="2" s="1"/>
  <c r="J3" i="2" s="1"/>
  <c r="L15" i="18"/>
  <c r="H4" i="2"/>
  <c r="J22" i="2" a="1"/>
  <c r="J22" i="2" s="1"/>
  <c r="H5" i="2"/>
  <c r="J29" i="2" a="1"/>
  <c r="J29" i="2" s="1"/>
  <c r="L29" i="2" s="1"/>
  <c r="J5" i="2" s="1"/>
  <c r="D5" i="18" s="1"/>
  <c r="J38" i="2" a="1"/>
  <c r="J38" i="2" s="1"/>
  <c r="L38" i="2" s="1"/>
  <c r="J46" i="2" a="1"/>
  <c r="J46" i="2" s="1"/>
  <c r="L46" i="2" s="1"/>
  <c r="J53" i="2" a="1"/>
  <c r="J53" i="2" s="1"/>
  <c r="L53" i="2" s="1"/>
  <c r="J62" i="2" a="1"/>
  <c r="J62" i="2" s="1"/>
  <c r="L62" i="2" s="1"/>
  <c r="L38" i="18"/>
  <c r="J41" i="1" a="1"/>
  <c r="J41" i="1" s="1"/>
  <c r="L41" i="1" s="1"/>
  <c r="L40" i="18"/>
  <c r="L46" i="18"/>
  <c r="H3" i="18"/>
  <c r="L14" i="18"/>
  <c r="J29" i="1" a="1"/>
  <c r="J29" i="1" s="1"/>
  <c r="L29" i="1" s="1"/>
  <c r="J38" i="1" a="1"/>
  <c r="J38" i="1" s="1"/>
  <c r="L38" i="1" s="1"/>
  <c r="L32" i="18"/>
  <c r="K23" i="18"/>
  <c r="K16" i="18"/>
  <c r="N16" i="18" s="1"/>
  <c r="K30" i="18"/>
  <c r="K35" i="18"/>
  <c r="K48" i="18"/>
  <c r="K62" i="18"/>
  <c r="N62" i="18" s="1"/>
  <c r="K42" i="18"/>
  <c r="K56" i="18"/>
  <c r="K69" i="18"/>
  <c r="K15" i="18"/>
  <c r="K22" i="18"/>
  <c r="K39" i="18"/>
  <c r="K29" i="18"/>
  <c r="N29" i="18" s="1"/>
  <c r="K34" i="18"/>
  <c r="K53" i="18"/>
  <c r="N53" i="18" s="1"/>
  <c r="K66" i="18"/>
  <c r="N66" i="18" s="1"/>
  <c r="K24" i="18"/>
  <c r="K47" i="18"/>
  <c r="K60" i="18"/>
  <c r="K37" i="18"/>
  <c r="N37" i="18" s="1"/>
  <c r="J39" i="1" a="1"/>
  <c r="J39" i="1" s="1"/>
  <c r="L39" i="1" s="1"/>
  <c r="K67" i="18"/>
  <c r="L65" i="18"/>
  <c r="J55" i="1" a="1"/>
  <c r="J55" i="1" s="1"/>
  <c r="L55" i="1" s="1"/>
  <c r="L67" i="18"/>
  <c r="L24" i="18"/>
  <c r="K64" i="18"/>
  <c r="N64" i="18" s="1"/>
  <c r="L35" i="18"/>
  <c r="J63" i="1" a="1"/>
  <c r="J63" i="1" s="1"/>
  <c r="L63" i="1" s="1"/>
  <c r="J54" i="1" a="1"/>
  <c r="J54" i="1" s="1"/>
  <c r="L54" i="1" s="1"/>
  <c r="L58" i="18"/>
  <c r="J20" i="1" a="1"/>
  <c r="J20" i="1" s="1"/>
  <c r="L20" i="1" s="1"/>
  <c r="L51" i="18"/>
  <c r="L60" i="18"/>
  <c r="J48" i="1" a="1"/>
  <c r="J48" i="1" s="1"/>
  <c r="L48" i="1" s="1"/>
  <c r="J65" i="1" a="1"/>
  <c r="J65" i="1" s="1"/>
  <c r="L65" i="1" s="1"/>
  <c r="L25" i="18"/>
  <c r="L44" i="18"/>
  <c r="K54" i="18"/>
  <c r="N54" i="18" s="1"/>
  <c r="J67" i="1" a="1"/>
  <c r="J67" i="1" s="1"/>
  <c r="L67" i="1" s="1"/>
  <c r="L39" i="18"/>
  <c r="J47" i="1" a="1"/>
  <c r="J47" i="1" s="1"/>
  <c r="L47" i="1" s="1"/>
  <c r="J27" i="1" a="1"/>
  <c r="J27" i="1" s="1"/>
  <c r="L27" i="1" s="1"/>
  <c r="L22" i="18"/>
  <c r="K50" i="18"/>
  <c r="N50" i="18" s="1"/>
  <c r="J37" i="1" a="1"/>
  <c r="J37" i="1" s="1"/>
  <c r="L37" i="1" s="1"/>
  <c r="L34" i="18"/>
  <c r="J51" i="1" a="1"/>
  <c r="J51" i="1" s="1"/>
  <c r="L51" i="1" s="1"/>
  <c r="J28" i="1" a="1"/>
  <c r="J28" i="1" s="1"/>
  <c r="L28" i="1" s="1"/>
  <c r="L48" i="18"/>
  <c r="J64" i="1" a="1"/>
  <c r="J64" i="1" s="1"/>
  <c r="L64" i="1" s="1"/>
  <c r="J24" i="1" a="1"/>
  <c r="J24" i="1" s="1"/>
  <c r="L24" i="1" s="1"/>
  <c r="L17" i="18"/>
  <c r="K19" i="18"/>
  <c r="N19" i="18" s="1"/>
  <c r="K40" i="18"/>
  <c r="L31" i="18"/>
  <c r="K36" i="18"/>
  <c r="N36" i="18" s="1"/>
  <c r="L43" i="18"/>
  <c r="K27" i="18"/>
  <c r="N27" i="18" s="1"/>
  <c r="J60" i="1" a="1"/>
  <c r="J60" i="1" s="1"/>
  <c r="L60" i="1" s="1"/>
  <c r="K18" i="18"/>
  <c r="K26" i="18"/>
  <c r="N26" i="18" s="1"/>
  <c r="K59" i="18"/>
  <c r="N59" i="18" s="1"/>
  <c r="J42" i="1" a="1"/>
  <c r="J42" i="1" s="1"/>
  <c r="L42" i="1" s="1"/>
  <c r="J34" i="1" a="1"/>
  <c r="J34" i="1" s="1"/>
  <c r="L34" i="1" s="1"/>
  <c r="J17" i="1" a="1"/>
  <c r="J17" i="1" s="1"/>
  <c r="L17" i="1" s="1"/>
  <c r="K17" i="18"/>
  <c r="L30" i="18"/>
  <c r="K32" i="18"/>
  <c r="L42" i="18"/>
  <c r="K44" i="18"/>
  <c r="L49" i="18"/>
  <c r="L56" i="18"/>
  <c r="K58" i="18"/>
  <c r="L69" i="18"/>
  <c r="J16" i="1" a="1"/>
  <c r="J16" i="1" s="1"/>
  <c r="L16" i="1" s="1"/>
  <c r="L18" i="18"/>
  <c r="K31" i="18"/>
  <c r="J56" i="1" a="1"/>
  <c r="J56" i="1" s="1"/>
  <c r="L56" i="1" s="1"/>
  <c r="J30" i="1" a="1"/>
  <c r="J30" i="1" s="1"/>
  <c r="L30" i="1" s="1"/>
  <c r="K49" i="18"/>
  <c r="L57" i="18"/>
  <c r="K63" i="18"/>
  <c r="N63" i="18" s="1"/>
  <c r="J69" i="1" a="1"/>
  <c r="J69" i="1" s="1"/>
  <c r="L69" i="1" s="1"/>
  <c r="K33" i="18"/>
  <c r="N33" i="18" s="1"/>
  <c r="K46" i="18"/>
  <c r="K25" i="18"/>
  <c r="K41" i="18"/>
  <c r="N41" i="18" s="1"/>
  <c r="K55" i="18"/>
  <c r="N55" i="18" s="1"/>
  <c r="K68" i="18"/>
  <c r="N68" i="18" s="1"/>
  <c r="N23" i="18"/>
  <c r="N47" i="18"/>
  <c r="N28" i="18"/>
  <c r="J53" i="22" a="1"/>
  <c r="J53" i="22" s="1"/>
  <c r="L53" i="22" s="1"/>
  <c r="J22" i="22" a="1"/>
  <c r="J22" i="22" s="1"/>
  <c r="L22" i="22" s="1"/>
  <c r="J4" i="22" s="1"/>
  <c r="H4" i="18" s="1"/>
  <c r="J39" i="22" a="1"/>
  <c r="J39" i="22" s="1"/>
  <c r="L39" i="22" s="1"/>
  <c r="J54" i="21" a="1"/>
  <c r="J54" i="21" s="1"/>
  <c r="L54" i="21" s="1"/>
  <c r="J14" i="21" a="1"/>
  <c r="J14" i="21" s="1"/>
  <c r="L14" i="21" s="1"/>
  <c r="J3" i="21" s="1"/>
  <c r="J38" i="21" a="1"/>
  <c r="J38" i="21" s="1"/>
  <c r="L38" i="21" s="1"/>
  <c r="J22" i="21" a="1"/>
  <c r="J22" i="21" s="1"/>
  <c r="L22" i="21" s="1"/>
  <c r="J4" i="21" s="1"/>
  <c r="I4" i="18" s="1"/>
  <c r="J54" i="20" a="1"/>
  <c r="J54" i="20" s="1"/>
  <c r="L54" i="20" s="1"/>
  <c r="J14" i="20" a="1"/>
  <c r="J14" i="20" s="1"/>
  <c r="L14" i="20" s="1"/>
  <c r="J3" i="20" s="1"/>
  <c r="J54" i="19" a="1"/>
  <c r="J54" i="19" s="1"/>
  <c r="L54" i="19" s="1"/>
  <c r="J14" i="19" a="1"/>
  <c r="J14" i="19" s="1"/>
  <c r="L14" i="19" s="1"/>
  <c r="J3" i="19" s="1"/>
  <c r="J38" i="19" a="1"/>
  <c r="J38" i="19" s="1"/>
  <c r="L38" i="19" s="1"/>
  <c r="L24" i="13"/>
  <c r="L63" i="13"/>
  <c r="L58" i="13"/>
  <c r="L36" i="13"/>
  <c r="L49" i="13"/>
  <c r="L18" i="13"/>
  <c r="R18" i="18" s="1"/>
  <c r="L32" i="13"/>
  <c r="L44" i="13"/>
  <c r="L34" i="13"/>
  <c r="L47" i="13"/>
  <c r="L60" i="13"/>
  <c r="L23" i="13"/>
  <c r="L35" i="13"/>
  <c r="L48" i="13"/>
  <c r="L62" i="13"/>
  <c r="L14" i="13"/>
  <c r="L40" i="13"/>
  <c r="L54" i="13"/>
  <c r="L28" i="13"/>
  <c r="L67" i="13"/>
  <c r="L19" i="13"/>
  <c r="L33" i="13"/>
  <c r="L46" i="13"/>
  <c r="L59" i="13"/>
  <c r="L25" i="13"/>
  <c r="R25" i="18" s="1"/>
  <c r="L37" i="13"/>
  <c r="L50" i="13"/>
  <c r="L64" i="13"/>
  <c r="L26" i="13"/>
  <c r="L51" i="13"/>
  <c r="L65" i="13"/>
  <c r="R65" i="18" s="1"/>
  <c r="L27" i="13"/>
  <c r="L39" i="13"/>
  <c r="L66" i="13"/>
  <c r="L15" i="13"/>
  <c r="L29" i="13"/>
  <c r="L41" i="13"/>
  <c r="L55" i="13"/>
  <c r="L68" i="13"/>
  <c r="L42" i="13"/>
  <c r="R42" i="18" s="1"/>
  <c r="L56" i="13"/>
  <c r="R56" i="18" s="1"/>
  <c r="L69" i="13"/>
  <c r="R69" i="18" s="1"/>
  <c r="L17" i="13"/>
  <c r="R17" i="18" s="1"/>
  <c r="L31" i="13"/>
  <c r="L43" i="13"/>
  <c r="R43" i="18" s="1"/>
  <c r="L57" i="13"/>
  <c r="R57" i="18" s="1"/>
  <c r="L22" i="2"/>
  <c r="J4" i="2" s="1"/>
  <c r="D4" i="18" s="1"/>
  <c r="L15" i="1"/>
  <c r="J3" i="1" s="1"/>
  <c r="L22" i="13"/>
  <c r="J4" i="13" s="1"/>
  <c r="E4" i="18" s="1"/>
  <c r="L30" i="13"/>
  <c r="R30" i="18" s="1"/>
  <c r="L38" i="13"/>
  <c r="L16" i="13"/>
  <c r="L53" i="13"/>
  <c r="K9" i="18"/>
  <c r="K8" i="18"/>
  <c r="I5" i="1"/>
  <c r="K5" i="18" s="1"/>
  <c r="I4" i="1"/>
  <c r="K4" i="18" s="1"/>
  <c r="K3" i="18"/>
  <c r="J8" i="21" l="1"/>
  <c r="J8" i="22"/>
  <c r="H8" i="18" s="1"/>
  <c r="J8" i="20"/>
  <c r="J8" i="19"/>
  <c r="J8" i="13"/>
  <c r="E8" i="18" s="1"/>
  <c r="J3" i="13"/>
  <c r="J8" i="2"/>
  <c r="D8" i="18" s="1"/>
  <c r="J8" i="1"/>
  <c r="J7" i="21"/>
  <c r="I7" i="18" s="1"/>
  <c r="J7" i="22"/>
  <c r="H7" i="18" s="1"/>
  <c r="J7" i="19"/>
  <c r="F7" i="18" s="1"/>
  <c r="R48" i="18"/>
  <c r="R35" i="18"/>
  <c r="R31" i="18"/>
  <c r="R39" i="18"/>
  <c r="R51" i="18"/>
  <c r="R52" i="18"/>
  <c r="S52" i="18" s="1"/>
  <c r="J7" i="13"/>
  <c r="R34" i="18"/>
  <c r="R44" i="18"/>
  <c r="R32" i="18"/>
  <c r="R45" i="18"/>
  <c r="S45" i="18" s="1"/>
  <c r="R24" i="18"/>
  <c r="J7" i="2"/>
  <c r="D7" i="18" s="1"/>
  <c r="J7" i="1"/>
  <c r="J9" i="21"/>
  <c r="I9" i="18" s="1"/>
  <c r="J9" i="22"/>
  <c r="H9" i="18" s="1"/>
  <c r="J9" i="19"/>
  <c r="F9" i="18" s="1"/>
  <c r="J9" i="13"/>
  <c r="R70" i="18"/>
  <c r="J9" i="2"/>
  <c r="D9" i="18" s="1"/>
  <c r="J9" i="1"/>
  <c r="S70" i="18"/>
  <c r="J6" i="21"/>
  <c r="I6" i="18" s="1"/>
  <c r="J6" i="22"/>
  <c r="J6" i="19"/>
  <c r="F6" i="18" s="1"/>
  <c r="J6" i="13"/>
  <c r="E6" i="18" s="1"/>
  <c r="J6" i="2"/>
  <c r="D6" i="18" s="1"/>
  <c r="J6" i="1"/>
  <c r="R67" i="18"/>
  <c r="R60" i="18"/>
  <c r="R49" i="18"/>
  <c r="R58" i="18"/>
  <c r="R68" i="18"/>
  <c r="S68" i="18" s="1"/>
  <c r="S57" i="18"/>
  <c r="R55" i="18"/>
  <c r="S55" i="18" s="1"/>
  <c r="S18" i="18"/>
  <c r="R15" i="18"/>
  <c r="S69" i="18"/>
  <c r="S56" i="18"/>
  <c r="S49" i="18"/>
  <c r="S42" i="18"/>
  <c r="S30" i="18"/>
  <c r="R16" i="18"/>
  <c r="S16" i="18" s="1"/>
  <c r="R33" i="18"/>
  <c r="S33" i="18" s="1"/>
  <c r="R41" i="18"/>
  <c r="S41" i="18" s="1"/>
  <c r="R59" i="18"/>
  <c r="S59" i="18" s="1"/>
  <c r="S43" i="18"/>
  <c r="S31" i="18"/>
  <c r="S17" i="18"/>
  <c r="R23" i="18"/>
  <c r="S23" i="18" s="1"/>
  <c r="R63" i="18"/>
  <c r="S63" i="18" s="1"/>
  <c r="S48" i="18"/>
  <c r="R27" i="18"/>
  <c r="S27" i="18" s="1"/>
  <c r="R50" i="18"/>
  <c r="S50" i="18" s="1"/>
  <c r="S34" i="18"/>
  <c r="R36" i="18"/>
  <c r="S36" i="18" s="1"/>
  <c r="R26" i="18"/>
  <c r="S26" i="18" s="1"/>
  <c r="S39" i="18"/>
  <c r="R66" i="18"/>
  <c r="S66" i="18" s="1"/>
  <c r="S44" i="18"/>
  <c r="S25" i="18"/>
  <c r="R64" i="18"/>
  <c r="S64" i="18" s="1"/>
  <c r="R47" i="18"/>
  <c r="S47" i="18" s="1"/>
  <c r="S60" i="18"/>
  <c r="S51" i="18"/>
  <c r="R19" i="18"/>
  <c r="S19" i="18" s="1"/>
  <c r="S58" i="18"/>
  <c r="S35" i="18"/>
  <c r="S24" i="18"/>
  <c r="S67" i="18"/>
  <c r="S65" i="18"/>
  <c r="S32" i="18"/>
  <c r="R37" i="18"/>
  <c r="S37" i="18" s="1"/>
  <c r="R28" i="18"/>
  <c r="S28" i="18" s="1"/>
  <c r="R40" i="18"/>
  <c r="S40" i="18" s="1"/>
  <c r="S15" i="18"/>
  <c r="R62" i="18"/>
  <c r="R46" i="18"/>
  <c r="R38" i="18"/>
  <c r="R29" i="18"/>
  <c r="R22" i="18"/>
  <c r="R14" i="18"/>
  <c r="S14" i="18" s="1"/>
  <c r="R54" i="18"/>
  <c r="S54" i="18" s="1"/>
  <c r="R53" i="18"/>
  <c r="S53" i="18" s="1"/>
  <c r="I3" i="18"/>
  <c r="H10" i="21"/>
  <c r="H6" i="18"/>
  <c r="H10" i="18" s="1"/>
  <c r="J10" i="22"/>
  <c r="H10" i="22"/>
  <c r="G9" i="18"/>
  <c r="S62" i="18"/>
  <c r="G7" i="18"/>
  <c r="S46" i="18"/>
  <c r="G6" i="18"/>
  <c r="S38" i="18"/>
  <c r="J5" i="20"/>
  <c r="G5" i="18" s="1"/>
  <c r="S29" i="18"/>
  <c r="J4" i="20"/>
  <c r="G4" i="18" s="1"/>
  <c r="S22" i="18"/>
  <c r="G3" i="18"/>
  <c r="H10" i="20"/>
  <c r="M57" i="18" a="1"/>
  <c r="M57" i="18" s="1"/>
  <c r="N57" i="18" s="1"/>
  <c r="M18" i="18" a="1"/>
  <c r="M18" i="18" s="1"/>
  <c r="N18" i="18" s="1"/>
  <c r="M69" i="18" a="1"/>
  <c r="M69" i="18" s="1"/>
  <c r="M56" i="18" a="1"/>
  <c r="M56" i="18" s="1"/>
  <c r="M49" i="18" a="1"/>
  <c r="M49" i="18" s="1"/>
  <c r="M42" i="18" a="1"/>
  <c r="M42" i="18" s="1"/>
  <c r="N42" i="18" s="1"/>
  <c r="M30" i="18" a="1"/>
  <c r="M30" i="18" s="1"/>
  <c r="M43" i="18" a="1"/>
  <c r="M43" i="18" s="1"/>
  <c r="N43" i="18" s="1"/>
  <c r="M31" i="18" a="1"/>
  <c r="M31" i="18" s="1"/>
  <c r="M17" i="18" a="1"/>
  <c r="M17" i="18" s="1"/>
  <c r="N17" i="18" s="1"/>
  <c r="M48" i="18" a="1"/>
  <c r="M48" i="18" s="1"/>
  <c r="M34" i="18" a="1"/>
  <c r="M34" i="18" s="1"/>
  <c r="M22" i="18" a="1"/>
  <c r="M22" i="18" s="1"/>
  <c r="M39" i="18" a="1"/>
  <c r="M39" i="18" s="1"/>
  <c r="M44" i="18" a="1"/>
  <c r="M44" i="18" s="1"/>
  <c r="M25" i="18" a="1"/>
  <c r="M25" i="18" s="1"/>
  <c r="N25" i="18" s="1"/>
  <c r="M60" i="18" a="1"/>
  <c r="M60" i="18" s="1"/>
  <c r="N60" i="18" s="1"/>
  <c r="M51" i="18" a="1"/>
  <c r="M51" i="18" s="1"/>
  <c r="N51" i="18" s="1"/>
  <c r="M58" i="18" a="1"/>
  <c r="M58" i="18" s="1"/>
  <c r="M35" i="18" a="1"/>
  <c r="M35" i="18" s="1"/>
  <c r="N35" i="18" s="1"/>
  <c r="M24" i="18" a="1"/>
  <c r="M24" i="18" s="1"/>
  <c r="M67" i="18" a="1"/>
  <c r="M67" i="18" s="1"/>
  <c r="M65" i="18" a="1"/>
  <c r="M65" i="18" s="1"/>
  <c r="M32" i="18" a="1"/>
  <c r="M32" i="18" s="1"/>
  <c r="M14" i="18" a="1"/>
  <c r="M14" i="18" s="1"/>
  <c r="M46" i="18" a="1"/>
  <c r="M46" i="18" s="1"/>
  <c r="M40" i="18" a="1"/>
  <c r="M40" i="18" s="1"/>
  <c r="N40" i="18" s="1"/>
  <c r="M38" i="18" a="1"/>
  <c r="M38" i="18" s="1"/>
  <c r="M15" i="18" a="1"/>
  <c r="M15" i="18" s="1"/>
  <c r="N15" i="18" s="1"/>
  <c r="F3" i="18"/>
  <c r="H10" i="19"/>
  <c r="J5" i="13"/>
  <c r="E5" i="18" s="1"/>
  <c r="E7" i="18"/>
  <c r="E9" i="18"/>
  <c r="H10" i="13"/>
  <c r="H10" i="2"/>
  <c r="J10" i="2"/>
  <c r="D3" i="18"/>
  <c r="D10" i="18" s="1"/>
  <c r="C7" i="18"/>
  <c r="J7" i="18" s="1"/>
  <c r="N67" i="18"/>
  <c r="C6" i="18"/>
  <c r="J6" i="18" s="1"/>
  <c r="N48" i="18"/>
  <c r="N44" i="18"/>
  <c r="N34" i="18"/>
  <c r="N69" i="18"/>
  <c r="N30" i="18"/>
  <c r="N56" i="18"/>
  <c r="N32" i="18"/>
  <c r="N22" i="18"/>
  <c r="N39" i="18"/>
  <c r="N58" i="18"/>
  <c r="N24" i="18"/>
  <c r="L4" i="18"/>
  <c r="M4" i="18" s="1"/>
  <c r="N49" i="18"/>
  <c r="N31" i="18"/>
  <c r="L5" i="18"/>
  <c r="M5" i="18" s="1"/>
  <c r="F10" i="1"/>
  <c r="C9" i="18"/>
  <c r="J9" i="18" s="1"/>
  <c r="I10" i="1"/>
  <c r="J4" i="1"/>
  <c r="C4" i="18" s="1"/>
  <c r="J4" i="18" s="1"/>
  <c r="J5" i="1"/>
  <c r="C5" i="18" s="1"/>
  <c r="J5" i="18" s="1"/>
  <c r="H5" i="1"/>
  <c r="C3" i="18"/>
  <c r="H4" i="1"/>
  <c r="N14" i="18" l="1"/>
  <c r="L3" i="18"/>
  <c r="M3" i="18" s="1"/>
  <c r="L8" i="18"/>
  <c r="M8" i="18" s="1"/>
  <c r="N46" i="18"/>
  <c r="L7" i="18"/>
  <c r="M7" i="18" s="1"/>
  <c r="N65" i="18"/>
  <c r="L9" i="18"/>
  <c r="M9" i="18" s="1"/>
  <c r="N38" i="18"/>
  <c r="L6" i="18"/>
  <c r="M6" i="18" s="1"/>
  <c r="I8" i="18"/>
  <c r="J10" i="21"/>
  <c r="I10" i="18"/>
  <c r="G8" i="18"/>
  <c r="J10" i="20"/>
  <c r="G10" i="18"/>
  <c r="F8" i="18"/>
  <c r="J10" i="19"/>
  <c r="F10" i="18"/>
  <c r="J10" i="13"/>
  <c r="E3" i="18"/>
  <c r="E10" i="18" s="1"/>
  <c r="R6" i="18"/>
  <c r="R9" i="18"/>
  <c r="L10" i="18"/>
  <c r="R4" i="18"/>
  <c r="R5" i="18"/>
  <c r="J3" i="18"/>
  <c r="R7" i="18"/>
  <c r="C8" i="18"/>
  <c r="J8" i="18" s="1"/>
  <c r="R8" i="18" s="1"/>
  <c r="H10" i="1"/>
  <c r="K10" i="18" s="1"/>
  <c r="C10" i="18" l="1"/>
  <c r="J10" i="18"/>
  <c r="J10" i="1"/>
  <c r="R3" i="18" l="1"/>
  <c r="M10" i="18"/>
  <c r="R10"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tc={95D59863-FF12-4810-8106-F33B59796A0F}</author>
    <author>tc={AA7BE99A-4DCE-4A39-922B-37F02D50A5AF}</author>
  </authors>
  <commentList>
    <comment ref="K55" authorId="0" shapeId="0" xr:uid="{95D59863-FF12-4810-8106-F33B59796A0F}">
      <text>
        <t xml:space="preserve">[Threaded comment]
Your version of Excel allows you to read this threaded comment; however, any edits to it will get removed if the file is opened in a newer version of Excel. Learn more: https://go.microsoft.com/fwlink/?linkid=870924
Comment:
    Shop meeting, equated to 7.5 hours
</t>
      </text>
    </comment>
    <comment ref="K57" authorId="1" shapeId="0" xr:uid="{AA7BE99A-4DCE-4A39-922B-37F02D50A5AF}">
      <text>
        <t xml:space="preserve">[Threaded comment]
Your version of Excel allows you to read this threaded comment; however, any edits to it will get removed if the file is opened in a newer version of Excel. Learn more: https://go.microsoft.com/fwlink/?linkid=870924
Comment:
    Shop meeting, 9 hours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<sst xmlns="http://schemas.openxmlformats.org/spreadsheetml/2006/main" count="763" uniqueCount="41">
  <si>
    <t>Minimum Hours WTD - KEY</t>
  </si>
  <si>
    <t>District</t>
  </si>
  <si>
    <t>Cars</t>
  </si>
  <si>
    <t>LHC</t>
  </si>
  <si>
    <t>Allowed Hours</t>
  </si>
  <si>
    <t>Actual Hours</t>
  </si>
  <si>
    <t>Hours Variance</t>
  </si>
  <si>
    <t>Sunday</t>
  </si>
  <si>
    <t>Baton Rouge North</t>
  </si>
  <si>
    <t>Monday</t>
  </si>
  <si>
    <t>Baton Rouge South</t>
  </si>
  <si>
    <t>Tuesday</t>
  </si>
  <si>
    <t>Gulf Coast North</t>
  </si>
  <si>
    <t>Wednesday</t>
  </si>
  <si>
    <t>Lafayette</t>
  </si>
  <si>
    <t>Thursday</t>
  </si>
  <si>
    <t>Gulf Coast West</t>
  </si>
  <si>
    <t>Friday</t>
  </si>
  <si>
    <t>Nola North</t>
  </si>
  <si>
    <t>Saturday</t>
  </si>
  <si>
    <t>Nola South</t>
  </si>
  <si>
    <t>Region</t>
  </si>
  <si>
    <t>Store</t>
  </si>
  <si>
    <t>Cars WTD (EDIT)</t>
  </si>
  <si>
    <t>Adj Allowed Hrs</t>
  </si>
  <si>
    <t>Actual Hours (EDIT)</t>
  </si>
  <si>
    <t>NOLA North</t>
  </si>
  <si>
    <t>NOLA South</t>
  </si>
  <si>
    <t>WTD Variances</t>
  </si>
  <si>
    <t>WTD Actual</t>
  </si>
  <si>
    <t>Adj Allow</t>
  </si>
  <si>
    <t>Adj WTD Variance</t>
  </si>
  <si>
    <t>PTO Days</t>
  </si>
  <si>
    <t>Vacant Shops</t>
  </si>
  <si>
    <t>Total Hours</t>
  </si>
  <si>
    <t>Full Adj Hours End of Week</t>
  </si>
  <si>
    <t>Gulf Coast Region</t>
  </si>
  <si>
    <t>WTD Allow Hrs</t>
  </si>
  <si>
    <t>True WTD Variance</t>
  </si>
  <si>
    <t>Rolling Totals</t>
  </si>
  <si>
    <t>%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</si>
</sst>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
  </numFmts>
  <fonts count="5">
    <font>
      <sz val="10"/>
      <color theme="1"/>
      <name val="Arial"/>
      <family val="2"/>
    </font>
    <font>
      <sz val="10"/>
      <name val="Arial"/>
      <family val="2"/>
    </font>
    <font>
      <sz val="14"/>
      <color theme="1"/>
      <name val="Arial"/>
      <family val="2"/>
    </font>
    <font>
      <sz val="10"/>
      <color theme="0"/>
      <name val="Arial"/>
      <family val="2"/>
    </font>
    <font>
      <b/>
      <sz val="10"/>
      <color theme="0"/>
      <name val="Arial"/>
      <family val="2"/>
    </font>
  </fonts>
  <fills count="9">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1"/>
        <bgColor theme="4"/>
      </patternFill>
    </fill>
    <fill>
      <patternFill patternType="solid">
        <fgColor theme="1"/>
        <bgColor theme="4" tint="0.79998168889431442"/>
      </patternFill>
    </fill>
    <fill>
      <patternFill patternType="solid">
        <fgColor theme="0"/>
        <bgColor theme="4" tint="0.79998168889431442"/>
      </patternFill>
    </fill>
    <fill>
      <patternFill patternType="solid">
        <fgColor theme="0" tint="-0.14999847407452621"/>
        <bgColor indexed="64"/>
      </patternFill>
    </fill>
  </fills>
  <borders count="19">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44">
    <xf numFmtId="0" fontId="0" fillId="0" borderId="0" xfId="0"/>
    <xf numFmtId="0" fontId="0" fillId="0" borderId="0" xfId="0" applyAlignment="1">
      <alignment horizontal="center" vertical="center"/>
    </xf>
    <xf numFmtId="0" fontId="2" fillId="0" borderId="8" xfId="0" applyFont="1" applyBorder="1" applyAlignment="1">
      <alignment horizontal="center"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164" fontId="2" fillId="0" borderId="8" xfId="0" applyNumberFormat="1" applyFont="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2" xfId="0" applyFill="1" applyBorder="1" applyAlignment="1">
      <alignment horizontal="center" vertical="center"/>
    </xf>
    <xf numFmtId="0" fontId="2" fillId="2" borderId="8"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 fillId="2" borderId="10" xfId="0" applyFont="1"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65" fontId="0" fillId="0" borderId="8" xfId="0" applyNumberFormat="1" applyBorder="1" applyAlignment="1">
      <alignment horizontal="center" vertical="center"/>
    </xf>
    <xf numFmtId="164" fontId="0" fillId="0" borderId="8" xfId="0" applyNumberFormat="1" applyBorder="1" applyAlignment="1" applyProtection="1">
      <alignment horizontal="center" vertical="center"/>
      <protection locked="0"/>
    </xf>
    <xf numFmtId="0" fontId="0" fillId="0" borderId="8" xfId="0" applyBorder="1" applyAlignment="1">
      <alignment horizontal="center" vertical="center"/>
    </xf>
    <xf numFmtId="0" fontId="0" fillId="0" borderId="8" xfId="0" applyBorder="1" applyAlignment="1" applyProtection="1">
      <alignment horizontal="center" vertical="center"/>
      <protection locked="0"/>
    </xf>
    <xf numFmtId="0" fontId="0" fillId="0" borderId="13" xfId="0" applyBorder="1" applyAlignment="1">
      <alignment horizontal="center" vertical="center"/>
    </xf>
    <xf numFmtId="0" fontId="0" fillId="0" borderId="14" xfId="0" applyBorder="1" applyAlignment="1">
      <alignment horizontal="center" vertical="center"/>
    </xf>
    <xf numFmtId="165" fontId="0" fillId="0" borderId="15" xfId="0" applyNumberFormat="1" applyBorder="1" applyAlignment="1">
      <alignment horizontal="center" vertical="center"/>
    </xf>
    <xf numFmtId="164" fontId="0" fillId="0" borderId="15" xfId="0" applyNumberFormat="1" applyBorder="1" applyAlignment="1" applyProtection="1">
      <alignment horizontal="center" vertical="center"/>
      <protection locked="0"/>
    </xf>
    <xf numFmtId="0" fontId="0" fillId="0" borderId="15" xfId="0" applyBorder="1" applyAlignment="1">
      <alignment horizontal="center" vertical="center"/>
    </xf>
    <xf numFmtId="0" fontId="0" fillId="0" borderId="15" xfId="0" applyBorder="1" applyAlignment="1" applyProtection="1">
      <alignment horizontal="center" vertical="center"/>
      <protection locked="0"/>
    </xf>
    <xf numFmtId="0" fontId="0" fillId="0" borderId="16" xfId="0" applyBorder="1" applyAlignment="1">
      <alignment horizontal="center" vertical="center"/>
    </xf>
    <xf numFmtId="0" fontId="4" fillId="5" borderId="8" xfId="0" applyFont="1" applyFill="1" applyBorder="1" applyAlignment="1">
      <alignment horizontal="center" vertical="center"/>
    </xf>
    <xf numFmtId="0" fontId="3" fillId="6" borderId="8" xfId="0" applyFont="1" applyFill="1" applyBorder="1" applyAlignment="1">
      <alignment horizontal="center" vertical="center"/>
    </xf>
    <xf numFmtId="0" fontId="3" fillId="3" borderId="8" xfId="0" applyFont="1" applyFill="1" applyBorder="1" applyAlignment="1">
      <alignment horizontal="center" vertical="center"/>
    </xf>
    <xf numFmtId="165" fontId="0" fillId="7" borderId="8" xfId="0" applyNumberFormat="1" applyFill="1" applyBorder="1" applyAlignment="1">
      <alignment horizontal="center" vertical="center"/>
    </xf>
    <xf numFmtId="165" fontId="0" fillId="8" borderId="8" xfId="0" applyNumberFormat="1" applyFill="1" applyBorder="1" applyAlignment="1">
      <alignment horizontal="center" vertical="center"/>
    </xf>
    <xf numFmtId="166" fontId="0" fillId="7" borderId="8" xfId="0" applyNumberFormat="1" applyFill="1" applyBorder="1" applyAlignment="1">
      <alignment horizontal="center" vertical="center"/>
    </xf>
    <xf numFmtId="166" fontId="0" fillId="8" borderId="8" xfId="0" applyNumberFormat="1" applyFill="1" applyBorder="1" applyAlignment="1">
      <alignment horizontal="center" vertical="center"/>
    </xf>
    <xf numFmtId="0" fontId="3" fillId="3" borderId="8" xfId="0" applyFont="1" applyFill="1" applyBorder="1" applyAlignment="1">
      <alignment horizontal="center"/>
    </xf>
    <xf numFmtId="0" fontId="3" fillId="3" borderId="17" xfId="0" applyFont="1" applyFill="1" applyBorder="1" applyAlignment="1">
      <alignment horizontal="center"/>
    </xf>
    <xf numFmtId="0" fontId="0" fillId="8" borderId="8" xfId="0" applyFill="1" applyBorder="1" applyAlignment="1" applyProtection="1">
      <alignment horizontal="center"/>
      <protection locked="0"/>
    </xf>
    <xf numFmtId="0" fontId="0" fillId="0" borderId="8" xfId="0" applyBorder="1" applyAlignment="1" applyProtection="1">
      <alignment horizontal="center"/>
      <protection locked="0"/>
    </xf>
    <xf numFmtId="0" fontId="0" fillId="8" borderId="8" xfId="0" applyFill="1" applyBorder="1" applyAlignment="1">
      <alignment horizontal="center"/>
    </xf>
    <xf numFmtId="0" fontId="0" fillId="0" borderId="8" xfId="0" applyBorder="1" applyAlignment="1">
      <alignment horizontal="center"/>
    </xf>
    <xf numFmtId="0" fontId="3" fillId="3" borderId="0" xfId="0" applyFont="1" applyFill="1" applyAlignment="1">
      <alignment horizontal="center"/>
    </xf>
    <xf numFmtId="0" fontId="0" fillId="4" borderId="8" xfId="0" applyFill="1" applyBorder="1" applyAlignment="1">
      <alignment horizontal="center"/>
    </xf>
    <xf numFmtId="0" fontId="3" fillId="3" borderId="18" xfId="0" applyFont="1" applyFill="1" applyBorder="1" applyAlignment="1">
      <alignment horizontal="center"/>
    </xf>
    <xf numFmtId="0" fontId="0" fillId="2" borderId="3" xfId="0" applyFill="1" applyBorder="1" applyAlignment="1">
      <alignment horizontal="center" vertical="center"/>
    </xf>
    <xf numFmtId="0" fontId="0" fillId="2" borderId="4" xfId="0" applyFill="1" applyBorder="1" applyAlignment="1">
      <alignment horizontal="center" vertical="center"/>
    </xf>
  </cellXfs>
  <cellStyles count="1">
    <cellStyle name="Normal" xfId="0" builtinId="0"/>
  </cellStyles>
  <dxfs count="144">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5"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5"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5"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5"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5"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5"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164"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5"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protection locked="1" hidden="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customXml" Target="../customXml/item2.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10</xdr:col>
      <xdr:colOff>118746</xdr:colOff>
      <xdr:row>0</xdr:row>
      <xdr:rowOff>114300</xdr:rowOff>
    </xdr:from>
    <xdr:to>
      <xdr:col>11</xdr:col>
      <xdr:colOff>252096</xdr:colOff>
      <xdr:row>9</xdr:row>
      <xdr:rowOff>80010</xdr:rowOff>
    </xdr:to>
    <mc:AlternateContent xmlns:mc="http://schemas.openxmlformats.org/markup-compatibility/2006" xmlns:sle15="http://schemas.microsoft.com/office/drawing/2012/slicer">
      <mc:Choice Requires="sle15">
        <xdr:graphicFrame macro="">
          <xdr:nvGraphicFramePr>
            <xdr:cNvPr id="2" name="District">
              <a:extLst>
                <a:ext uri="{FF2B5EF4-FFF2-40B4-BE49-F238E27FC236}">
                  <a16:creationId xmlns:a16="http://schemas.microsoft.com/office/drawing/2014/main" id="{03B0F907-C167-87A8-DD23-2107B8ACE264}"/>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12134851" y="114300"/>
              <a:ext cx="1752600" cy="19018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567691</xdr:colOff>
      <xdr:row>0</xdr:row>
      <xdr:rowOff>114300</xdr:rowOff>
    </xdr:from>
    <xdr:to>
      <xdr:col>11</xdr:col>
      <xdr:colOff>577216</xdr:colOff>
      <xdr:row>9</xdr:row>
      <xdr:rowOff>99695</xdr:rowOff>
    </xdr:to>
    <mc:AlternateContent xmlns:mc="http://schemas.openxmlformats.org/markup-compatibility/2006" xmlns:sle15="http://schemas.microsoft.com/office/drawing/2012/slicer">
      <mc:Choice Requires="sle15">
        <xdr:graphicFrame macro="">
          <xdr:nvGraphicFramePr>
            <xdr:cNvPr id="2" name="District 1">
              <a:extLst>
                <a:ext uri="{FF2B5EF4-FFF2-40B4-BE49-F238E27FC236}">
                  <a16:creationId xmlns:a16="http://schemas.microsoft.com/office/drawing/2014/main" id="{6BBEBB20-6A12-4B0A-A9BB-DC73F26856A3}"/>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12131676" y="114300"/>
              <a:ext cx="1752600" cy="1905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567691</xdr:colOff>
      <xdr:row>0</xdr:row>
      <xdr:rowOff>114300</xdr:rowOff>
    </xdr:from>
    <xdr:to>
      <xdr:col>11</xdr:col>
      <xdr:colOff>577216</xdr:colOff>
      <xdr:row>9</xdr:row>
      <xdr:rowOff>80645</xdr:rowOff>
    </xdr:to>
    <mc:AlternateContent xmlns:mc="http://schemas.openxmlformats.org/markup-compatibility/2006" xmlns:sle15="http://schemas.microsoft.com/office/drawing/2012/slicer">
      <mc:Choice Requires="sle15">
        <xdr:graphicFrame macro="">
          <xdr:nvGraphicFramePr>
            <xdr:cNvPr id="2" name="District 2">
              <a:extLst>
                <a:ext uri="{FF2B5EF4-FFF2-40B4-BE49-F238E27FC236}">
                  <a16:creationId xmlns:a16="http://schemas.microsoft.com/office/drawing/2014/main" id="{B9DA951D-EA64-4434-918E-90F7027B4B45}"/>
                </a:ext>
              </a:extLst>
            </xdr:cNvPr>
            <xdr:cNvGraphicFramePr/>
          </xdr:nvGraphicFramePr>
          <xdr:xfrm>
            <a:off x="0" y="0"/>
            <a:ext cx="0" cy="0"/>
          </xdr:xfrm>
          <a:graphic>
            <a:graphicData uri="http://schemas.microsoft.com/office/drawing/2010/slicer">
              <sle:slicer xmlns:sle="http://schemas.microsoft.com/office/drawing/2010/slicer" name="District 2"/>
            </a:graphicData>
          </a:graphic>
        </xdr:graphicFrame>
      </mc:Choice>
      <mc:Fallback xmlns="">
        <xdr:sp macro="" textlink="">
          <xdr:nvSpPr>
            <xdr:cNvPr id="0" name=""/>
            <xdr:cNvSpPr>
              <a:spLocks noTextEdit="1"/>
            </xdr:cNvSpPr>
          </xdr:nvSpPr>
          <xdr:spPr>
            <a:xfrm>
              <a:off x="11578591" y="114300"/>
              <a:ext cx="1685925" cy="198564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drawings/drawing4.xml><?xml version="1.0" encoding="utf-8"?>
<xdr:wsDr xmlns:xdr="http://schemas.openxmlformats.org/drawingml/2006/spreadsheetDrawing" xmlns:a="http://schemas.openxmlformats.org/drawingml/2006/main">
  <xdr:twoCellAnchor editAs="absolute">
    <xdr:from>
      <xdr:col>10</xdr:col>
      <xdr:colOff>152400</xdr:colOff>
      <xdr:row>0</xdr:row>
      <xdr:rowOff>9525</xdr:rowOff>
    </xdr:from>
    <xdr:to>
      <xdr:col>11</xdr:col>
      <xdr:colOff>304800</xdr:colOff>
      <xdr:row>10</xdr:row>
      <xdr:rowOff>66675</xdr:rowOff>
    </xdr:to>
    <mc:AlternateContent xmlns:mc="http://schemas.openxmlformats.org/markup-compatibility/2006" xmlns:a15="http://schemas.microsoft.com/office/drawing/2012/main">
      <mc:Choice Requires="a15">
        <xdr:graphicFrame macro="">
          <xdr:nvGraphicFramePr>
            <xdr:cNvPr id="3" name="District 3">
              <a:extLst>
                <a:ext uri="{FF2B5EF4-FFF2-40B4-BE49-F238E27FC236}">
                  <a16:creationId xmlns:a16="http://schemas.microsoft.com/office/drawing/2014/main" id="{5BA330EB-2E79-F170-FC8B-3B9235503DB4}"/>
                </a:ext>
              </a:extLst>
            </xdr:cNvPr>
            <xdr:cNvGraphicFramePr/>
          </xdr:nvGraphicFramePr>
          <xdr:xfrm>
            <a:off x="0" y="0"/>
            <a:ext cx="0" cy="0"/>
          </xdr:xfrm>
          <a:graphic>
            <a:graphicData uri="http://schemas.microsoft.com/office/drawing/2010/slicer">
              <sle:slicer xmlns:sle="http://schemas.microsoft.com/office/drawing/2010/slicer" name="District 3"/>
            </a:graphicData>
          </a:graphic>
        </xdr:graphicFrame>
      </mc:Choice>
      <mc:Fallback xmlns="">
        <xdr:sp macro="" textlink="">
          <xdr:nvSpPr>
            <xdr:cNvPr id="0" name=""/>
            <xdr:cNvSpPr>
              <a:spLocks noTextEdit="1"/>
            </xdr:cNvSpPr>
          </xdr:nvSpPr>
          <xdr:spPr>
            <a:xfrm>
              <a:off x="11163300" y="9525"/>
              <a:ext cx="1828800" cy="23050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133350</xdr:colOff>
      <xdr:row>0</xdr:row>
      <xdr:rowOff>47625</xdr:rowOff>
    </xdr:from>
    <xdr:to>
      <xdr:col>11</xdr:col>
      <xdr:colOff>285750</xdr:colOff>
      <xdr:row>11</xdr:row>
      <xdr:rowOff>38100</xdr:rowOff>
    </xdr:to>
    <mc:AlternateContent xmlns:mc="http://schemas.openxmlformats.org/markup-compatibility/2006" xmlns:a15="http://schemas.microsoft.com/office/drawing/2012/main">
      <mc:Choice Requires="a15">
        <xdr:graphicFrame macro="">
          <xdr:nvGraphicFramePr>
            <xdr:cNvPr id="3" name="District 4">
              <a:extLst>
                <a:ext uri="{FF2B5EF4-FFF2-40B4-BE49-F238E27FC236}">
                  <a16:creationId xmlns:a16="http://schemas.microsoft.com/office/drawing/2014/main" id="{C8730AC0-0B24-7F1C-591B-00203E4FEFB0}"/>
                </a:ext>
              </a:extLst>
            </xdr:cNvPr>
            <xdr:cNvGraphicFramePr/>
          </xdr:nvGraphicFramePr>
          <xdr:xfrm>
            <a:off x="0" y="0"/>
            <a:ext cx="0" cy="0"/>
          </xdr:xfrm>
          <a:graphic>
            <a:graphicData uri="http://schemas.microsoft.com/office/drawing/2010/slicer">
              <sle:slicer xmlns:sle="http://schemas.microsoft.com/office/drawing/2010/slicer" name="District 4"/>
            </a:graphicData>
          </a:graphic>
        </xdr:graphicFrame>
      </mc:Choice>
      <mc:Fallback xmlns="">
        <xdr:sp macro="" textlink="">
          <xdr:nvSpPr>
            <xdr:cNvPr id="0" name=""/>
            <xdr:cNvSpPr>
              <a:spLocks noTextEdit="1"/>
            </xdr:cNvSpPr>
          </xdr:nvSpPr>
          <xdr:spPr>
            <a:xfrm>
              <a:off x="11144250" y="47625"/>
              <a:ext cx="1828800" cy="24003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10</xdr:col>
      <xdr:colOff>161925</xdr:colOff>
      <xdr:row>0</xdr:row>
      <xdr:rowOff>85725</xdr:rowOff>
    </xdr:from>
    <xdr:to>
      <xdr:col>11</xdr:col>
      <xdr:colOff>314325</xdr:colOff>
      <xdr:row>10</xdr:row>
      <xdr:rowOff>85725</xdr:rowOff>
    </xdr:to>
    <mc:AlternateContent xmlns:mc="http://schemas.openxmlformats.org/markup-compatibility/2006" xmlns:a15="http://schemas.microsoft.com/office/drawing/2012/main">
      <mc:Choice Requires="a15">
        <xdr:graphicFrame macro="">
          <xdr:nvGraphicFramePr>
            <xdr:cNvPr id="3" name="District 6">
              <a:extLst>
                <a:ext uri="{FF2B5EF4-FFF2-40B4-BE49-F238E27FC236}">
                  <a16:creationId xmlns:a16="http://schemas.microsoft.com/office/drawing/2014/main" id="{8B1C1FB3-5482-2921-F15B-CC6CB1281906}"/>
                </a:ext>
              </a:extLst>
            </xdr:cNvPr>
            <xdr:cNvGraphicFramePr/>
          </xdr:nvGraphicFramePr>
          <xdr:xfrm>
            <a:off x="0" y="0"/>
            <a:ext cx="0" cy="0"/>
          </xdr:xfrm>
          <a:graphic>
            <a:graphicData uri="http://schemas.microsoft.com/office/drawing/2010/slicer">
              <sle:slicer xmlns:sle="http://schemas.microsoft.com/office/drawing/2010/slicer" name="District 6"/>
            </a:graphicData>
          </a:graphic>
        </xdr:graphicFrame>
      </mc:Choice>
      <mc:Fallback xmlns="">
        <xdr:sp macro="" textlink="">
          <xdr:nvSpPr>
            <xdr:cNvPr id="0" name=""/>
            <xdr:cNvSpPr>
              <a:spLocks noTextEdit="1"/>
            </xdr:cNvSpPr>
          </xdr:nvSpPr>
          <xdr:spPr>
            <a:xfrm>
              <a:off x="11172825" y="85725"/>
              <a:ext cx="1828800" cy="22479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10</xdr:col>
      <xdr:colOff>85725</xdr:colOff>
      <xdr:row>0</xdr:row>
      <xdr:rowOff>114300</xdr:rowOff>
    </xdr:from>
    <xdr:to>
      <xdr:col>11</xdr:col>
      <xdr:colOff>238125</xdr:colOff>
      <xdr:row>10</xdr:row>
      <xdr:rowOff>133350</xdr:rowOff>
    </xdr:to>
    <mc:AlternateContent xmlns:mc="http://schemas.openxmlformats.org/markup-compatibility/2006" xmlns:a15="http://schemas.microsoft.com/office/drawing/2012/main">
      <mc:Choice Requires="a15">
        <xdr:graphicFrame macro="">
          <xdr:nvGraphicFramePr>
            <xdr:cNvPr id="3" name="District 5">
              <a:extLst>
                <a:ext uri="{FF2B5EF4-FFF2-40B4-BE49-F238E27FC236}">
                  <a16:creationId xmlns:a16="http://schemas.microsoft.com/office/drawing/2014/main" id="{8CD4F7DE-FBFE-864D-42A7-0A7AADA7C772}"/>
                </a:ext>
              </a:extLst>
            </xdr:cNvPr>
            <xdr:cNvGraphicFramePr/>
          </xdr:nvGraphicFramePr>
          <xdr:xfrm>
            <a:off x="0" y="0"/>
            <a:ext cx="0" cy="0"/>
          </xdr:xfrm>
          <a:graphic>
            <a:graphicData uri="http://schemas.microsoft.com/office/drawing/2010/slicer">
              <sle:slicer xmlns:sle="http://schemas.microsoft.com/office/drawing/2010/slicer" name="District 5"/>
            </a:graphicData>
          </a:graphic>
        </xdr:graphicFrame>
      </mc:Choice>
      <mc:Fallback xmlns="">
        <xdr:sp macro="" textlink="">
          <xdr:nvSpPr>
            <xdr:cNvPr id="0" name=""/>
            <xdr:cNvSpPr>
              <a:spLocks noTextEdit="1"/>
            </xdr:cNvSpPr>
          </xdr:nvSpPr>
          <xdr:spPr>
            <a:xfrm>
              <a:off x="11096625" y="114300"/>
              <a:ext cx="1828800" cy="22669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Brandon Lange" id="{2986629A-3A21-4999-9795-3B494CFBD45E}" userId="S::16642@drivenbrands.com::c05a35c7-295c-4ac9-8a1d-a13ff303944c"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DC3A3092-61A6-447F-B9D1-63A143DEE74E}" sourceName="Distric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8052B2EB-6566-4132-8D45-508351C2ED3C}" sourceName="District">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1" xr10:uid="{32CE99EF-D422-4A21-97E2-A4F94309F0EE}" sourceName="District">
  <extLst>
    <x:ext xmlns:x15="http://schemas.microsoft.com/office/spreadsheetml/2010/11/main" uri="{2F2917AC-EB37-4324-AD4E-5DD8C200BD13}">
      <x15:tableSlicerCache tableId="7"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2" xr10:uid="{1704AE0C-5187-42E5-9797-7BCFB79CA590}" sourceName="District">
  <extLst>
    <x:ext xmlns:x15="http://schemas.microsoft.com/office/spreadsheetml/2010/11/main" uri="{2F2917AC-EB37-4324-AD4E-5DD8C200BD13}">
      <x15:tableSlicerCache tableId="12"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3" xr10:uid="{59C39EC4-BCDD-4246-9E18-A39026AC9843}" sourceName="District">
  <extLst>
    <x:ext xmlns:x15="http://schemas.microsoft.com/office/spreadsheetml/2010/11/main" uri="{2F2917AC-EB37-4324-AD4E-5DD8C200BD13}">
      <x15:tableSlicerCache tableId="13"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4" xr10:uid="{2013C8E5-3CA7-4F3C-A524-47F6C702368E}" sourceName="District">
  <extLst>
    <x:ext xmlns:x15="http://schemas.microsoft.com/office/spreadsheetml/2010/11/main" uri="{2F2917AC-EB37-4324-AD4E-5DD8C200BD13}">
      <x15:tableSlicerCache tableId="15"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5" xr10:uid="{69711354-B170-45AC-A96D-5A9549558255}" sourceName="District">
  <extLst>
    <x:ext xmlns:x15="http://schemas.microsoft.com/office/spreadsheetml/2010/11/main" uri="{2F2917AC-EB37-4324-AD4E-5DD8C200BD13}">
      <x15:tableSlicerCache tableId="1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xr10:uid="{D090B1DC-CE8D-4694-B892-528D1269AFA6}" cache="Slicer_District" caption="District"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1" xr10:uid="{AFC69D89-5DCC-49B3-A9FB-7846AEAF2571}" cache="Slicer_District1" caption="District" rowHeight="22013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2" xr10:uid="{E0FA3019-EDE6-4C01-A627-0D7D68533414}" cache="Slicer_District11" caption="District"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3" xr10:uid="{7D5013C4-F1D8-4C10-8E84-F1D56CA91F5A}" cache="Slicer_District2" caption="District" rowHeight="2286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4" xr10:uid="{03589AA6-7DE4-48DB-B3FC-24D4D2F209F6}" cache="Slicer_District3" caption="District" rowHeight="2286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6" xr10:uid="{CE6AA1C6-B745-4954-8923-E404D0773718}" cache="Slicer_District4" caption="District" rowHeight="2286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 5" xr10:uid="{E196C50E-54C1-4479-8264-A06CDF188340}" cache="Slicer_District5" caption="District"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3FC5B-D86D-4B55-BBCC-06135BDBC6AD}" name="Table1" displayName="Table1" ref="E14:L71" totalsRowShown="0" headerRowDxfId="137" dataDxfId="136" headerRowBorderDxfId="134" tableBorderDxfId="135" totalsRowBorderDxfId="133">
  <autoFilter ref="E14:L71" xr:uid="{4993FC5B-D86D-4B55-BBCC-06135BDBC6AD}">
    <filterColumn colId="0">
      <filters>
        <filter val="Baton Rouge South"/>
      </filters>
    </filterColumn>
  </autoFilter>
  <sortState xmlns:xlrd2="http://schemas.microsoft.com/office/spreadsheetml/2017/richdata2" ref="E15:L70">
    <sortCondition ref="E14:E70"/>
  </sortState>
  <tableColumns count="8">
    <tableColumn id="1" xr3:uid="{19AF8F76-D573-40EA-B0AE-DFDD85C7AC74}" name="District" dataDxfId="132"/>
    <tableColumn id="2" xr3:uid="{B2B63C08-9AEC-41E5-B88B-01D2BC0D5D70}" name="Store" dataDxfId="131"/>
    <tableColumn id="3" xr3:uid="{457661BA-C045-4B81-807C-D531B6D0F839}" name="Cars WTD (EDIT)" dataDxfId="130"/>
    <tableColumn id="4" xr3:uid="{817D3FB7-2C6C-4A60-9DFF-858FB577EFF2}" name="LHC" dataDxfId="129"/>
    <tableColumn id="5" xr3:uid="{404A1EA6-872F-4A77-91AA-4D9F92C7A8B8}" name="Allowed Hours" dataDxfId="128">
      <calculatedColumnFormula>Table1[[#This Row],[LHC]]*Table1[[#This Row],[Cars WTD (EDIT)]]</calculatedColumnFormula>
    </tableColumn>
    <tableColumn id="8" xr3:uid="{1C2BC456-E29B-42E5-A014-F03A76052D69}" name="Adj Allowed Hrs" dataDxfId="127">
      <calculatedColumnFormula array="1">_xlfn.IFS(Table1[[#This Row],[Allowed Hours]]=0,0,Table1[[#This Row],[Allowed Hours]]&lt;20,20,Table1[[#This Row],[Allowed Hours]]&gt;20,Table1[[#This Row],[Allowed Hours]])</calculatedColumnFormula>
    </tableColumn>
    <tableColumn id="6" xr3:uid="{6C293D4A-570F-4DCB-B3A5-F9F2B82CD0C8}" name="Actual Hours (EDIT)" dataDxfId="126"/>
    <tableColumn id="7" xr3:uid="{7BF2D65B-01F3-4EFE-ADFC-34785F3980DE}" name="Hours Variance" dataDxfId="125">
      <calculatedColumnFormula>K15-Table1[[#This Row],[Adj Allowed Hrs]]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CFB578-9D85-4808-80B1-242925DBC22F}" name="Table13" displayName="Table13" ref="E13:L70" totalsRowShown="0" headerRowDxfId="118" dataDxfId="117" headerRowBorderDxfId="115" tableBorderDxfId="116" totalsRowBorderDxfId="114">
  <autoFilter ref="E13:L70" xr:uid="{4993FC5B-D86D-4B55-BBCC-06135BDBC6AD}">
    <filterColumn colId="0" hiddenButton="1">
      <filters>
        <filter val="Baton Rouge South"/>
      </filters>
    </filterColumn>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E14:L69">
    <sortCondition ref="E13:E69"/>
  </sortState>
  <tableColumns count="8">
    <tableColumn id="1" xr3:uid="{C9510EB0-3D3D-4844-94A7-69B5DB1F6B1E}" name="District" dataDxfId="113"/>
    <tableColumn id="2" xr3:uid="{146E460C-A3F2-4BE7-A225-897B181BA249}" name="Store" dataDxfId="112"/>
    <tableColumn id="3" xr3:uid="{4303E412-254E-45D7-B300-701920DA98EE}" name="Cars WTD (EDIT)" dataDxfId="111"/>
    <tableColumn id="4" xr3:uid="{92851246-27C8-4A8B-A74F-DF414140B685}" name="LHC" dataDxfId="110"/>
    <tableColumn id="5" xr3:uid="{17EEAB8D-7F22-4054-98DE-462B46D11A46}" name="Allowed Hours" dataDxfId="109">
      <calculatedColumnFormula>Table13[[#This Row],[LHC]]*Table13[[#This Row],[Cars WTD (EDIT)]]</calculatedColumnFormula>
    </tableColumn>
    <tableColumn id="8" xr3:uid="{474B4F93-95A8-4820-87B3-A9E395ED0116}" name="Adj Allowed Hrs" dataDxfId="108">
      <calculatedColumnFormula array="1">_xlfn.IFS(Table13[[#This Row],[Allowed Hours]]=0,0,Table13[[#This Row],[Allowed Hours]]&lt;25.3,25.3,Table13[[#This Row],[Allowed Hours]]&gt;25.3,Table13[[#This Row],[Allowed Hours]])</calculatedColumnFormula>
    </tableColumn>
    <tableColumn id="6" xr3:uid="{FBF4779A-02E7-4DA1-AFB4-7C93E1EF2F1E}" name="Actual Hours (EDIT)" dataDxfId="107"/>
    <tableColumn id="7" xr3:uid="{FE0EA2A2-A8EB-4EDD-8F3F-D1F233EF5B43}" name="Hours Variance" dataDxfId="106">
      <calculatedColumnFormula>K14-Table13[[#This Row],[Adj Allowed Hrs]]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8876C8-72F9-4235-9BB1-E9F0DFCD9B25}" name="Table138" displayName="Table138" ref="E13:L70" totalsRowShown="0" headerRowDxfId="99" dataDxfId="98" headerRowBorderDxfId="96" tableBorderDxfId="97" totalsRowBorderDxfId="95">
  <autoFilter ref="E13:L70" xr:uid="{4993FC5B-D86D-4B55-BBCC-06135BDBC6AD}">
    <filterColumn colId="0" hiddenButton="1">
      <filters>
        <filter val="Baton Rouge South"/>
      </filters>
    </filterColumn>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E14:L69">
    <sortCondition ref="E13:E69"/>
  </sortState>
  <tableColumns count="8">
    <tableColumn id="1" xr3:uid="{1AB3A57C-18D0-460C-BD21-B592015F434B}" name="District" dataDxfId="94"/>
    <tableColumn id="2" xr3:uid="{91737AF9-FD85-44F0-A237-28120A5594C0}" name="Store" dataDxfId="93"/>
    <tableColumn id="3" xr3:uid="{D0E74768-D30B-42E7-9C29-FA3743FDB07E}" name="Cars WTD (EDIT)" dataDxfId="92"/>
    <tableColumn id="4" xr3:uid="{5F992538-A5F5-4D94-85D2-2A671BD19C9C}" name="LHC" dataDxfId="91"/>
    <tableColumn id="5" xr3:uid="{1DF12517-FBD2-4BCE-8F69-9ACF6A7E39AB}" name="Allowed Hours" dataDxfId="90">
      <calculatedColumnFormula>Table138[[#This Row],[LHC]]*Table138[[#This Row],[Cars WTD (EDIT)]]</calculatedColumnFormula>
    </tableColumn>
    <tableColumn id="8" xr3:uid="{F1F03CCC-104E-43EA-970C-277F786E9397}" name="Adj Allowed Hrs" dataDxfId="89">
      <calculatedColumnFormula array="1">_xlfn.IFS(Table138[[#This Row],[Allowed Hours]]=0,0,Table138[[#This Row],[Allowed Hours]]&lt;25.3,25.3,Table138[[#This Row],[Allowed Hours]]&gt;25.3,Table138[[#This Row],[Allowed Hours]])</calculatedColumnFormula>
    </tableColumn>
    <tableColumn id="6" xr3:uid="{D5690751-6C7A-4197-856F-16E72C8D3EBB}" name="Actual Hours (EDIT)" dataDxfId="88"/>
    <tableColumn id="7" xr3:uid="{9BF8EC9E-7A1F-4045-8DCD-6C10EAC519F1}" name="Hours Variance" dataDxfId="87">
      <calculatedColumnFormula>K14-Table138[[#This Row],[Adj Allowed Hrs]]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BD955DB-2572-47CF-95C9-B8FCACAF8B79}" name="Table13813" displayName="Table13813" ref="E13:L70" totalsRowShown="0" headerRowDxfId="80" dataDxfId="79" headerRowBorderDxfId="77" tableBorderDxfId="78" totalsRowBorderDxfId="76">
  <autoFilter ref="E13:L70" xr:uid="{4993FC5B-D86D-4B55-BBCC-06135BDBC6AD}">
    <filterColumn colId="0" hiddenButton="1">
      <filters>
        <filter val="Baton Rouge South"/>
      </filters>
    </filterColumn>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E14:L69">
    <sortCondition ref="E13:E69"/>
  </sortState>
  <tableColumns count="8">
    <tableColumn id="1" xr3:uid="{F226E53C-351C-4DA4-9E85-D942F3B2347A}" name="District" dataDxfId="75"/>
    <tableColumn id="2" xr3:uid="{87BB01BF-557A-43F4-976B-C8B2929BB5F6}" name="Store" dataDxfId="74"/>
    <tableColumn id="3" xr3:uid="{759957DA-1BF2-46A4-8177-B76F4340BD58}" name="Cars WTD (EDIT)" dataDxfId="73"/>
    <tableColumn id="4" xr3:uid="{268FE6AF-7DC7-41B8-82F1-A51382DBC652}" name="LHC" dataDxfId="72"/>
    <tableColumn id="5" xr3:uid="{1EEC2B6E-8CB4-4D14-993B-8EECAF4CF201}" name="Allowed Hours" dataDxfId="71">
      <calculatedColumnFormula>Table13813[[#This Row],[LHC]]*Table13813[[#This Row],[Cars WTD (EDIT)]]</calculatedColumnFormula>
    </tableColumn>
    <tableColumn id="8" xr3:uid="{EBB98D99-7371-4C6B-B688-DB9B0E073A7C}" name="Adj Allowed Hrs" dataDxfId="70">
      <calculatedColumnFormula array="1">_xlfn.IFS(Table13813[[#This Row],[Allowed Hours]]=0,0,Table13813[[#This Row],[Allowed Hours]]&lt;25.3,25.3,Table13813[[#This Row],[Allowed Hours]]&gt;25.3,Table13813[[#This Row],[Allowed Hours]])</calculatedColumnFormula>
    </tableColumn>
    <tableColumn id="6" xr3:uid="{04EC0798-F499-457F-87BD-3E12A42F78AA}" name="Actual Hours (EDIT)" dataDxfId="69"/>
    <tableColumn id="7" xr3:uid="{932AE3AF-6EF7-46B3-86BA-B7D880D95A0C}" name="Hours Variance" dataDxfId="68">
      <calculatedColumnFormula>K14-Table13813[[#This Row],[Adj Allowed Hrs]]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0440A4B-6A8E-4CF2-8511-54A8754665A5}" name="Table1381314" displayName="Table1381314" ref="E13:L70" totalsRowShown="0" headerRowDxfId="61" dataDxfId="60" headerRowBorderDxfId="58" tableBorderDxfId="59" totalsRowBorderDxfId="57">
  <autoFilter ref="E13:L70" xr:uid="{4993FC5B-D86D-4B55-BBCC-06135BDBC6AD}">
    <filterColumn colId="0" hiddenButton="1">
      <filters>
        <filter val="Baton Rouge South"/>
      </filters>
    </filterColumn>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E14:L69">
    <sortCondition ref="E13:E69"/>
  </sortState>
  <tableColumns count="8">
    <tableColumn id="1" xr3:uid="{7F5B9144-5D11-4EAD-A240-762FBD1BEB1B}" name="District" dataDxfId="56"/>
    <tableColumn id="2" xr3:uid="{FB97778D-7C46-4750-A793-00DDF6D21E4B}" name="Store" dataDxfId="55"/>
    <tableColumn id="3" xr3:uid="{D36FB433-EA8F-4988-8F20-AE5D7B0822DD}" name="Cars WTD (EDIT)" dataDxfId="54"/>
    <tableColumn id="4" xr3:uid="{54B27E98-53FD-44A5-A8B4-D6AD689631A0}" name="LHC" dataDxfId="53"/>
    <tableColumn id="5" xr3:uid="{C735CD2E-74DF-4319-B2B9-DE3062B87C86}" name="Allowed Hours" dataDxfId="52">
      <calculatedColumnFormula>Table1381314[[#This Row],[LHC]]*Table1381314[[#This Row],[Cars WTD (EDIT)]]</calculatedColumnFormula>
    </tableColumn>
    <tableColumn id="8" xr3:uid="{B552E336-C507-4680-9745-D1CB09B7B4ED}" name="Adj Allowed Hrs" dataDxfId="51">
      <calculatedColumnFormula array="1">_xlfn.IFS(Table1381314[[#This Row],[Allowed Hours]]=0,0,Table1381314[[#This Row],[Allowed Hours]]&lt;25.3,25.3,Table1381314[[#This Row],[Allowed Hours]]&gt;25.3,Table1381314[[#This Row],[Allowed Hours]])</calculatedColumnFormula>
    </tableColumn>
    <tableColumn id="6" xr3:uid="{E01FC6B1-C0E3-4A3C-B1DF-6B708AC1E2A2}" name="Actual Hours (EDIT)" dataDxfId="50"/>
    <tableColumn id="7" xr3:uid="{E491D344-AB30-4E31-8B32-C3C7281AE020}" name="Hours Variance" dataDxfId="49">
      <calculatedColumnFormula>K14-Table1381314[[#This Row],[Adj Allowed Hrs]]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D742E3A-C38A-46C3-A492-19BEFE2B582E}" name="Table13813141516" displayName="Table13813141516" ref="E13:L70" totalsRowShown="0" headerRowDxfId="42" dataDxfId="41" headerRowBorderDxfId="39" tableBorderDxfId="40" totalsRowBorderDxfId="38">
  <autoFilter ref="E13:L70" xr:uid="{4993FC5B-D86D-4B55-BBCC-06135BDBC6AD}">
    <filterColumn colId="0" hiddenButton="1">
      <filters>
        <filter val="Baton Rouge South"/>
      </filters>
    </filterColumn>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E14:L69">
    <sortCondition ref="E13:E69"/>
  </sortState>
  <tableColumns count="8">
    <tableColumn id="1" xr3:uid="{63E14575-2874-4C2A-8461-342F85C79BBF}" name="District" dataDxfId="37"/>
    <tableColumn id="2" xr3:uid="{95835E85-4648-488A-BDDC-B501D5D00538}" name="Store" dataDxfId="36"/>
    <tableColumn id="3" xr3:uid="{A50E8800-39EE-48DF-9351-CCED290E8B72}" name="Cars WTD (EDIT)" dataDxfId="35"/>
    <tableColumn id="4" xr3:uid="{5AE5B473-D489-449A-A89F-21246B8993B7}" name="LHC" dataDxfId="34"/>
    <tableColumn id="5" xr3:uid="{CCAA329F-8D23-41C6-94E4-0FDDB19A2D71}" name="Allowed Hours" dataDxfId="33">
      <calculatedColumnFormula>Table13813141516[[#This Row],[LHC]]*Table13813141516[[#This Row],[Cars WTD (EDIT)]]</calculatedColumnFormula>
    </tableColumn>
    <tableColumn id="8" xr3:uid="{E9BA3076-B6B6-4ECC-BE7D-E782595C3CE2}" name="Adj Allowed Hrs" dataDxfId="32">
      <calculatedColumnFormula array="1">_xlfn.IFS(Table13813141516[[#This Row],[Allowed Hours]]=0,0,Table13813141516[[#This Row],[Allowed Hours]]&lt;25.3,25.3,Table13813141516[[#This Row],[Allowed Hours]]&gt;25.3,Table13813141516[[#This Row],[Allowed Hours]])</calculatedColumnFormula>
    </tableColumn>
    <tableColumn id="6" xr3:uid="{A8F36540-F6FC-4065-B2CD-4DCF6851EBFA}" name="Actual Hours (EDIT)" dataDxfId="31"/>
    <tableColumn id="7" xr3:uid="{7AFAF42F-1DB5-4626-BD89-167818210D19}" name="Hours Variance" dataDxfId="30">
      <calculatedColumnFormula>K14-Table13813141516[[#This Row],[Adj Allowed Hrs]]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FD8395D-B689-4F2B-9052-BC203EDFF4F8}" name="Table138131415" displayName="Table138131415" ref="E13:L70" totalsRowShown="0" headerRowDxfId="23" dataDxfId="22" headerRowBorderDxfId="20" tableBorderDxfId="21" totalsRowBorderDxfId="19">
  <autoFilter ref="E13:L70" xr:uid="{4993FC5B-D86D-4B55-BBCC-06135BDBC6A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E14:L69">
    <sortCondition ref="E13:E69"/>
  </sortState>
  <tableColumns count="8">
    <tableColumn id="1" xr3:uid="{CC978795-9849-49D5-934E-4458DCDBE763}" name="District" dataDxfId="18"/>
    <tableColumn id="2" xr3:uid="{1FD084B8-E5D3-4C13-B510-7F4153933A2A}" name="Store" dataDxfId="17"/>
    <tableColumn id="3" xr3:uid="{BD2324FF-7A52-4318-8877-BF51E54648C7}" name="Cars WTD (EDIT)" dataDxfId="16"/>
    <tableColumn id="4" xr3:uid="{1DF8B61A-30A5-47BD-BF00-9FFA611B35D6}" name="LHC" dataDxfId="15"/>
    <tableColumn id="5" xr3:uid="{B5CF2F1C-8E93-44A7-913A-FD4E5FCA8959}" name="Allowed Hours" dataDxfId="14">
      <calculatedColumnFormula>Table138131415[[#This Row],[LHC]]*Table138131415[[#This Row],[Cars WTD (EDIT)]]</calculatedColumnFormula>
    </tableColumn>
    <tableColumn id="8" xr3:uid="{D090D2E7-AC70-4025-8399-EEC0840774EC}" name="Adj Allowed Hrs" dataDxfId="13">
      <calculatedColumnFormula array="1">_xlfn.IFS(Table138131415[[#This Row],[Allowed Hours]]=0,0,Table138131415[[#This Row],[Allowed Hours]]&lt;25.3,25.3,Table138131415[[#This Row],[Allowed Hours]]&gt;25.3,Table138131415[[#This Row],[Allowed Hours]])</calculatedColumnFormula>
    </tableColumn>
    <tableColumn id="6" xr3:uid="{35E9F393-02A7-415D-A871-A4401896EEBA}" name="Actual Hours (EDIT)" dataDxfId="12"/>
    <tableColumn id="7" xr3:uid="{85BB30B8-636E-4964-AFD7-24057392E699}" name="Hours Variance" dataDxfId="11">
      <calculatedColumnFormula>K14-Table138131415[[#This Row],[Adj Allowed Hrs]]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55" dT="2025-04-07T01:13:09.61" personId="{2986629A-3A21-4999-9795-3B494CFBD45E}" id="{95D59863-FF12-4810-8106-F33B59796A0F}">
    <text xml:space="preserve">Shop meeting, equated to 7.5 hours
</text>
  </threadedComment>
  <threadedComment ref="K57" dT="2025-04-07T01:14:07.31" personId="{2986629A-3A21-4999-9795-3B494CFBD45E}" id="{AA7BE99A-4DCE-4A39-922B-37F02D50A5AF}">
    <text xml:space="preserve">Shop meeting, 9 hours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table" Target="../tables/table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D9CB3-33BE-4079-B6ED-173235977B50}">
  <dimension ref="B1:L71"/>
  <sheetViews>
    <sheetView showGridLines="0" workbookViewId="0">
      <selection activeCell="K27" sqref="K27"/>
    </sheetView>
  </sheetViews>
  <sheetFormatPr defaultRowHeight="12.75"/>
  <cols>
    <col min="1" max="1" width="10.5703125" style="1" customWidth="1"/>
    <col min="2" max="3" width="12.140625" style="1" customWidth="1"/>
    <col min="4" max="4" width="16" style="1" customWidth="1"/>
    <col min="5" max="5" width="25.28515625" style="1" bestFit="1" customWidth="1"/>
    <col min="6" max="6" width="14.28515625" style="1" bestFit="1" customWidth="1"/>
    <col min="7" max="7" width="20.42578125" style="1" bestFit="1" customWidth="1"/>
    <col min="8" max="8" width="19" style="1" bestFit="1" customWidth="1"/>
    <col min="9" max="9" width="18.85546875" style="1" bestFit="1" customWidth="1"/>
    <col min="10" max="10" width="23.140625" style="1" bestFit="1" customWidth="1"/>
    <col min="11" max="11" width="23.28515625" style="1" customWidth="1"/>
    <col min="12" max="12" width="20.42578125" style="1" customWidth="1"/>
    <col min="13" max="16384" width="9.140625" style="1"/>
  </cols>
  <sheetData>
    <row r="1" spans="2:12" ht="13.5" thickBot="1"/>
    <row r="2" spans="2:12" ht="18.75" thickBot="1">
      <c r="B2" s="42" t="s">
        <v>0</v>
      </c>
      <c r="C2" s="43"/>
      <c r="E2" s="2" t="s">
        <v>1</v>
      </c>
      <c r="F2" s="2" t="s">
        <v>2</v>
      </c>
      <c r="G2" s="2" t="s">
        <v>3</v>
      </c>
      <c r="H2" s="2" t="s">
        <v>4</v>
      </c>
      <c r="I2" s="2" t="s">
        <v>5</v>
      </c>
      <c r="J2" s="2" t="s">
        <v>6</v>
      </c>
    </row>
    <row r="3" spans="2:12" ht="18">
      <c r="B3" s="3" t="s">
        <v>7</v>
      </c>
      <c r="C3" s="4">
        <v>20</v>
      </c>
      <c r="E3" s="2" t="s">
        <v>8</v>
      </c>
      <c r="F3" s="5">
        <f>SUM(G15:G22)</f>
        <v>75</v>
      </c>
      <c r="G3" s="2">
        <v>0.79</v>
      </c>
      <c r="H3" s="2">
        <f>SUM(I15:I22)</f>
        <v>59.25</v>
      </c>
      <c r="I3" s="2">
        <f>SUM(K15:K22)</f>
        <v>123.8</v>
      </c>
      <c r="J3" s="2">
        <f>SUM(L15:L22)</f>
        <v>-16.2</v>
      </c>
    </row>
    <row r="4" spans="2:12" ht="18">
      <c r="B4" s="6" t="s">
        <v>9</v>
      </c>
      <c r="C4" s="4">
        <v>45.3</v>
      </c>
      <c r="E4" s="2" t="s">
        <v>10</v>
      </c>
      <c r="F4" s="5">
        <f>SUM(G23:G29)</f>
        <v>69</v>
      </c>
      <c r="G4" s="2">
        <v>0.79</v>
      </c>
      <c r="H4" s="2">
        <f>SUM(I23:I29)</f>
        <v>54.51</v>
      </c>
      <c r="I4" s="2">
        <f>SUM(K23:K29)</f>
        <v>116.16</v>
      </c>
      <c r="J4" s="2">
        <f>SUM(L23:L29)</f>
        <v>-23.840000000000003</v>
      </c>
    </row>
    <row r="5" spans="2:12" ht="18">
      <c r="B5" s="6" t="s">
        <v>11</v>
      </c>
      <c r="C5" s="4">
        <v>70.599999999999994</v>
      </c>
      <c r="E5" s="2" t="s">
        <v>12</v>
      </c>
      <c r="F5" s="5">
        <f>SUM(G30:G38)</f>
        <v>206</v>
      </c>
      <c r="G5" s="2">
        <v>0.79</v>
      </c>
      <c r="H5" s="2">
        <f>SUM(I30:I38)</f>
        <v>162.73999999999998</v>
      </c>
      <c r="I5" s="2">
        <f>SUM(K30:K38)</f>
        <v>202</v>
      </c>
      <c r="J5" s="2">
        <f>SUM(L30:L38)</f>
        <v>-2.5300000000000011</v>
      </c>
    </row>
    <row r="6" spans="2:12" ht="18">
      <c r="B6" s="6" t="s">
        <v>13</v>
      </c>
      <c r="C6" s="4">
        <v>95.93</v>
      </c>
      <c r="E6" s="2" t="s">
        <v>14</v>
      </c>
      <c r="F6" s="5">
        <f>SUM(G39:G46)</f>
        <v>204</v>
      </c>
      <c r="G6" s="2">
        <v>0.79</v>
      </c>
      <c r="H6" s="2">
        <f>SUM(I39:I46)</f>
        <v>161.16</v>
      </c>
      <c r="I6" s="2">
        <f>SUM(K39:K46)</f>
        <v>164.31</v>
      </c>
      <c r="J6" s="2">
        <f>SUM(L39:L46)</f>
        <v>-24.96</v>
      </c>
    </row>
    <row r="7" spans="2:12" ht="18">
      <c r="B7" s="6" t="s">
        <v>15</v>
      </c>
      <c r="C7" s="4">
        <v>121.23</v>
      </c>
      <c r="E7" s="2" t="s">
        <v>16</v>
      </c>
      <c r="F7" s="5">
        <f>SUM(G47:G53)</f>
        <v>97</v>
      </c>
      <c r="G7" s="2">
        <v>0.79</v>
      </c>
      <c r="H7" s="2">
        <f>SUM(I47:I53)</f>
        <v>76.63</v>
      </c>
      <c r="I7" s="2">
        <f>SUM(K47:K53)</f>
        <v>113.51</v>
      </c>
      <c r="J7" s="2">
        <f>SUM(L47:L53)</f>
        <v>-26.49</v>
      </c>
    </row>
    <row r="8" spans="2:12" ht="18">
      <c r="B8" s="6" t="s">
        <v>17</v>
      </c>
      <c r="C8" s="4">
        <v>146.53</v>
      </c>
      <c r="E8" s="2" t="s">
        <v>18</v>
      </c>
      <c r="F8" s="5">
        <f>SUM(G54:G62)</f>
        <v>258</v>
      </c>
      <c r="G8" s="2">
        <v>0.79</v>
      </c>
      <c r="H8" s="2">
        <f>SUM(I54:I62)</f>
        <v>203.82000000000002</v>
      </c>
      <c r="I8" s="2">
        <f>SUM(K54:K62)</f>
        <v>208.55000000000004</v>
      </c>
      <c r="J8" s="2">
        <f>SUM(L54:L62)</f>
        <v>-6.540000000000008</v>
      </c>
    </row>
    <row r="9" spans="2:12" ht="18.75" thickBot="1">
      <c r="B9" s="7" t="s">
        <v>19</v>
      </c>
      <c r="C9" s="8">
        <v>171.8</v>
      </c>
      <c r="E9" s="2" t="s">
        <v>20</v>
      </c>
      <c r="F9" s="5">
        <f>SUM(G63:G71)</f>
        <v>203</v>
      </c>
      <c r="G9" s="2">
        <v>0.79</v>
      </c>
      <c r="H9" s="2">
        <f>SUM(I63:I71)</f>
        <v>160.37000000000003</v>
      </c>
      <c r="I9" s="2">
        <f>SUM(K63:K71)</f>
        <v>208.8</v>
      </c>
      <c r="J9" s="2">
        <f>SUM(L63:L71)</f>
        <v>8.2199999999999918</v>
      </c>
    </row>
    <row r="10" spans="2:12" ht="18">
      <c r="E10" s="9" t="s">
        <v>21</v>
      </c>
      <c r="F10" s="9">
        <f>SUM(F3:F9)</f>
        <v>1112</v>
      </c>
      <c r="G10" s="9">
        <v>0.79</v>
      </c>
      <c r="H10" s="9">
        <f>SUM(H3:H9)</f>
        <v>878.48</v>
      </c>
      <c r="I10" s="9">
        <f>SUM(I3:I9)</f>
        <v>1137.1300000000001</v>
      </c>
      <c r="J10" s="9">
        <f>SUM(J3:J9)</f>
        <v>-92.34</v>
      </c>
    </row>
    <row r="14" spans="2:12">
      <c r="E14" s="10" t="s">
        <v>1</v>
      </c>
      <c r="F14" s="11" t="s">
        <v>22</v>
      </c>
      <c r="G14" s="12" t="s">
        <v>23</v>
      </c>
      <c r="H14" s="11" t="s">
        <v>3</v>
      </c>
      <c r="I14" s="11" t="s">
        <v>4</v>
      </c>
      <c r="J14" s="11" t="s">
        <v>24</v>
      </c>
      <c r="K14" s="12" t="s">
        <v>25</v>
      </c>
      <c r="L14" s="13" t="s">
        <v>6</v>
      </c>
    </row>
    <row r="15" spans="2:12" hidden="1">
      <c r="E15" s="14" t="s">
        <v>8</v>
      </c>
      <c r="F15" s="15">
        <v>17</v>
      </c>
      <c r="G15" s="16">
        <v>12</v>
      </c>
      <c r="H15" s="17">
        <v>0.79</v>
      </c>
      <c r="I15" s="17">
        <f>Table1[[#This Row],[LHC]]*Table1[[#This Row],[Cars WTD (EDIT)]]</f>
        <v>9.48</v>
      </c>
      <c r="J15" s="17" cm="1">
        <f t="array" ref="J15">_xlfn.IFS(Table1[[#This Row],[Allowed Hours]]=0,0,Table1[[#This Row],[Allowed Hours]]&lt;20,20,Table1[[#This Row],[Allowed Hours]]&gt;20,Table1[[#This Row],[Allowed Hours]])</f>
        <v>20</v>
      </c>
      <c r="K15" s="18">
        <v>16.98</v>
      </c>
      <c r="L15" s="19">
        <f>K15-Table1[[#This Row],[Adj Allowed Hrs]]</f>
        <v>-3.0199999999999996</v>
      </c>
    </row>
    <row r="16" spans="2:12" hidden="1">
      <c r="E16" s="14" t="s">
        <v>8</v>
      </c>
      <c r="F16" s="15">
        <v>22</v>
      </c>
      <c r="G16" s="16">
        <v>19</v>
      </c>
      <c r="H16" s="17">
        <v>0.79</v>
      </c>
      <c r="I16" s="17">
        <f>Table1[[#This Row],[LHC]]*Table1[[#This Row],[Cars WTD (EDIT)]]</f>
        <v>15.010000000000002</v>
      </c>
      <c r="J16" s="17" cm="1">
        <f t="array" ref="J16">_xlfn.IFS(Table1[[#This Row],[Allowed Hours]]=0,0,Table1[[#This Row],[Allowed Hours]]&lt;20,20,Table1[[#This Row],[Allowed Hours]]&gt;20,Table1[[#This Row],[Allowed Hours]])</f>
        <v>20</v>
      </c>
      <c r="K16" s="18">
        <v>22.79</v>
      </c>
      <c r="L16" s="19">
        <f>K16-Table1[[#This Row],[Adj Allowed Hrs]]</f>
        <v>2.7899999999999991</v>
      </c>
    </row>
    <row r="17" spans="5:12" hidden="1">
      <c r="E17" s="14" t="s">
        <v>8</v>
      </c>
      <c r="F17" s="15">
        <v>641</v>
      </c>
      <c r="G17" s="16">
        <v>9</v>
      </c>
      <c r="H17" s="17">
        <v>0.79</v>
      </c>
      <c r="I17" s="17">
        <f>Table1[[#This Row],[LHC]]*Table1[[#This Row],[Cars WTD (EDIT)]]</f>
        <v>7.11</v>
      </c>
      <c r="J17" s="17" cm="1">
        <f t="array" ref="J17">_xlfn.IFS(Table1[[#This Row],[Allowed Hours]]=0,0,Table1[[#This Row],[Allowed Hours]]&lt;20,20,Table1[[#This Row],[Allowed Hours]]&gt;20,Table1[[#This Row],[Allowed Hours]])</f>
        <v>20</v>
      </c>
      <c r="K17" s="18">
        <v>16.75</v>
      </c>
      <c r="L17" s="19">
        <f>K17-Table1[[#This Row],[Adj Allowed Hrs]]</f>
        <v>-3.25</v>
      </c>
    </row>
    <row r="18" spans="5:12" hidden="1">
      <c r="E18" s="14" t="s">
        <v>8</v>
      </c>
      <c r="F18" s="15">
        <v>717</v>
      </c>
      <c r="G18" s="16">
        <v>18</v>
      </c>
      <c r="H18" s="17">
        <v>0.79</v>
      </c>
      <c r="I18" s="17">
        <f>Table1[[#This Row],[LHC]]*Table1[[#This Row],[Cars WTD (EDIT)]]</f>
        <v>14.22</v>
      </c>
      <c r="J18" s="17" cm="1">
        <f t="array" ref="J18">_xlfn.IFS(Table1[[#This Row],[Allowed Hours]]=0,0,Table1[[#This Row],[Allowed Hours]]&lt;20,20,Table1[[#This Row],[Allowed Hours]]&gt;20,Table1[[#This Row],[Allowed Hours]])</f>
        <v>20</v>
      </c>
      <c r="K18" s="18">
        <v>22.96</v>
      </c>
      <c r="L18" s="19">
        <f>K18-Table1[[#This Row],[Adj Allowed Hrs]]</f>
        <v>2.9600000000000009</v>
      </c>
    </row>
    <row r="19" spans="5:12" hidden="1">
      <c r="E19" s="14" t="s">
        <v>8</v>
      </c>
      <c r="F19" s="15">
        <v>843</v>
      </c>
      <c r="G19" s="16">
        <v>2</v>
      </c>
      <c r="H19" s="17">
        <v>0.79</v>
      </c>
      <c r="I19" s="17">
        <f>Table1[[#This Row],[LHC]]*Table1[[#This Row],[Cars WTD (EDIT)]]</f>
        <v>1.58</v>
      </c>
      <c r="J19" s="17" cm="1">
        <f t="array" ref="J19">_xlfn.IFS(Table1[[#This Row],[Allowed Hours]]=0,0,Table1[[#This Row],[Allowed Hours]]&lt;20,20,Table1[[#This Row],[Allowed Hours]]&gt;20,Table1[[#This Row],[Allowed Hours]])</f>
        <v>20</v>
      </c>
      <c r="K19" s="18">
        <v>15.43</v>
      </c>
      <c r="L19" s="19">
        <f>K19-Table1[[#This Row],[Adj Allowed Hrs]]</f>
        <v>-4.57</v>
      </c>
    </row>
    <row r="20" spans="5:12" hidden="1">
      <c r="E20" s="14" t="s">
        <v>8</v>
      </c>
      <c r="F20" s="15">
        <v>881</v>
      </c>
      <c r="G20" s="16">
        <v>9</v>
      </c>
      <c r="H20" s="17">
        <v>0.79</v>
      </c>
      <c r="I20" s="17">
        <f>Table1[[#This Row],[LHC]]*Table1[[#This Row],[Cars WTD (EDIT)]]</f>
        <v>7.11</v>
      </c>
      <c r="J20" s="17" cm="1">
        <f t="array" ref="J20">_xlfn.IFS(Table1[[#This Row],[Allowed Hours]]=0,0,Table1[[#This Row],[Allowed Hours]]&lt;20,20,Table1[[#This Row],[Allowed Hours]]&gt;20,Table1[[#This Row],[Allowed Hours]])</f>
        <v>20</v>
      </c>
      <c r="K20" s="18">
        <v>12.92</v>
      </c>
      <c r="L20" s="19">
        <f>K20-Table1[[#This Row],[Adj Allowed Hrs]]</f>
        <v>-7.08</v>
      </c>
    </row>
    <row r="21" spans="5:12" hidden="1">
      <c r="E21" s="14" t="s">
        <v>8</v>
      </c>
      <c r="F21" s="15">
        <v>953</v>
      </c>
      <c r="G21" s="16">
        <v>6</v>
      </c>
      <c r="H21" s="17">
        <v>0.79</v>
      </c>
      <c r="I21" s="17">
        <f>Table1[[#This Row],[LHC]]*Table1[[#This Row],[Cars WTD (EDIT)]]</f>
        <v>4.74</v>
      </c>
      <c r="J21" s="17" cm="1">
        <f t="array" ref="J21">_xlfn.IFS(Table1[[#This Row],[Allowed Hours]]=0,0,Table1[[#This Row],[Allowed Hours]]&lt;20,20,Table1[[#This Row],[Allowed Hours]]&gt;20,Table1[[#This Row],[Allowed Hours]])</f>
        <v>20</v>
      </c>
      <c r="K21" s="18">
        <v>15.97</v>
      </c>
      <c r="L21" s="19">
        <f>K21-Table1[[#This Row],[Adj Allowed Hrs]]</f>
        <v>-4.0299999999999994</v>
      </c>
    </row>
    <row r="22" spans="5:12" hidden="1">
      <c r="E22" s="14" t="s">
        <v>8</v>
      </c>
      <c r="F22" s="15">
        <v>3040</v>
      </c>
      <c r="G22" s="16"/>
      <c r="H22" s="17">
        <v>0.79</v>
      </c>
      <c r="I22" s="17">
        <f>Table1[[#This Row],[LHC]]*Table1[[#This Row],[Cars WTD (EDIT)]]</f>
        <v>0</v>
      </c>
      <c r="J22" s="17" cm="1">
        <f t="array" ref="J22">_xlfn.IFS(Table1[[#This Row],[Allowed Hours]]=0,0,Table1[[#This Row],[Allowed Hours]]&lt;20,20,Table1[[#This Row],[Allowed Hours]]&gt;20,Table1[[#This Row],[Allowed Hours]])</f>
        <v>0</v>
      </c>
      <c r="K22" s="18"/>
      <c r="L22" s="19">
        <f>K22-Table1[[#This Row],[Adj Allowed Hrs]]</f>
        <v>0</v>
      </c>
    </row>
    <row r="23" spans="5:12">
      <c r="E23" s="14" t="s">
        <v>10</v>
      </c>
      <c r="F23" s="15">
        <v>18</v>
      </c>
      <c r="G23" s="16">
        <v>14</v>
      </c>
      <c r="H23" s="17">
        <v>0.79</v>
      </c>
      <c r="I23" s="17">
        <f>Table1[[#This Row],[LHC]]*Table1[[#This Row],[Cars WTD (EDIT)]]</f>
        <v>11.06</v>
      </c>
      <c r="J23" s="17" cm="1">
        <f t="array" ref="J23">_xlfn.IFS(Table1[[#This Row],[Allowed Hours]]=0,0,Table1[[#This Row],[Allowed Hours]]&lt;20,20,Table1[[#This Row],[Allowed Hours]]&gt;20,Table1[[#This Row],[Allowed Hours]])</f>
        <v>20</v>
      </c>
      <c r="K23" s="18">
        <v>11.34</v>
      </c>
      <c r="L23" s="19">
        <f>K23-Table1[[#This Row],[Adj Allowed Hrs]]</f>
        <v>-8.66</v>
      </c>
    </row>
    <row r="24" spans="5:12">
      <c r="E24" s="14" t="s">
        <v>10</v>
      </c>
      <c r="F24" s="15">
        <v>19</v>
      </c>
      <c r="G24" s="16">
        <v>6</v>
      </c>
      <c r="H24" s="17">
        <v>0.79</v>
      </c>
      <c r="I24" s="17">
        <f>Table1[[#This Row],[LHC]]*Table1[[#This Row],[Cars WTD (EDIT)]]</f>
        <v>4.74</v>
      </c>
      <c r="J24" s="17" cm="1">
        <f t="array" ref="J24">_xlfn.IFS(Table1[[#This Row],[Allowed Hours]]=0,0,Table1[[#This Row],[Allowed Hours]]&lt;20,20,Table1[[#This Row],[Allowed Hours]]&gt;20,Table1[[#This Row],[Allowed Hours]])</f>
        <v>20</v>
      </c>
      <c r="K24" s="18">
        <v>18.61</v>
      </c>
      <c r="L24" s="19">
        <f>K24-Table1[[#This Row],[Adj Allowed Hrs]]</f>
        <v>-1.3900000000000006</v>
      </c>
    </row>
    <row r="25" spans="5:12">
      <c r="E25" s="14" t="s">
        <v>10</v>
      </c>
      <c r="F25" s="15">
        <v>282</v>
      </c>
      <c r="G25" s="16">
        <v>6</v>
      </c>
      <c r="H25" s="17">
        <v>0.79</v>
      </c>
      <c r="I25" s="17">
        <f>Table1[[#This Row],[LHC]]*Table1[[#This Row],[Cars WTD (EDIT)]]</f>
        <v>4.74</v>
      </c>
      <c r="J25" s="17" cm="1">
        <f t="array" ref="J25">_xlfn.IFS(Table1[[#This Row],[Allowed Hours]]=0,0,Table1[[#This Row],[Allowed Hours]]&lt;20,20,Table1[[#This Row],[Allowed Hours]]&gt;20,Table1[[#This Row],[Allowed Hours]])</f>
        <v>20</v>
      </c>
      <c r="K25" s="18">
        <v>7.56</v>
      </c>
      <c r="L25" s="19">
        <f>K25-Table1[[#This Row],[Adj Allowed Hrs]]</f>
        <v>-12.440000000000001</v>
      </c>
    </row>
    <row r="26" spans="5:12">
      <c r="E26" s="14" t="s">
        <v>10</v>
      </c>
      <c r="F26" s="15">
        <v>447</v>
      </c>
      <c r="G26" s="16">
        <v>7</v>
      </c>
      <c r="H26" s="17">
        <v>0.79</v>
      </c>
      <c r="I26" s="17">
        <f>Table1[[#This Row],[LHC]]*Table1[[#This Row],[Cars WTD (EDIT)]]</f>
        <v>5.53</v>
      </c>
      <c r="J26" s="17" cm="1">
        <f t="array" ref="J26">_xlfn.IFS(Table1[[#This Row],[Allowed Hours]]=0,0,Table1[[#This Row],[Allowed Hours]]&lt;20,20,Table1[[#This Row],[Allowed Hours]]&gt;20,Table1[[#This Row],[Allowed Hours]])</f>
        <v>20</v>
      </c>
      <c r="K26" s="18">
        <v>16.73</v>
      </c>
      <c r="L26" s="19">
        <f>K26-Table1[[#This Row],[Adj Allowed Hrs]]</f>
        <v>-3.2699999999999996</v>
      </c>
    </row>
    <row r="27" spans="5:12">
      <c r="E27" s="14" t="s">
        <v>10</v>
      </c>
      <c r="F27" s="15">
        <v>448</v>
      </c>
      <c r="G27" s="16">
        <v>21</v>
      </c>
      <c r="H27" s="17">
        <v>0.79</v>
      </c>
      <c r="I27" s="17">
        <f>Table1[[#This Row],[LHC]]*Table1[[#This Row],[Cars WTD (EDIT)]]</f>
        <v>16.59</v>
      </c>
      <c r="J27" s="17" cm="1">
        <f t="array" ref="J27">_xlfn.IFS(Table1[[#This Row],[Allowed Hours]]=0,0,Table1[[#This Row],[Allowed Hours]]&lt;20,20,Table1[[#This Row],[Allowed Hours]]&gt;20,Table1[[#This Row],[Allowed Hours]])</f>
        <v>20</v>
      </c>
      <c r="K27" s="18">
        <v>24.31</v>
      </c>
      <c r="L27" s="19">
        <f>K27-Table1[[#This Row],[Adj Allowed Hrs]]</f>
        <v>4.3099999999999987</v>
      </c>
    </row>
    <row r="28" spans="5:12">
      <c r="E28" s="14" t="s">
        <v>10</v>
      </c>
      <c r="F28" s="15">
        <v>531</v>
      </c>
      <c r="G28" s="16">
        <v>6</v>
      </c>
      <c r="H28" s="17">
        <v>0.79</v>
      </c>
      <c r="I28" s="17">
        <f>Table1[[#This Row],[LHC]]*Table1[[#This Row],[Cars WTD (EDIT)]]</f>
        <v>4.74</v>
      </c>
      <c r="J28" s="17" cm="1">
        <f t="array" ref="J28">_xlfn.IFS(Table1[[#This Row],[Allowed Hours]]=0,0,Table1[[#This Row],[Allowed Hours]]&lt;20,20,Table1[[#This Row],[Allowed Hours]]&gt;20,Table1[[#This Row],[Allowed Hours]])</f>
        <v>20</v>
      </c>
      <c r="K28" s="18">
        <v>18.5</v>
      </c>
      <c r="L28" s="19">
        <f>K28-Table1[[#This Row],[Adj Allowed Hrs]]</f>
        <v>-1.5</v>
      </c>
    </row>
    <row r="29" spans="5:12">
      <c r="E29" s="14" t="s">
        <v>10</v>
      </c>
      <c r="F29" s="15">
        <v>832</v>
      </c>
      <c r="G29" s="16">
        <v>9</v>
      </c>
      <c r="H29" s="17">
        <v>0.79</v>
      </c>
      <c r="I29" s="17">
        <f>Table1[[#This Row],[LHC]]*Table1[[#This Row],[Cars WTD (EDIT)]]</f>
        <v>7.11</v>
      </c>
      <c r="J29" s="17" cm="1">
        <f t="array" ref="J29">_xlfn.IFS(Table1[[#This Row],[Allowed Hours]]=0,0,Table1[[#This Row],[Allowed Hours]]&lt;20,20,Table1[[#This Row],[Allowed Hours]]&gt;20,Table1[[#This Row],[Allowed Hours]])</f>
        <v>20</v>
      </c>
      <c r="K29" s="18">
        <v>19.11</v>
      </c>
      <c r="L29" s="19">
        <f>K29-Table1[[#This Row],[Adj Allowed Hrs]]</f>
        <v>-0.89000000000000057</v>
      </c>
    </row>
    <row r="30" spans="5:12" hidden="1">
      <c r="E30" s="14" t="s">
        <v>12</v>
      </c>
      <c r="F30" s="15">
        <v>3</v>
      </c>
      <c r="G30" s="16">
        <v>10</v>
      </c>
      <c r="H30" s="17">
        <v>0.79</v>
      </c>
      <c r="I30" s="17">
        <f>Table1[[#This Row],[LHC]]*Table1[[#This Row],[Cars WTD (EDIT)]]</f>
        <v>7.9</v>
      </c>
      <c r="J30" s="17" cm="1">
        <f t="array" ref="J30">_xlfn.IFS(Table1[[#This Row],[Allowed Hours]]=0,0,Table1[[#This Row],[Allowed Hours]]&lt;20,20,Table1[[#This Row],[Allowed Hours]]&gt;20,Table1[[#This Row],[Allowed Hours]])</f>
        <v>20</v>
      </c>
      <c r="K30" s="18">
        <v>18</v>
      </c>
      <c r="L30" s="19">
        <f>K30-Table1[[#This Row],[Adj Allowed Hrs]]</f>
        <v>-2</v>
      </c>
    </row>
    <row r="31" spans="5:12" hidden="1">
      <c r="E31" s="14" t="s">
        <v>12</v>
      </c>
      <c r="F31" s="15">
        <v>5</v>
      </c>
      <c r="G31" s="16">
        <v>22</v>
      </c>
      <c r="H31" s="17">
        <v>0.79</v>
      </c>
      <c r="I31" s="17">
        <f>Table1[[#This Row],[LHC]]*Table1[[#This Row],[Cars WTD (EDIT)]]</f>
        <v>17.380000000000003</v>
      </c>
      <c r="J31" s="17" cm="1">
        <f t="array" ref="J31">_xlfn.IFS(Table1[[#This Row],[Allowed Hours]]=0,0,Table1[[#This Row],[Allowed Hours]]&lt;20,20,Table1[[#This Row],[Allowed Hours]]&gt;20,Table1[[#This Row],[Allowed Hours]])</f>
        <v>20</v>
      </c>
      <c r="K31" s="18">
        <v>28</v>
      </c>
      <c r="L31" s="19">
        <f>K31-Table1[[#This Row],[Adj Allowed Hrs]]</f>
        <v>8</v>
      </c>
    </row>
    <row r="32" spans="5:12" hidden="1">
      <c r="E32" s="14" t="s">
        <v>12</v>
      </c>
      <c r="F32" s="15">
        <v>11</v>
      </c>
      <c r="G32" s="16">
        <v>10</v>
      </c>
      <c r="H32" s="17">
        <v>0.79</v>
      </c>
      <c r="I32" s="17">
        <f>Table1[[#This Row],[LHC]]*Table1[[#This Row],[Cars WTD (EDIT)]]</f>
        <v>7.9</v>
      </c>
      <c r="J32" s="17" cm="1">
        <f t="array" ref="J32">_xlfn.IFS(Table1[[#This Row],[Allowed Hours]]=0,0,Table1[[#This Row],[Allowed Hours]]&lt;20,20,Table1[[#This Row],[Allowed Hours]]&gt;20,Table1[[#This Row],[Allowed Hours]])</f>
        <v>20</v>
      </c>
      <c r="K32" s="18">
        <v>17</v>
      </c>
      <c r="L32" s="19">
        <f>K32-Table1[[#This Row],[Adj Allowed Hrs]]</f>
        <v>-3</v>
      </c>
    </row>
    <row r="33" spans="5:12" hidden="1">
      <c r="E33" s="14" t="s">
        <v>12</v>
      </c>
      <c r="F33" s="15">
        <v>14</v>
      </c>
      <c r="G33" s="16">
        <v>18</v>
      </c>
      <c r="H33" s="17">
        <v>0.79</v>
      </c>
      <c r="I33" s="17">
        <f>Table1[[#This Row],[LHC]]*Table1[[#This Row],[Cars WTD (EDIT)]]</f>
        <v>14.22</v>
      </c>
      <c r="J33" s="17" cm="1">
        <f t="array" ref="J33">_xlfn.IFS(Table1[[#This Row],[Allowed Hours]]=0,0,Table1[[#This Row],[Allowed Hours]]&lt;20,20,Table1[[#This Row],[Allowed Hours]]&gt;20,Table1[[#This Row],[Allowed Hours]])</f>
        <v>20</v>
      </c>
      <c r="K33" s="18">
        <v>18</v>
      </c>
      <c r="L33" s="19">
        <f>K33-Table1[[#This Row],[Adj Allowed Hrs]]</f>
        <v>-2</v>
      </c>
    </row>
    <row r="34" spans="5:12" hidden="1">
      <c r="E34" s="14" t="s">
        <v>12</v>
      </c>
      <c r="F34" s="15">
        <v>20</v>
      </c>
      <c r="G34" s="16">
        <v>20</v>
      </c>
      <c r="H34" s="17">
        <v>0.79</v>
      </c>
      <c r="I34" s="17">
        <f>Table1[[#This Row],[LHC]]*Table1[[#This Row],[Cars WTD (EDIT)]]</f>
        <v>15.8</v>
      </c>
      <c r="J34" s="17" cm="1">
        <f t="array" ref="J34">_xlfn.IFS(Table1[[#This Row],[Allowed Hours]]=0,0,Table1[[#This Row],[Allowed Hours]]&lt;20,20,Table1[[#This Row],[Allowed Hours]]&gt;20,Table1[[#This Row],[Allowed Hours]])</f>
        <v>20</v>
      </c>
      <c r="K34" s="18">
        <v>24</v>
      </c>
      <c r="L34" s="19">
        <f>K34-Table1[[#This Row],[Adj Allowed Hrs]]</f>
        <v>4</v>
      </c>
    </row>
    <row r="35" spans="5:12" hidden="1">
      <c r="E35" s="14" t="s">
        <v>12</v>
      </c>
      <c r="F35" s="15">
        <v>21</v>
      </c>
      <c r="G35" s="16">
        <v>42</v>
      </c>
      <c r="H35" s="17">
        <v>0.79</v>
      </c>
      <c r="I35" s="17">
        <f>Table1[[#This Row],[LHC]]*Table1[[#This Row],[Cars WTD (EDIT)]]</f>
        <v>33.18</v>
      </c>
      <c r="J35" s="17" cm="1">
        <f t="array" ref="J35">_xlfn.IFS(Table1[[#This Row],[Allowed Hours]]=0,0,Table1[[#This Row],[Allowed Hours]]&lt;20,20,Table1[[#This Row],[Allowed Hours]]&gt;20,Table1[[#This Row],[Allowed Hours]])</f>
        <v>33.18</v>
      </c>
      <c r="K35" s="18">
        <v>20</v>
      </c>
      <c r="L35" s="19">
        <f>K35-Table1[[#This Row],[Adj Allowed Hrs]]</f>
        <v>-13.18</v>
      </c>
    </row>
    <row r="36" spans="5:12" hidden="1">
      <c r="E36" s="14" t="s">
        <v>12</v>
      </c>
      <c r="F36" s="15">
        <v>23</v>
      </c>
      <c r="G36" s="16">
        <v>26</v>
      </c>
      <c r="H36" s="17">
        <v>0.79</v>
      </c>
      <c r="I36" s="17">
        <f>Table1[[#This Row],[LHC]]*Table1[[#This Row],[Cars WTD (EDIT)]]</f>
        <v>20.54</v>
      </c>
      <c r="J36" s="17" cm="1">
        <f t="array" ref="J36">_xlfn.IFS(Table1[[#This Row],[Allowed Hours]]=0,0,Table1[[#This Row],[Allowed Hours]]&lt;20,20,Table1[[#This Row],[Allowed Hours]]&gt;20,Table1[[#This Row],[Allowed Hours]])</f>
        <v>20.54</v>
      </c>
      <c r="K36" s="18">
        <v>28</v>
      </c>
      <c r="L36" s="19">
        <f>K36-Table1[[#This Row],[Adj Allowed Hrs]]</f>
        <v>7.4600000000000009</v>
      </c>
    </row>
    <row r="37" spans="5:12" hidden="1">
      <c r="E37" s="14" t="s">
        <v>12</v>
      </c>
      <c r="F37" s="15">
        <v>24</v>
      </c>
      <c r="G37" s="16">
        <v>39</v>
      </c>
      <c r="H37" s="17">
        <v>0.79</v>
      </c>
      <c r="I37" s="17">
        <f>Table1[[#This Row],[LHC]]*Table1[[#This Row],[Cars WTD (EDIT)]]</f>
        <v>30.810000000000002</v>
      </c>
      <c r="J37" s="17" cm="1">
        <f t="array" ref="J37">_xlfn.IFS(Table1[[#This Row],[Allowed Hours]]=0,0,Table1[[#This Row],[Allowed Hours]]&lt;20,20,Table1[[#This Row],[Allowed Hours]]&gt;20,Table1[[#This Row],[Allowed Hours]])</f>
        <v>30.810000000000002</v>
      </c>
      <c r="K37" s="18">
        <v>30</v>
      </c>
      <c r="L37" s="19">
        <f>K37-Table1[[#This Row],[Adj Allowed Hrs]]</f>
        <v>-0.81000000000000227</v>
      </c>
    </row>
    <row r="38" spans="5:12" hidden="1">
      <c r="E38" s="14" t="s">
        <v>12</v>
      </c>
      <c r="F38" s="15">
        <v>26</v>
      </c>
      <c r="G38" s="16">
        <v>19</v>
      </c>
      <c r="H38" s="17">
        <v>0.79</v>
      </c>
      <c r="I38" s="17">
        <f>Table1[[#This Row],[LHC]]*Table1[[#This Row],[Cars WTD (EDIT)]]</f>
        <v>15.010000000000002</v>
      </c>
      <c r="J38" s="17" cm="1">
        <f t="array" ref="J38">_xlfn.IFS(Table1[[#This Row],[Allowed Hours]]=0,0,Table1[[#This Row],[Allowed Hours]]&lt;20,20,Table1[[#This Row],[Allowed Hours]]&gt;20,Table1[[#This Row],[Allowed Hours]])</f>
        <v>20</v>
      </c>
      <c r="K38" s="18">
        <v>19</v>
      </c>
      <c r="L38" s="19">
        <f>K38-Table1[[#This Row],[Adj Allowed Hrs]]</f>
        <v>-1</v>
      </c>
    </row>
    <row r="39" spans="5:12" hidden="1">
      <c r="E39" s="14" t="s">
        <v>14</v>
      </c>
      <c r="F39" s="15">
        <v>29</v>
      </c>
      <c r="G39" s="16">
        <v>50</v>
      </c>
      <c r="H39" s="17">
        <v>0.79</v>
      </c>
      <c r="I39" s="17">
        <f>Table1[[#This Row],[LHC]]*Table1[[#This Row],[Cars WTD (EDIT)]]</f>
        <v>39.5</v>
      </c>
      <c r="J39" s="17" cm="1">
        <f t="array" ref="J39">_xlfn.IFS(Table1[[#This Row],[Allowed Hours]]=0,0,Table1[[#This Row],[Allowed Hours]]&lt;20,20,Table1[[#This Row],[Allowed Hours]]&gt;20,Table1[[#This Row],[Allowed Hours]])</f>
        <v>39.5</v>
      </c>
      <c r="K39" s="18">
        <v>38.72</v>
      </c>
      <c r="L39" s="19">
        <f>K39-Table1[[#This Row],[Adj Allowed Hrs]]</f>
        <v>-0.78000000000000114</v>
      </c>
    </row>
    <row r="40" spans="5:12" hidden="1">
      <c r="E40" s="14" t="s">
        <v>14</v>
      </c>
      <c r="F40" s="15">
        <v>40</v>
      </c>
      <c r="G40" s="16">
        <v>30</v>
      </c>
      <c r="H40" s="17">
        <v>0.79</v>
      </c>
      <c r="I40" s="17">
        <f>Table1[[#This Row],[LHC]]*Table1[[#This Row],[Cars WTD (EDIT)]]</f>
        <v>23.700000000000003</v>
      </c>
      <c r="J40" s="17" cm="1">
        <f t="array" ref="J40">_xlfn.IFS(Table1[[#This Row],[Allowed Hours]]=0,0,Table1[[#This Row],[Allowed Hours]]&lt;20,20,Table1[[#This Row],[Allowed Hours]]&gt;20,Table1[[#This Row],[Allowed Hours]])</f>
        <v>23.700000000000003</v>
      </c>
      <c r="K40" s="18">
        <v>14.97</v>
      </c>
      <c r="L40" s="19">
        <f>K40-Table1[[#This Row],[Adj Allowed Hrs]]</f>
        <v>-8.7300000000000022</v>
      </c>
    </row>
    <row r="41" spans="5:12" hidden="1">
      <c r="E41" s="14" t="s">
        <v>14</v>
      </c>
      <c r="F41" s="15">
        <v>280</v>
      </c>
      <c r="G41" s="16">
        <v>21</v>
      </c>
      <c r="H41" s="17">
        <v>0.79</v>
      </c>
      <c r="I41" s="17">
        <f>Table1[[#This Row],[LHC]]*Table1[[#This Row],[Cars WTD (EDIT)]]</f>
        <v>16.59</v>
      </c>
      <c r="J41" s="17" cm="1">
        <f t="array" ref="J41">_xlfn.IFS(Table1[[#This Row],[Allowed Hours]]=0,0,Table1[[#This Row],[Allowed Hours]]&lt;20,20,Table1[[#This Row],[Allowed Hours]]&gt;20,Table1[[#This Row],[Allowed Hours]])</f>
        <v>20</v>
      </c>
      <c r="K41" s="18">
        <v>16.87</v>
      </c>
      <c r="L41" s="19">
        <f>K41-Table1[[#This Row],[Adj Allowed Hrs]]</f>
        <v>-3.129999999999999</v>
      </c>
    </row>
    <row r="42" spans="5:12" hidden="1">
      <c r="E42" s="14" t="s">
        <v>14</v>
      </c>
      <c r="F42" s="15">
        <v>599</v>
      </c>
      <c r="G42" s="16">
        <v>33</v>
      </c>
      <c r="H42" s="17">
        <v>0.79</v>
      </c>
      <c r="I42" s="17">
        <f>Table1[[#This Row],[LHC]]*Table1[[#This Row],[Cars WTD (EDIT)]]</f>
        <v>26.07</v>
      </c>
      <c r="J42" s="17" cm="1">
        <f t="array" ref="J42">_xlfn.IFS(Table1[[#This Row],[Allowed Hours]]=0,0,Table1[[#This Row],[Allowed Hours]]&lt;20,20,Table1[[#This Row],[Allowed Hours]]&gt;20,Table1[[#This Row],[Allowed Hours]])</f>
        <v>26.07</v>
      </c>
      <c r="K42" s="18">
        <v>16.61</v>
      </c>
      <c r="L42" s="19">
        <f>K42-Table1[[#This Row],[Adj Allowed Hrs]]</f>
        <v>-9.4600000000000009</v>
      </c>
    </row>
    <row r="43" spans="5:12" hidden="1">
      <c r="E43" s="14" t="s">
        <v>14</v>
      </c>
      <c r="F43" s="15">
        <v>720</v>
      </c>
      <c r="G43" s="16">
        <v>23</v>
      </c>
      <c r="H43" s="17">
        <v>0.79</v>
      </c>
      <c r="I43" s="17">
        <f>Table1[[#This Row],[LHC]]*Table1[[#This Row],[Cars WTD (EDIT)]]</f>
        <v>18.170000000000002</v>
      </c>
      <c r="J43" s="17" cm="1">
        <f t="array" ref="J43">_xlfn.IFS(Table1[[#This Row],[Allowed Hours]]=0,0,Table1[[#This Row],[Allowed Hours]]&lt;20,20,Table1[[#This Row],[Allowed Hours]]&gt;20,Table1[[#This Row],[Allowed Hours]])</f>
        <v>20</v>
      </c>
      <c r="K43" s="18">
        <v>18.260000000000002</v>
      </c>
      <c r="L43" s="19">
        <f>K43-Table1[[#This Row],[Adj Allowed Hrs]]</f>
        <v>-1.7399999999999984</v>
      </c>
    </row>
    <row r="44" spans="5:12" hidden="1">
      <c r="E44" s="14" t="s">
        <v>14</v>
      </c>
      <c r="F44" s="15">
        <v>728</v>
      </c>
      <c r="G44" s="16">
        <v>9</v>
      </c>
      <c r="H44" s="17">
        <v>0.79</v>
      </c>
      <c r="I44" s="17">
        <f>Table1[[#This Row],[LHC]]*Table1[[#This Row],[Cars WTD (EDIT)]]</f>
        <v>7.11</v>
      </c>
      <c r="J44" s="17" cm="1">
        <f t="array" ref="J44">_xlfn.IFS(Table1[[#This Row],[Allowed Hours]]=0,0,Table1[[#This Row],[Allowed Hours]]&lt;20,20,Table1[[#This Row],[Allowed Hours]]&gt;20,Table1[[#This Row],[Allowed Hours]])</f>
        <v>20</v>
      </c>
      <c r="K44" s="18">
        <v>16.690000000000001</v>
      </c>
      <c r="L44" s="19">
        <f>K44-Table1[[#This Row],[Adj Allowed Hrs]]</f>
        <v>-3.3099999999999987</v>
      </c>
    </row>
    <row r="45" spans="5:12" hidden="1">
      <c r="E45" s="14" t="s">
        <v>14</v>
      </c>
      <c r="F45" s="15">
        <v>830</v>
      </c>
      <c r="G45" s="16">
        <v>19</v>
      </c>
      <c r="H45" s="17">
        <v>0.79</v>
      </c>
      <c r="I45" s="17">
        <f>Table1[[#This Row],[LHC]]*Table1[[#This Row],[Cars WTD (EDIT)]]</f>
        <v>15.010000000000002</v>
      </c>
      <c r="J45" s="17" cm="1">
        <f t="array" ref="J45">_xlfn.IFS(Table1[[#This Row],[Allowed Hours]]=0,0,Table1[[#This Row],[Allowed Hours]]&lt;20,20,Table1[[#This Row],[Allowed Hours]]&gt;20,Table1[[#This Row],[Allowed Hours]])</f>
        <v>20</v>
      </c>
      <c r="K45" s="18">
        <v>25.47</v>
      </c>
      <c r="L45" s="19">
        <f>K45-Table1[[#This Row],[Adj Allowed Hrs]]</f>
        <v>5.4699999999999989</v>
      </c>
    </row>
    <row r="46" spans="5:12" hidden="1">
      <c r="E46" s="14" t="s">
        <v>14</v>
      </c>
      <c r="F46" s="15">
        <v>975</v>
      </c>
      <c r="G46" s="16">
        <v>19</v>
      </c>
      <c r="H46" s="17">
        <v>0.79</v>
      </c>
      <c r="I46" s="17">
        <f>Table1[[#This Row],[LHC]]*Table1[[#This Row],[Cars WTD (EDIT)]]</f>
        <v>15.010000000000002</v>
      </c>
      <c r="J46" s="17" cm="1">
        <f t="array" ref="J46">_xlfn.IFS(Table1[[#This Row],[Allowed Hours]]=0,0,Table1[[#This Row],[Allowed Hours]]&lt;20,20,Table1[[#This Row],[Allowed Hours]]&gt;20,Table1[[#This Row],[Allowed Hours]])</f>
        <v>20</v>
      </c>
      <c r="K46" s="18">
        <v>16.72</v>
      </c>
      <c r="L46" s="19">
        <f>K46-Table1[[#This Row],[Adj Allowed Hrs]]</f>
        <v>-3.2800000000000011</v>
      </c>
    </row>
    <row r="47" spans="5:12" hidden="1">
      <c r="E47" s="14" t="s">
        <v>16</v>
      </c>
      <c r="F47" s="15">
        <v>46</v>
      </c>
      <c r="G47" s="16">
        <v>15</v>
      </c>
      <c r="H47" s="17">
        <v>0.79</v>
      </c>
      <c r="I47" s="17">
        <f>Table1[[#This Row],[LHC]]*Table1[[#This Row],[Cars WTD (EDIT)]]</f>
        <v>11.850000000000001</v>
      </c>
      <c r="J47" s="17" cm="1">
        <f t="array" ref="J47">_xlfn.IFS(Table1[[#This Row],[Allowed Hours]]=0,0,Table1[[#This Row],[Allowed Hours]]&lt;20,20,Table1[[#This Row],[Allowed Hours]]&gt;20,Table1[[#This Row],[Allowed Hours]])</f>
        <v>20</v>
      </c>
      <c r="K47" s="18">
        <v>18.78</v>
      </c>
      <c r="L47" s="19">
        <f>K47-Table1[[#This Row],[Adj Allowed Hrs]]</f>
        <v>-1.2199999999999989</v>
      </c>
    </row>
    <row r="48" spans="5:12" hidden="1">
      <c r="E48" s="14" t="s">
        <v>16</v>
      </c>
      <c r="F48" s="15">
        <v>283</v>
      </c>
      <c r="G48" s="16">
        <v>25</v>
      </c>
      <c r="H48" s="17">
        <v>0.79</v>
      </c>
      <c r="I48" s="17">
        <f>Table1[[#This Row],[LHC]]*Table1[[#This Row],[Cars WTD (EDIT)]]</f>
        <v>19.75</v>
      </c>
      <c r="J48" s="17" cm="1">
        <f t="array" ref="J48">_xlfn.IFS(Table1[[#This Row],[Allowed Hours]]=0,0,Table1[[#This Row],[Allowed Hours]]&lt;20,20,Table1[[#This Row],[Allowed Hours]]&gt;20,Table1[[#This Row],[Allowed Hours]])</f>
        <v>20</v>
      </c>
      <c r="K48" s="18">
        <v>16.91</v>
      </c>
      <c r="L48" s="19">
        <f>K48-Table1[[#This Row],[Adj Allowed Hrs]]</f>
        <v>-3.09</v>
      </c>
    </row>
    <row r="49" spans="5:12" hidden="1">
      <c r="E49" s="14" t="s">
        <v>16</v>
      </c>
      <c r="F49" s="15">
        <v>847</v>
      </c>
      <c r="G49" s="16">
        <v>7</v>
      </c>
      <c r="H49" s="17">
        <v>0.79</v>
      </c>
      <c r="I49" s="17">
        <f>Table1[[#This Row],[LHC]]*Table1[[#This Row],[Cars WTD (EDIT)]]</f>
        <v>5.53</v>
      </c>
      <c r="J49" s="17" cm="1">
        <f t="array" ref="J49">_xlfn.IFS(Table1[[#This Row],[Allowed Hours]]=0,0,Table1[[#This Row],[Allowed Hours]]&lt;20,20,Table1[[#This Row],[Allowed Hours]]&gt;20,Table1[[#This Row],[Allowed Hours]])</f>
        <v>20</v>
      </c>
      <c r="K49" s="18">
        <v>17.23</v>
      </c>
      <c r="L49" s="19">
        <f>K49-Table1[[#This Row],[Adj Allowed Hrs]]</f>
        <v>-2.7699999999999996</v>
      </c>
    </row>
    <row r="50" spans="5:12" hidden="1">
      <c r="E50" s="14" t="s">
        <v>16</v>
      </c>
      <c r="F50" s="15">
        <v>865</v>
      </c>
      <c r="G50" s="16">
        <v>17</v>
      </c>
      <c r="H50" s="17">
        <v>0.79</v>
      </c>
      <c r="I50" s="17">
        <f>Table1[[#This Row],[LHC]]*Table1[[#This Row],[Cars WTD (EDIT)]]</f>
        <v>13.43</v>
      </c>
      <c r="J50" s="17" cm="1">
        <f t="array" ref="J50">_xlfn.IFS(Table1[[#This Row],[Allowed Hours]]=0,0,Table1[[#This Row],[Allowed Hours]]&lt;20,20,Table1[[#This Row],[Allowed Hours]]&gt;20,Table1[[#This Row],[Allowed Hours]])</f>
        <v>20</v>
      </c>
      <c r="K50" s="18">
        <v>16.36</v>
      </c>
      <c r="L50" s="19">
        <f>K50-Table1[[#This Row],[Adj Allowed Hrs]]</f>
        <v>-3.6400000000000006</v>
      </c>
    </row>
    <row r="51" spans="5:12" hidden="1">
      <c r="E51" s="14" t="s">
        <v>16</v>
      </c>
      <c r="F51" s="15">
        <v>919</v>
      </c>
      <c r="G51" s="16">
        <v>10</v>
      </c>
      <c r="H51" s="17">
        <v>0.79</v>
      </c>
      <c r="I51" s="17">
        <f>Table1[[#This Row],[LHC]]*Table1[[#This Row],[Cars WTD (EDIT)]]</f>
        <v>7.9</v>
      </c>
      <c r="J51" s="17" cm="1">
        <f t="array" ref="J51">_xlfn.IFS(Table1[[#This Row],[Allowed Hours]]=0,0,Table1[[#This Row],[Allowed Hours]]&lt;20,20,Table1[[#This Row],[Allowed Hours]]&gt;20,Table1[[#This Row],[Allowed Hours]])</f>
        <v>20</v>
      </c>
      <c r="K51" s="18">
        <v>16.88</v>
      </c>
      <c r="L51" s="19">
        <f>K51-Table1[[#This Row],[Adj Allowed Hrs]]</f>
        <v>-3.120000000000001</v>
      </c>
    </row>
    <row r="52" spans="5:12" hidden="1">
      <c r="E52" s="14" t="s">
        <v>16</v>
      </c>
      <c r="F52" s="15">
        <v>954</v>
      </c>
      <c r="G52" s="16">
        <v>12</v>
      </c>
      <c r="H52" s="17">
        <v>0.79</v>
      </c>
      <c r="I52" s="17">
        <f>Table1[[#This Row],[LHC]]*Table1[[#This Row],[Cars WTD (EDIT)]]</f>
        <v>9.48</v>
      </c>
      <c r="J52" s="17" cm="1">
        <f t="array" ref="J52">_xlfn.IFS(Table1[[#This Row],[Allowed Hours]]=0,0,Table1[[#This Row],[Allowed Hours]]&lt;20,20,Table1[[#This Row],[Allowed Hours]]&gt;20,Table1[[#This Row],[Allowed Hours]])</f>
        <v>20</v>
      </c>
      <c r="K52" s="18">
        <v>15.12</v>
      </c>
      <c r="L52" s="19">
        <f>K52-Table1[[#This Row],[Adj Allowed Hrs]]</f>
        <v>-4.8800000000000008</v>
      </c>
    </row>
    <row r="53" spans="5:12" hidden="1">
      <c r="E53" s="14" t="s">
        <v>16</v>
      </c>
      <c r="F53" s="15">
        <v>3017</v>
      </c>
      <c r="G53" s="16">
        <v>11</v>
      </c>
      <c r="H53" s="17">
        <v>0.79</v>
      </c>
      <c r="I53" s="17">
        <f>Table1[[#This Row],[LHC]]*Table1[[#This Row],[Cars WTD (EDIT)]]</f>
        <v>8.6900000000000013</v>
      </c>
      <c r="J53" s="17" cm="1">
        <f t="array" ref="J53">_xlfn.IFS(Table1[[#This Row],[Allowed Hours]]=0,0,Table1[[#This Row],[Allowed Hours]]&lt;20,20,Table1[[#This Row],[Allowed Hours]]&gt;20,Table1[[#This Row],[Allowed Hours]])</f>
        <v>20</v>
      </c>
      <c r="K53" s="18">
        <v>12.23</v>
      </c>
      <c r="L53" s="19">
        <f>K53-Table1[[#This Row],[Adj Allowed Hrs]]</f>
        <v>-7.77</v>
      </c>
    </row>
    <row r="54" spans="5:12" hidden="1">
      <c r="E54" s="14" t="s">
        <v>26</v>
      </c>
      <c r="F54" s="15">
        <v>1</v>
      </c>
      <c r="G54" s="16">
        <v>18</v>
      </c>
      <c r="H54" s="17">
        <v>0.79</v>
      </c>
      <c r="I54" s="17">
        <f>Table1[[#This Row],[LHC]]*Table1[[#This Row],[Cars WTD (EDIT)]]</f>
        <v>14.22</v>
      </c>
      <c r="J54" s="17" cm="1">
        <f t="array" ref="J54">_xlfn.IFS(Table1[[#This Row],[Allowed Hours]]=0,0,Table1[[#This Row],[Allowed Hours]]&lt;20,20,Table1[[#This Row],[Allowed Hours]]&gt;20,Table1[[#This Row],[Allowed Hours]])</f>
        <v>20</v>
      </c>
      <c r="K54" s="18">
        <v>20.36</v>
      </c>
      <c r="L54" s="19">
        <f>K54-Table1[[#This Row],[Adj Allowed Hrs]]</f>
        <v>0.35999999999999943</v>
      </c>
    </row>
    <row r="55" spans="5:12" hidden="1">
      <c r="E55" s="14" t="s">
        <v>26</v>
      </c>
      <c r="F55" s="15">
        <v>2</v>
      </c>
      <c r="G55" s="16">
        <v>25</v>
      </c>
      <c r="H55" s="17">
        <v>0.79</v>
      </c>
      <c r="I55" s="17">
        <f>Table1[[#This Row],[LHC]]*Table1[[#This Row],[Cars WTD (EDIT)]]</f>
        <v>19.75</v>
      </c>
      <c r="J55" s="17" cm="1">
        <f t="array" ref="J55">_xlfn.IFS(Table1[[#This Row],[Allowed Hours]]=0,0,Table1[[#This Row],[Allowed Hours]]&lt;20,20,Table1[[#This Row],[Allowed Hours]]&gt;20,Table1[[#This Row],[Allowed Hours]])</f>
        <v>20</v>
      </c>
      <c r="K55" s="18">
        <v>21.84</v>
      </c>
      <c r="L55" s="19">
        <f>K55-Table1[[#This Row],[Adj Allowed Hrs]]</f>
        <v>1.8399999999999999</v>
      </c>
    </row>
    <row r="56" spans="5:12" hidden="1">
      <c r="E56" s="14" t="s">
        <v>26</v>
      </c>
      <c r="F56" s="15">
        <v>4</v>
      </c>
      <c r="G56" s="16">
        <v>38</v>
      </c>
      <c r="H56" s="17">
        <v>0.79</v>
      </c>
      <c r="I56" s="17">
        <f>Table1[[#This Row],[LHC]]*Table1[[#This Row],[Cars WTD (EDIT)]]</f>
        <v>30.020000000000003</v>
      </c>
      <c r="J56" s="17" cm="1">
        <f t="array" ref="J56">_xlfn.IFS(Table1[[#This Row],[Allowed Hours]]=0,0,Table1[[#This Row],[Allowed Hours]]&lt;20,20,Table1[[#This Row],[Allowed Hours]]&gt;20,Table1[[#This Row],[Allowed Hours]])</f>
        <v>30.020000000000003</v>
      </c>
      <c r="K56" s="18">
        <v>24.62</v>
      </c>
      <c r="L56" s="19">
        <f>K56-Table1[[#This Row],[Adj Allowed Hrs]]</f>
        <v>-5.4000000000000021</v>
      </c>
    </row>
    <row r="57" spans="5:12" hidden="1">
      <c r="E57" s="14" t="s">
        <v>26</v>
      </c>
      <c r="F57" s="15">
        <v>6</v>
      </c>
      <c r="G57" s="16">
        <v>32</v>
      </c>
      <c r="H57" s="17">
        <v>0.79</v>
      </c>
      <c r="I57" s="17">
        <f>Table1[[#This Row],[LHC]]*Table1[[#This Row],[Cars WTD (EDIT)]]</f>
        <v>25.28</v>
      </c>
      <c r="J57" s="17" cm="1">
        <f t="array" ref="J57">_xlfn.IFS(Table1[[#This Row],[Allowed Hours]]=0,0,Table1[[#This Row],[Allowed Hours]]&lt;20,20,Table1[[#This Row],[Allowed Hours]]&gt;20,Table1[[#This Row],[Allowed Hours]])</f>
        <v>25.28</v>
      </c>
      <c r="K57" s="18">
        <v>25.57</v>
      </c>
      <c r="L57" s="19">
        <f>K57-Table1[[#This Row],[Adj Allowed Hrs]]</f>
        <v>0.28999999999999915</v>
      </c>
    </row>
    <row r="58" spans="5:12" hidden="1">
      <c r="E58" s="14" t="s">
        <v>26</v>
      </c>
      <c r="F58" s="15">
        <v>15</v>
      </c>
      <c r="G58" s="16">
        <v>31</v>
      </c>
      <c r="H58" s="17">
        <v>0.79</v>
      </c>
      <c r="I58" s="17">
        <f>Table1[[#This Row],[LHC]]*Table1[[#This Row],[Cars WTD (EDIT)]]</f>
        <v>24.490000000000002</v>
      </c>
      <c r="J58" s="17" cm="1">
        <f t="array" ref="J58">_xlfn.IFS(Table1[[#This Row],[Allowed Hours]]=0,0,Table1[[#This Row],[Allowed Hours]]&lt;20,20,Table1[[#This Row],[Allowed Hours]]&gt;20,Table1[[#This Row],[Allowed Hours]])</f>
        <v>24.490000000000002</v>
      </c>
      <c r="K58" s="18">
        <v>23.16</v>
      </c>
      <c r="L58" s="19">
        <f>K58-Table1[[#This Row],[Adj Allowed Hrs]]</f>
        <v>-1.3300000000000018</v>
      </c>
    </row>
    <row r="59" spans="5:12" hidden="1">
      <c r="E59" s="14" t="s">
        <v>26</v>
      </c>
      <c r="F59" s="15">
        <v>28</v>
      </c>
      <c r="G59" s="16">
        <v>37</v>
      </c>
      <c r="H59" s="17">
        <v>0.79</v>
      </c>
      <c r="I59" s="17">
        <f>Table1[[#This Row],[LHC]]*Table1[[#This Row],[Cars WTD (EDIT)]]</f>
        <v>29.23</v>
      </c>
      <c r="J59" s="17" cm="1">
        <f t="array" ref="J59">_xlfn.IFS(Table1[[#This Row],[Allowed Hours]]=0,0,Table1[[#This Row],[Allowed Hours]]&lt;20,20,Table1[[#This Row],[Allowed Hours]]&gt;20,Table1[[#This Row],[Allowed Hours]])</f>
        <v>29.23</v>
      </c>
      <c r="K59" s="18">
        <v>33.11</v>
      </c>
      <c r="L59" s="19">
        <f>K59-Table1[[#This Row],[Adj Allowed Hrs]]</f>
        <v>3.879999999999999</v>
      </c>
    </row>
    <row r="60" spans="5:12" hidden="1">
      <c r="E60" s="14" t="s">
        <v>26</v>
      </c>
      <c r="F60" s="15">
        <v>32</v>
      </c>
      <c r="G60" s="16">
        <v>24</v>
      </c>
      <c r="H60" s="17">
        <v>0.79</v>
      </c>
      <c r="I60" s="17">
        <f>Table1[[#This Row],[LHC]]*Table1[[#This Row],[Cars WTD (EDIT)]]</f>
        <v>18.96</v>
      </c>
      <c r="J60" s="17" cm="1">
        <f t="array" ref="J60">_xlfn.IFS(Table1[[#This Row],[Allowed Hours]]=0,0,Table1[[#This Row],[Allowed Hours]]&lt;20,20,Table1[[#This Row],[Allowed Hours]]&gt;20,Table1[[#This Row],[Allowed Hours]])</f>
        <v>20</v>
      </c>
      <c r="K60" s="18">
        <v>9.85</v>
      </c>
      <c r="L60" s="19">
        <f>K60-Table1[[#This Row],[Adj Allowed Hrs]]</f>
        <v>-10.15</v>
      </c>
    </row>
    <row r="61" spans="5:12" hidden="1">
      <c r="E61" s="14" t="s">
        <v>26</v>
      </c>
      <c r="F61" s="15">
        <v>606</v>
      </c>
      <c r="G61" s="16">
        <v>33</v>
      </c>
      <c r="H61" s="17">
        <v>0.79</v>
      </c>
      <c r="I61" s="17">
        <f>Table1[[#This Row],[LHC]]*Table1[[#This Row],[Cars WTD (EDIT)]]</f>
        <v>26.07</v>
      </c>
      <c r="J61" s="17" cm="1">
        <f t="array" ref="J61">_xlfn.IFS(Table1[[#This Row],[Allowed Hours]]=0,0,Table1[[#This Row],[Allowed Hours]]&lt;20,20,Table1[[#This Row],[Allowed Hours]]&gt;20,Table1[[#This Row],[Allowed Hours]])</f>
        <v>26.07</v>
      </c>
      <c r="K61" s="18">
        <v>26.02</v>
      </c>
      <c r="L61" s="19">
        <f>K61-Table1[[#This Row],[Adj Allowed Hrs]]</f>
        <v>-5.0000000000000711E-2</v>
      </c>
    </row>
    <row r="62" spans="5:12" hidden="1">
      <c r="E62" s="14" t="s">
        <v>26</v>
      </c>
      <c r="F62" s="15">
        <v>999</v>
      </c>
      <c r="G62" s="16">
        <v>20</v>
      </c>
      <c r="H62" s="17">
        <v>0.79</v>
      </c>
      <c r="I62" s="17">
        <f>Table1[[#This Row],[LHC]]*Table1[[#This Row],[Cars WTD (EDIT)]]</f>
        <v>15.8</v>
      </c>
      <c r="J62" s="17" cm="1">
        <f t="array" ref="J62">_xlfn.IFS(Table1[[#This Row],[Allowed Hours]]=0,0,Table1[[#This Row],[Allowed Hours]]&lt;20,20,Table1[[#This Row],[Allowed Hours]]&gt;20,Table1[[#This Row],[Allowed Hours]])</f>
        <v>20</v>
      </c>
      <c r="K62" s="18">
        <v>24.02</v>
      </c>
      <c r="L62" s="19">
        <f>K62-Table1[[#This Row],[Adj Allowed Hrs]]</f>
        <v>4.0199999999999996</v>
      </c>
    </row>
    <row r="63" spans="5:12" hidden="1">
      <c r="E63" s="14" t="s">
        <v>27</v>
      </c>
      <c r="F63" s="15">
        <v>8</v>
      </c>
      <c r="G63" s="16">
        <v>25</v>
      </c>
      <c r="H63" s="17">
        <v>0.79</v>
      </c>
      <c r="I63" s="17">
        <f>Table1[[#This Row],[LHC]]*Table1[[#This Row],[Cars WTD (EDIT)]]</f>
        <v>19.75</v>
      </c>
      <c r="J63" s="17" cm="1">
        <f t="array" ref="J63">_xlfn.IFS(Table1[[#This Row],[Allowed Hours]]=0,0,Table1[[#This Row],[Allowed Hours]]&lt;20,20,Table1[[#This Row],[Allowed Hours]]&gt;20,Table1[[#This Row],[Allowed Hours]])</f>
        <v>20</v>
      </c>
      <c r="K63" s="18">
        <v>19.920000000000002</v>
      </c>
      <c r="L63" s="19">
        <f>K63-Table1[[#This Row],[Adj Allowed Hrs]]</f>
        <v>-7.9999999999998295E-2</v>
      </c>
    </row>
    <row r="64" spans="5:12" hidden="1">
      <c r="E64" s="14" t="s">
        <v>27</v>
      </c>
      <c r="F64" s="15">
        <v>10</v>
      </c>
      <c r="G64" s="16">
        <v>19</v>
      </c>
      <c r="H64" s="17">
        <v>0.79</v>
      </c>
      <c r="I64" s="17">
        <f>Table1[[#This Row],[LHC]]*Table1[[#This Row],[Cars WTD (EDIT)]]</f>
        <v>15.010000000000002</v>
      </c>
      <c r="J64" s="17" cm="1">
        <f t="array" ref="J64">_xlfn.IFS(Table1[[#This Row],[Allowed Hours]]=0,0,Table1[[#This Row],[Allowed Hours]]&lt;20,20,Table1[[#This Row],[Allowed Hours]]&gt;20,Table1[[#This Row],[Allowed Hours]])</f>
        <v>20</v>
      </c>
      <c r="K64" s="18">
        <v>25.43</v>
      </c>
      <c r="L64" s="19">
        <f>K64-Table1[[#This Row],[Adj Allowed Hrs]]</f>
        <v>5.43</v>
      </c>
    </row>
    <row r="65" spans="5:12" hidden="1">
      <c r="E65" s="14" t="s">
        <v>27</v>
      </c>
      <c r="F65" s="15">
        <v>12</v>
      </c>
      <c r="G65" s="16">
        <v>22</v>
      </c>
      <c r="H65" s="17">
        <v>0.79</v>
      </c>
      <c r="I65" s="17">
        <f>Table1[[#This Row],[LHC]]*Table1[[#This Row],[Cars WTD (EDIT)]]</f>
        <v>17.380000000000003</v>
      </c>
      <c r="J65" s="17" cm="1">
        <f t="array" ref="J65">_xlfn.IFS(Table1[[#This Row],[Allowed Hours]]=0,0,Table1[[#This Row],[Allowed Hours]]&lt;20,20,Table1[[#This Row],[Allowed Hours]]&gt;20,Table1[[#This Row],[Allowed Hours]])</f>
        <v>20</v>
      </c>
      <c r="K65" s="18">
        <v>24.07</v>
      </c>
      <c r="L65" s="19">
        <f>K65-Table1[[#This Row],[Adj Allowed Hrs]]</f>
        <v>4.07</v>
      </c>
    </row>
    <row r="66" spans="5:12" hidden="1">
      <c r="E66" s="14" t="s">
        <v>27</v>
      </c>
      <c r="F66" s="15">
        <v>13</v>
      </c>
      <c r="G66" s="16">
        <v>27</v>
      </c>
      <c r="H66" s="17">
        <v>0.79</v>
      </c>
      <c r="I66" s="17">
        <f>Table1[[#This Row],[LHC]]*Table1[[#This Row],[Cars WTD (EDIT)]]</f>
        <v>21.330000000000002</v>
      </c>
      <c r="J66" s="17" cm="1">
        <f t="array" ref="J66">_xlfn.IFS(Table1[[#This Row],[Allowed Hours]]=0,0,Table1[[#This Row],[Allowed Hours]]&lt;20,20,Table1[[#This Row],[Allowed Hours]]&gt;20,Table1[[#This Row],[Allowed Hours]])</f>
        <v>21.330000000000002</v>
      </c>
      <c r="K66" s="18">
        <v>22.83</v>
      </c>
      <c r="L66" s="19">
        <f>K66-Table1[[#This Row],[Adj Allowed Hrs]]</f>
        <v>1.4999999999999964</v>
      </c>
    </row>
    <row r="67" spans="5:12" hidden="1">
      <c r="E67" s="14" t="s">
        <v>27</v>
      </c>
      <c r="F67" s="15">
        <v>31</v>
      </c>
      <c r="G67" s="16">
        <v>23</v>
      </c>
      <c r="H67" s="17">
        <v>0.79</v>
      </c>
      <c r="I67" s="17">
        <f>Table1[[#This Row],[LHC]]*Table1[[#This Row],[Cars WTD (EDIT)]]</f>
        <v>18.170000000000002</v>
      </c>
      <c r="J67" s="17" cm="1">
        <f t="array" ref="J67">_xlfn.IFS(Table1[[#This Row],[Allowed Hours]]=0,0,Table1[[#This Row],[Allowed Hours]]&lt;20,20,Table1[[#This Row],[Allowed Hours]]&gt;20,Table1[[#This Row],[Allowed Hours]])</f>
        <v>20</v>
      </c>
      <c r="K67" s="18">
        <v>28.62</v>
      </c>
      <c r="L67" s="19">
        <f>K67-Table1[[#This Row],[Adj Allowed Hrs]]</f>
        <v>8.620000000000001</v>
      </c>
    </row>
    <row r="68" spans="5:12" hidden="1">
      <c r="E68" s="14" t="s">
        <v>27</v>
      </c>
      <c r="F68" s="15">
        <v>92</v>
      </c>
      <c r="G68" s="16">
        <v>44</v>
      </c>
      <c r="H68" s="17">
        <v>0.79</v>
      </c>
      <c r="I68" s="17">
        <f>Table1[[#This Row],[LHC]]*Table1[[#This Row],[Cars WTD (EDIT)]]</f>
        <v>34.760000000000005</v>
      </c>
      <c r="J68" s="17" cm="1">
        <f t="array" ref="J68">_xlfn.IFS(Table1[[#This Row],[Allowed Hours]]=0,0,Table1[[#This Row],[Allowed Hours]]&lt;20,20,Table1[[#This Row],[Allowed Hours]]&gt;20,Table1[[#This Row],[Allowed Hours]])</f>
        <v>34.760000000000005</v>
      </c>
      <c r="K68" s="18">
        <v>28.77</v>
      </c>
      <c r="L68" s="19">
        <f>K68-Table1[[#This Row],[Adj Allowed Hrs]]</f>
        <v>-5.9900000000000055</v>
      </c>
    </row>
    <row r="69" spans="5:12" hidden="1">
      <c r="E69" s="14" t="s">
        <v>27</v>
      </c>
      <c r="F69" s="15">
        <v>116</v>
      </c>
      <c r="G69" s="16">
        <v>31</v>
      </c>
      <c r="H69" s="17">
        <v>0.79</v>
      </c>
      <c r="I69" s="17">
        <f>Table1[[#This Row],[LHC]]*Table1[[#This Row],[Cars WTD (EDIT)]]</f>
        <v>24.490000000000002</v>
      </c>
      <c r="J69" s="17" cm="1">
        <f t="array" ref="J69">_xlfn.IFS(Table1[[#This Row],[Allowed Hours]]=0,0,Table1[[#This Row],[Allowed Hours]]&lt;20,20,Table1[[#This Row],[Allowed Hours]]&gt;20,Table1[[#This Row],[Allowed Hours]])</f>
        <v>24.490000000000002</v>
      </c>
      <c r="K69" s="18">
        <v>19.25</v>
      </c>
      <c r="L69" s="19">
        <f>K69-Table1[[#This Row],[Adj Allowed Hrs]]</f>
        <v>-5.240000000000002</v>
      </c>
    </row>
    <row r="70" spans="5:12" hidden="1">
      <c r="E70" s="20" t="s">
        <v>27</v>
      </c>
      <c r="F70" s="21">
        <v>870</v>
      </c>
      <c r="G70" s="22">
        <v>3</v>
      </c>
      <c r="H70" s="23">
        <v>0.79</v>
      </c>
      <c r="I70" s="17">
        <f>Table1[[#This Row],[LHC]]*Table1[[#This Row],[Cars WTD (EDIT)]]</f>
        <v>2.37</v>
      </c>
      <c r="J70" s="23" cm="1">
        <f t="array" ref="J70">_xlfn.IFS(Table1[[#This Row],[Allowed Hours]]=0,0,Table1[[#This Row],[Allowed Hours]]&lt;20,20,Table1[[#This Row],[Allowed Hours]]&gt;20,Table1[[#This Row],[Allowed Hours]])</f>
        <v>20</v>
      </c>
      <c r="K70" s="24">
        <v>19.8</v>
      </c>
      <c r="L70" s="25">
        <f>K70-Table1[[#This Row],[Adj Allowed Hrs]]</f>
        <v>-0.19999999999999929</v>
      </c>
    </row>
    <row r="71" spans="5:12" hidden="1">
      <c r="E71" s="20" t="s">
        <v>27</v>
      </c>
      <c r="F71" s="21">
        <v>3004</v>
      </c>
      <c r="G71" s="22">
        <v>9</v>
      </c>
      <c r="H71" s="23">
        <v>0.79</v>
      </c>
      <c r="I71" s="23">
        <f>Table1[[#This Row],[LHC]]*Table1[[#This Row],[Cars WTD (EDIT)]]</f>
        <v>7.11</v>
      </c>
      <c r="J71" s="23" cm="1">
        <f t="array" ref="J71">_xlfn.IFS(Table1[[#This Row],[Allowed Hours]]=0,0,Table1[[#This Row],[Allowed Hours]]&lt;20,20,Table1[[#This Row],[Allowed Hours]]&gt;20,Table1[[#This Row],[Allowed Hours]])</f>
        <v>20</v>
      </c>
      <c r="K71" s="24">
        <v>20.11</v>
      </c>
      <c r="L71" s="25">
        <f>K71-Table1[[#This Row],[Adj Allowed Hrs]]</f>
        <v>0.10999999999999943</v>
      </c>
    </row>
  </sheetData>
  <sheetProtection sheet="1" objects="1" scenarios="1" selectLockedCells="1" sort="0" autoFilter="0" pivotTables="0"/>
  <protectedRanges>
    <protectedRange sqref="K15:K71" name="Range1"/>
  </protectedRanges>
  <mergeCells count="1">
    <mergeCell ref="B2:C2"/>
  </mergeCells>
  <conditionalFormatting sqref="I15:J71">
    <cfRule type="cellIs" dxfId="143" priority="2" operator="lessThan">
      <formula>20</formula>
    </cfRule>
  </conditionalFormatting>
  <conditionalFormatting sqref="J3:J10">
    <cfRule type="cellIs" dxfId="142" priority="3" operator="greaterThan">
      <formula>0</formula>
    </cfRule>
    <cfRule type="cellIs" dxfId="141" priority="4" operator="lessThan">
      <formula>0</formula>
    </cfRule>
  </conditionalFormatting>
  <conditionalFormatting sqref="L15:L71">
    <cfRule type="cellIs" dxfId="140" priority="5" operator="greaterThan">
      <formula>0</formula>
    </cfRule>
    <cfRule type="cellIs" dxfId="139" priority="6" operator="lessThan">
      <formula>0</formula>
    </cfRule>
  </conditionalFormatting>
  <conditionalFormatting sqref="I71:J71">
    <cfRule type="cellIs" dxfId="138" priority="1" operator="lessThan">
      <formula>20</formula>
    </cfRule>
  </conditionalFormatting>
  <pageMargins left="0.75" right="0.75" top="1" bottom="1" header="0.5" footer="0.5"/>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3E353-EE9B-4A38-8D81-4BD79592B1D0}">
  <dimension ref="B1:L70"/>
  <sheetViews>
    <sheetView showGridLines="0" workbookViewId="0">
      <selection activeCell="K26" sqref="K26"/>
    </sheetView>
  </sheetViews>
  <sheetFormatPr defaultRowHeight="12.75"/>
  <cols>
    <col min="1" max="1" width="10.5703125" style="1" customWidth="1"/>
    <col min="2" max="3" width="12.140625" style="1" customWidth="1"/>
    <col min="4" max="4" width="16" style="1" customWidth="1"/>
    <col min="5" max="5" width="25.28515625" style="1" bestFit="1" customWidth="1"/>
    <col min="6" max="6" width="14.28515625" style="1" bestFit="1" customWidth="1"/>
    <col min="7" max="7" width="18.140625" style="1" bestFit="1" customWidth="1"/>
    <col min="8" max="8" width="19" style="1" bestFit="1" customWidth="1"/>
    <col min="9" max="9" width="16.7109375" style="1" bestFit="1" customWidth="1"/>
    <col min="10" max="10" width="20.85546875" style="1" bestFit="1" customWidth="1"/>
    <col min="11" max="11" width="25.140625" style="1" customWidth="1"/>
    <col min="12" max="12" width="19.5703125" style="1" customWidth="1"/>
    <col min="13" max="16384" width="9.140625" style="1"/>
  </cols>
  <sheetData>
    <row r="1" spans="2:12" ht="13.5" thickBot="1"/>
    <row r="2" spans="2:12" ht="18">
      <c r="B2" s="42" t="s">
        <v>0</v>
      </c>
      <c r="C2" s="43"/>
      <c r="E2" s="2" t="s">
        <v>1</v>
      </c>
      <c r="F2" s="2" t="s">
        <v>2</v>
      </c>
      <c r="G2" s="2" t="s">
        <v>3</v>
      </c>
      <c r="H2" s="2" t="s">
        <v>4</v>
      </c>
      <c r="I2" s="2" t="s">
        <v>5</v>
      </c>
      <c r="J2" s="2" t="s">
        <v>6</v>
      </c>
    </row>
    <row r="3" spans="2:12" ht="18">
      <c r="B3" s="3" t="s">
        <v>7</v>
      </c>
      <c r="C3" s="4">
        <v>20</v>
      </c>
      <c r="E3" s="2" t="s">
        <v>8</v>
      </c>
      <c r="F3" s="5">
        <f>SUM(G14:G21)</f>
        <v>144</v>
      </c>
      <c r="G3" s="2">
        <v>0.79</v>
      </c>
      <c r="H3" s="2">
        <f>SUM(I14:I21)</f>
        <v>113.76</v>
      </c>
      <c r="I3" s="2">
        <f>SUM(K14:K21)</f>
        <v>166.01</v>
      </c>
      <c r="J3" s="2">
        <f>SUM(L14:L21)</f>
        <v>-11.090000000000003</v>
      </c>
    </row>
    <row r="4" spans="2:12" ht="18">
      <c r="B4" s="6" t="s">
        <v>9</v>
      </c>
      <c r="C4" s="4">
        <v>45.3</v>
      </c>
      <c r="E4" s="2" t="s">
        <v>10</v>
      </c>
      <c r="F4" s="5">
        <f>SUM(G22:G28)</f>
        <v>193</v>
      </c>
      <c r="G4" s="2">
        <v>0.79</v>
      </c>
      <c r="H4" s="2">
        <f>SUM(I22:I28)</f>
        <v>152.47000000000003</v>
      </c>
      <c r="I4" s="2">
        <f>SUM(K22:K28)</f>
        <v>198.7</v>
      </c>
      <c r="J4" s="2">
        <f>SUM(L22:L28)</f>
        <v>6.629999999999999</v>
      </c>
    </row>
    <row r="5" spans="2:12" ht="18">
      <c r="B5" s="6" t="s">
        <v>11</v>
      </c>
      <c r="C5" s="4">
        <v>70.599999999999994</v>
      </c>
      <c r="E5" s="2" t="s">
        <v>12</v>
      </c>
      <c r="F5" s="5">
        <f>SUM(G29:G37)</f>
        <v>305</v>
      </c>
      <c r="G5" s="2">
        <v>0.79</v>
      </c>
      <c r="H5" s="2">
        <f>SUM(I29:I37)</f>
        <v>240.95</v>
      </c>
      <c r="I5" s="2">
        <f>SUM(K29:K37)</f>
        <v>265</v>
      </c>
      <c r="J5" s="2">
        <f>SUM(L29:L37)</f>
        <v>-3.7000000000000064</v>
      </c>
    </row>
    <row r="6" spans="2:12" ht="18">
      <c r="B6" s="6" t="s">
        <v>13</v>
      </c>
      <c r="C6" s="4">
        <v>95.93</v>
      </c>
      <c r="E6" s="2" t="s">
        <v>14</v>
      </c>
      <c r="F6" s="5">
        <f>SUM(G38:G45)</f>
        <v>228</v>
      </c>
      <c r="G6" s="2">
        <v>0.79</v>
      </c>
      <c r="H6" s="2">
        <f>SUM(I38:I45)</f>
        <v>180.12</v>
      </c>
      <c r="I6" s="2">
        <f>SUM(K38:K45)</f>
        <v>220.53</v>
      </c>
      <c r="J6" s="2">
        <f>SUM(L38:L45)</f>
        <v>1.5799999999999983</v>
      </c>
    </row>
    <row r="7" spans="2:12" ht="18">
      <c r="B7" s="6" t="s">
        <v>15</v>
      </c>
      <c r="C7" s="4">
        <v>121.23</v>
      </c>
      <c r="E7" s="2" t="s">
        <v>16</v>
      </c>
      <c r="F7" s="5">
        <f>SUM(G46:G52)</f>
        <v>206</v>
      </c>
      <c r="G7" s="2">
        <v>0.79</v>
      </c>
      <c r="H7" s="2">
        <f>SUM(I46:I52)</f>
        <v>162.74</v>
      </c>
      <c r="I7" s="2">
        <f>SUM(K46:K52)</f>
        <v>188.84</v>
      </c>
      <c r="J7" s="2">
        <f>SUM(L46:L52)</f>
        <v>2.2999999999999972</v>
      </c>
    </row>
    <row r="8" spans="2:12" ht="18">
      <c r="B8" s="6" t="s">
        <v>17</v>
      </c>
      <c r="C8" s="4">
        <v>146.53</v>
      </c>
      <c r="E8" s="2" t="s">
        <v>18</v>
      </c>
      <c r="F8" s="5">
        <f>SUM(G53:G61)</f>
        <v>404</v>
      </c>
      <c r="G8" s="2">
        <v>0.79</v>
      </c>
      <c r="H8" s="2">
        <f>SUM(I53:I61)</f>
        <v>319.16000000000003</v>
      </c>
      <c r="I8" s="2">
        <f>SUM(K53:K61)</f>
        <v>340.28</v>
      </c>
      <c r="J8" s="2">
        <f>SUM(L53:L61)</f>
        <v>9.2299999999999791</v>
      </c>
    </row>
    <row r="9" spans="2:12" ht="18">
      <c r="B9" s="7" t="s">
        <v>19</v>
      </c>
      <c r="C9" s="8">
        <v>171.8</v>
      </c>
      <c r="E9" s="2" t="s">
        <v>20</v>
      </c>
      <c r="F9" s="5">
        <f>SUM(G62:G70)</f>
        <v>334</v>
      </c>
      <c r="G9" s="2">
        <v>0.79</v>
      </c>
      <c r="H9" s="2">
        <f>SUM(I62:I70)</f>
        <v>263.86</v>
      </c>
      <c r="I9" s="2">
        <f>SUM(K62:K70)</f>
        <v>314.29999999999995</v>
      </c>
      <c r="J9" s="2">
        <f>SUM(L62:L70)</f>
        <v>17.989999999999977</v>
      </c>
    </row>
    <row r="10" spans="2:12" ht="18">
      <c r="E10" s="9" t="s">
        <v>21</v>
      </c>
      <c r="F10" s="9">
        <f>SUM(F3:F9)</f>
        <v>1814</v>
      </c>
      <c r="G10" s="9">
        <v>0.79</v>
      </c>
      <c r="H10" s="9">
        <f>SUM(H3:H9)</f>
        <v>1433.06</v>
      </c>
      <c r="I10" s="9">
        <f>SUM(I3:I9)</f>
        <v>1693.6599999999999</v>
      </c>
      <c r="J10" s="9">
        <f>SUM(J3:J9)</f>
        <v>22.939999999999941</v>
      </c>
    </row>
    <row r="13" spans="2:12">
      <c r="E13" s="10" t="s">
        <v>1</v>
      </c>
      <c r="F13" s="11" t="s">
        <v>22</v>
      </c>
      <c r="G13" s="12" t="s">
        <v>23</v>
      </c>
      <c r="H13" s="11" t="s">
        <v>3</v>
      </c>
      <c r="I13" s="11" t="s">
        <v>4</v>
      </c>
      <c r="J13" s="11" t="s">
        <v>24</v>
      </c>
      <c r="K13" s="12" t="s">
        <v>25</v>
      </c>
      <c r="L13" s="13" t="s">
        <v>6</v>
      </c>
    </row>
    <row r="14" spans="2:12" hidden="1">
      <c r="E14" s="14" t="s">
        <v>8</v>
      </c>
      <c r="F14" s="15">
        <v>17</v>
      </c>
      <c r="G14" s="16">
        <v>20</v>
      </c>
      <c r="H14" s="17">
        <v>0.79</v>
      </c>
      <c r="I14" s="17">
        <f>Table13[[#This Row],[LHC]]*Table13[[#This Row],[Cars WTD (EDIT)]]</f>
        <v>15.8</v>
      </c>
      <c r="J14" s="17" cm="1">
        <f t="array" ref="J14">_xlfn.IFS(Table13[[#This Row],[Allowed Hours]]=0,0,Table13[[#This Row],[Allowed Hours]]&lt;25.3,25.3,Table13[[#This Row],[Allowed Hours]]&gt;25.3,Table13[[#This Row],[Allowed Hours]])</f>
        <v>25.3</v>
      </c>
      <c r="K14" s="18">
        <v>16.75</v>
      </c>
      <c r="L14" s="19">
        <f>K14-Table13[[#This Row],[Adj Allowed Hrs]]</f>
        <v>-8.5500000000000007</v>
      </c>
    </row>
    <row r="15" spans="2:12" hidden="1">
      <c r="E15" s="14" t="s">
        <v>8</v>
      </c>
      <c r="F15" s="15">
        <v>22</v>
      </c>
      <c r="G15" s="16">
        <v>31</v>
      </c>
      <c r="H15" s="17">
        <v>0.79</v>
      </c>
      <c r="I15" s="17">
        <f>Table13[[#This Row],[LHC]]*Table13[[#This Row],[Cars WTD (EDIT)]]</f>
        <v>24.490000000000002</v>
      </c>
      <c r="J15" s="17" cm="1">
        <f t="array" ref="J15">_xlfn.IFS(Table13[[#This Row],[Allowed Hours]]=0,0,Table13[[#This Row],[Allowed Hours]]&lt;25.3,25.3,Table13[[#This Row],[Allowed Hours]]&gt;25.3,Table13[[#This Row],[Allowed Hours]])</f>
        <v>25.3</v>
      </c>
      <c r="K15" s="18">
        <v>19.89</v>
      </c>
      <c r="L15" s="19">
        <f>K15-Table13[[#This Row],[Adj Allowed Hrs]]</f>
        <v>-5.41</v>
      </c>
    </row>
    <row r="16" spans="2:12" hidden="1">
      <c r="E16" s="14" t="s">
        <v>8</v>
      </c>
      <c r="F16" s="15">
        <v>641</v>
      </c>
      <c r="G16" s="16">
        <v>24</v>
      </c>
      <c r="H16" s="17">
        <v>0.79</v>
      </c>
      <c r="I16" s="17">
        <f>Table13[[#This Row],[LHC]]*Table13[[#This Row],[Cars WTD (EDIT)]]</f>
        <v>18.96</v>
      </c>
      <c r="J16" s="17" cm="1">
        <f t="array" ref="J16">_xlfn.IFS(Table13[[#This Row],[Allowed Hours]]=0,0,Table13[[#This Row],[Allowed Hours]]&lt;25.3,25.3,Table13[[#This Row],[Allowed Hours]]&gt;25.3,Table13[[#This Row],[Allowed Hours]])</f>
        <v>25.3</v>
      </c>
      <c r="K16" s="18">
        <v>25.41</v>
      </c>
      <c r="L16" s="19">
        <f>K16-Table13[[#This Row],[Adj Allowed Hrs]]</f>
        <v>0.10999999999999943</v>
      </c>
    </row>
    <row r="17" spans="5:12" hidden="1">
      <c r="E17" s="14" t="s">
        <v>8</v>
      </c>
      <c r="F17" s="15">
        <v>717</v>
      </c>
      <c r="G17" s="16">
        <v>25</v>
      </c>
      <c r="H17" s="17">
        <v>0.79</v>
      </c>
      <c r="I17" s="17">
        <f>Table13[[#This Row],[LHC]]*Table13[[#This Row],[Cars WTD (EDIT)]]</f>
        <v>19.75</v>
      </c>
      <c r="J17" s="17" cm="1">
        <f t="array" ref="J17">_xlfn.IFS(Table13[[#This Row],[Allowed Hours]]=0,0,Table13[[#This Row],[Allowed Hours]]&lt;25.3,25.3,Table13[[#This Row],[Allowed Hours]]&gt;25.3,Table13[[#This Row],[Allowed Hours]])</f>
        <v>25.3</v>
      </c>
      <c r="K17" s="18">
        <v>23.39</v>
      </c>
      <c r="L17" s="19">
        <f>K17-Table13[[#This Row],[Adj Allowed Hrs]]</f>
        <v>-1.9100000000000001</v>
      </c>
    </row>
    <row r="18" spans="5:12" hidden="1">
      <c r="E18" s="14" t="s">
        <v>8</v>
      </c>
      <c r="F18" s="15">
        <v>843</v>
      </c>
      <c r="G18" s="16">
        <v>7</v>
      </c>
      <c r="H18" s="17">
        <v>0.79</v>
      </c>
      <c r="I18" s="17">
        <f>Table13[[#This Row],[LHC]]*Table13[[#This Row],[Cars WTD (EDIT)]]</f>
        <v>5.53</v>
      </c>
      <c r="J18" s="17" cm="1">
        <f t="array" ref="J18">_xlfn.IFS(Table13[[#This Row],[Allowed Hours]]=0,0,Table13[[#This Row],[Allowed Hours]]&lt;25.3,25.3,Table13[[#This Row],[Allowed Hours]]&gt;25.3,Table13[[#This Row],[Allowed Hours]])</f>
        <v>25.3</v>
      </c>
      <c r="K18" s="18">
        <v>22.13</v>
      </c>
      <c r="L18" s="19">
        <f>K18-Table13[[#This Row],[Adj Allowed Hrs]]</f>
        <v>-3.1700000000000017</v>
      </c>
    </row>
    <row r="19" spans="5:12" hidden="1">
      <c r="E19" s="14" t="s">
        <v>8</v>
      </c>
      <c r="F19" s="15">
        <v>881</v>
      </c>
      <c r="G19" s="16">
        <v>19</v>
      </c>
      <c r="H19" s="17">
        <v>0.79</v>
      </c>
      <c r="I19" s="17">
        <f>Table13[[#This Row],[LHC]]*Table13[[#This Row],[Cars WTD (EDIT)]]</f>
        <v>15.010000000000002</v>
      </c>
      <c r="J19" s="17" cm="1">
        <f t="array" ref="J19">_xlfn.IFS(Table13[[#This Row],[Allowed Hours]]=0,0,Table13[[#This Row],[Allowed Hours]]&lt;25.3,25.3,Table13[[#This Row],[Allowed Hours]]&gt;25.3,Table13[[#This Row],[Allowed Hours]])</f>
        <v>25.3</v>
      </c>
      <c r="K19" s="18">
        <v>17.309999999999999</v>
      </c>
      <c r="L19" s="19">
        <f>K19-Table13[[#This Row],[Adj Allowed Hrs]]</f>
        <v>-7.990000000000002</v>
      </c>
    </row>
    <row r="20" spans="5:12" hidden="1">
      <c r="E20" s="14" t="s">
        <v>8</v>
      </c>
      <c r="F20" s="15">
        <v>953</v>
      </c>
      <c r="G20" s="16">
        <v>18</v>
      </c>
      <c r="H20" s="17">
        <v>0.79</v>
      </c>
      <c r="I20" s="17">
        <f>Table13[[#This Row],[LHC]]*Table13[[#This Row],[Cars WTD (EDIT)]]</f>
        <v>14.22</v>
      </c>
      <c r="J20" s="17" cm="1">
        <f t="array" ref="J20">_xlfn.IFS(Table13[[#This Row],[Allowed Hours]]=0,0,Table13[[#This Row],[Allowed Hours]]&lt;25.3,25.3,Table13[[#This Row],[Allowed Hours]]&gt;25.3,Table13[[#This Row],[Allowed Hours]])</f>
        <v>25.3</v>
      </c>
      <c r="K20" s="18">
        <v>21.01</v>
      </c>
      <c r="L20" s="19">
        <f>K20-Table13[[#This Row],[Adj Allowed Hrs]]</f>
        <v>-4.2899999999999991</v>
      </c>
    </row>
    <row r="21" spans="5:12" hidden="1">
      <c r="E21" s="14" t="s">
        <v>8</v>
      </c>
      <c r="F21" s="15">
        <v>3040</v>
      </c>
      <c r="G21" s="16"/>
      <c r="H21" s="17">
        <v>0.79</v>
      </c>
      <c r="I21" s="17">
        <f>Table13[[#This Row],[LHC]]*Table13[[#This Row],[Cars WTD (EDIT)]]</f>
        <v>0</v>
      </c>
      <c r="J21" s="17" cm="1">
        <f t="array" ref="J21">_xlfn.IFS(Table13[[#This Row],[Allowed Hours]]=0,0,Table13[[#This Row],[Allowed Hours]]&lt;25.3,25.3,Table13[[#This Row],[Allowed Hours]]&gt;25.3,Table13[[#This Row],[Allowed Hours]])</f>
        <v>0</v>
      </c>
      <c r="K21" s="18">
        <v>20.12</v>
      </c>
      <c r="L21" s="19">
        <f>K21-Table13[[#This Row],[Adj Allowed Hrs]]</f>
        <v>20.12</v>
      </c>
    </row>
    <row r="22" spans="5:12">
      <c r="E22" s="14" t="s">
        <v>10</v>
      </c>
      <c r="F22" s="15">
        <v>18</v>
      </c>
      <c r="G22" s="16">
        <v>36</v>
      </c>
      <c r="H22" s="17">
        <v>0.79</v>
      </c>
      <c r="I22" s="17">
        <f>Table13[[#This Row],[LHC]]*Table13[[#This Row],[Cars WTD (EDIT)]]</f>
        <v>28.44</v>
      </c>
      <c r="J22" s="17" cm="1">
        <f t="array" ref="J22">_xlfn.IFS(Table13[[#This Row],[Allowed Hours]]=0,0,Table13[[#This Row],[Allowed Hours]]&lt;25.3,25.3,Table13[[#This Row],[Allowed Hours]]&gt;25.3,Table13[[#This Row],[Allowed Hours]])</f>
        <v>28.44</v>
      </c>
      <c r="K22" s="18">
        <v>35.380000000000003</v>
      </c>
      <c r="L22" s="19">
        <f>K22-Table13[[#This Row],[Adj Allowed Hrs]]</f>
        <v>6.9400000000000013</v>
      </c>
    </row>
    <row r="23" spans="5:12">
      <c r="E23" s="14" t="s">
        <v>10</v>
      </c>
      <c r="F23" s="15">
        <v>19</v>
      </c>
      <c r="G23" s="16">
        <v>27</v>
      </c>
      <c r="H23" s="17">
        <v>0.79</v>
      </c>
      <c r="I23" s="17">
        <f>Table13[[#This Row],[LHC]]*Table13[[#This Row],[Cars WTD (EDIT)]]</f>
        <v>21.330000000000002</v>
      </c>
      <c r="J23" s="17" cm="1">
        <f t="array" ref="J23">_xlfn.IFS(Table13[[#This Row],[Allowed Hours]]=0,0,Table13[[#This Row],[Allowed Hours]]&lt;25.3,25.3,Table13[[#This Row],[Allowed Hours]]&gt;25.3,Table13[[#This Row],[Allowed Hours]])</f>
        <v>25.3</v>
      </c>
      <c r="K23" s="18">
        <v>41</v>
      </c>
      <c r="L23" s="19">
        <f>K23-Table13[[#This Row],[Adj Allowed Hrs]]</f>
        <v>15.7</v>
      </c>
    </row>
    <row r="24" spans="5:12">
      <c r="E24" s="14" t="s">
        <v>10</v>
      </c>
      <c r="F24" s="15">
        <v>282</v>
      </c>
      <c r="G24" s="16">
        <v>14</v>
      </c>
      <c r="H24" s="17">
        <v>0.79</v>
      </c>
      <c r="I24" s="17">
        <f>Table13[[#This Row],[LHC]]*Table13[[#This Row],[Cars WTD (EDIT)]]</f>
        <v>11.06</v>
      </c>
      <c r="J24" s="17" cm="1">
        <f t="array" ref="J24">_xlfn.IFS(Table13[[#This Row],[Allowed Hours]]=0,0,Table13[[#This Row],[Allowed Hours]]&lt;25.3,25.3,Table13[[#This Row],[Allowed Hours]]&gt;25.3,Table13[[#This Row],[Allowed Hours]])</f>
        <v>25.3</v>
      </c>
      <c r="K24" s="18">
        <v>8.4700000000000006</v>
      </c>
      <c r="L24" s="19">
        <f>K24-Table13[[#This Row],[Adj Allowed Hrs]]</f>
        <v>-16.829999999999998</v>
      </c>
    </row>
    <row r="25" spans="5:12">
      <c r="E25" s="14" t="s">
        <v>10</v>
      </c>
      <c r="F25" s="15">
        <v>447</v>
      </c>
      <c r="G25" s="16">
        <v>29</v>
      </c>
      <c r="H25" s="17">
        <v>0.79</v>
      </c>
      <c r="I25" s="17">
        <f>Table13[[#This Row],[LHC]]*Table13[[#This Row],[Cars WTD (EDIT)]]</f>
        <v>22.91</v>
      </c>
      <c r="J25" s="17" cm="1">
        <f t="array" ref="J25">_xlfn.IFS(Table13[[#This Row],[Allowed Hours]]=0,0,Table13[[#This Row],[Allowed Hours]]&lt;25.3,25.3,Table13[[#This Row],[Allowed Hours]]&gt;25.3,Table13[[#This Row],[Allowed Hours]])</f>
        <v>25.3</v>
      </c>
      <c r="K25" s="18">
        <v>29.19</v>
      </c>
      <c r="L25" s="19">
        <f>K25-Table13[[#This Row],[Adj Allowed Hrs]]</f>
        <v>3.8900000000000006</v>
      </c>
    </row>
    <row r="26" spans="5:12">
      <c r="E26" s="14" t="s">
        <v>10</v>
      </c>
      <c r="F26" s="15">
        <v>448</v>
      </c>
      <c r="G26" s="16">
        <v>47</v>
      </c>
      <c r="H26" s="17">
        <v>0.79</v>
      </c>
      <c r="I26" s="17">
        <f>Table13[[#This Row],[LHC]]*Table13[[#This Row],[Cars WTD (EDIT)]]</f>
        <v>37.130000000000003</v>
      </c>
      <c r="J26" s="17" cm="1">
        <f t="array" ref="J26">_xlfn.IFS(Table13[[#This Row],[Allowed Hours]]=0,0,Table13[[#This Row],[Allowed Hours]]&lt;25.3,25.3,Table13[[#This Row],[Allowed Hours]]&gt;25.3,Table13[[#This Row],[Allowed Hours]])</f>
        <v>37.130000000000003</v>
      </c>
      <c r="K26" s="18">
        <v>35.44</v>
      </c>
      <c r="L26" s="19">
        <f>K26-Table13[[#This Row],[Adj Allowed Hrs]]</f>
        <v>-1.6900000000000048</v>
      </c>
    </row>
    <row r="27" spans="5:12">
      <c r="E27" s="14" t="s">
        <v>10</v>
      </c>
      <c r="F27" s="15">
        <v>531</v>
      </c>
      <c r="G27" s="16">
        <v>17</v>
      </c>
      <c r="H27" s="17">
        <v>0.79</v>
      </c>
      <c r="I27" s="17">
        <f>Table13[[#This Row],[LHC]]*Table13[[#This Row],[Cars WTD (EDIT)]]</f>
        <v>13.43</v>
      </c>
      <c r="J27" s="17" cm="1">
        <f t="array" ref="J27">_xlfn.IFS(Table13[[#This Row],[Allowed Hours]]=0,0,Table13[[#This Row],[Allowed Hours]]&lt;25.3,25.3,Table13[[#This Row],[Allowed Hours]]&gt;25.3,Table13[[#This Row],[Allowed Hours]])</f>
        <v>25.3</v>
      </c>
      <c r="K27" s="18">
        <v>30.19</v>
      </c>
      <c r="L27" s="19">
        <f>K27-Table13[[#This Row],[Adj Allowed Hrs]]</f>
        <v>4.8900000000000006</v>
      </c>
    </row>
    <row r="28" spans="5:12">
      <c r="E28" s="14" t="s">
        <v>10</v>
      </c>
      <c r="F28" s="15">
        <v>832</v>
      </c>
      <c r="G28" s="16">
        <v>23</v>
      </c>
      <c r="H28" s="17">
        <v>0.79</v>
      </c>
      <c r="I28" s="17">
        <f>Table13[[#This Row],[LHC]]*Table13[[#This Row],[Cars WTD (EDIT)]]</f>
        <v>18.170000000000002</v>
      </c>
      <c r="J28" s="17" cm="1">
        <f t="array" ref="J28">_xlfn.IFS(Table13[[#This Row],[Allowed Hours]]=0,0,Table13[[#This Row],[Allowed Hours]]&lt;25.3,25.3,Table13[[#This Row],[Allowed Hours]]&gt;25.3,Table13[[#This Row],[Allowed Hours]])</f>
        <v>25.3</v>
      </c>
      <c r="K28" s="18">
        <v>19.03</v>
      </c>
      <c r="L28" s="19">
        <f>K28-Table13[[#This Row],[Adj Allowed Hrs]]</f>
        <v>-6.27</v>
      </c>
    </row>
    <row r="29" spans="5:12" hidden="1">
      <c r="E29" s="14" t="s">
        <v>12</v>
      </c>
      <c r="F29" s="15">
        <v>3</v>
      </c>
      <c r="G29" s="16">
        <v>15</v>
      </c>
      <c r="H29" s="17">
        <v>0.79</v>
      </c>
      <c r="I29" s="17">
        <f>Table13[[#This Row],[LHC]]*Table13[[#This Row],[Cars WTD (EDIT)]]</f>
        <v>11.850000000000001</v>
      </c>
      <c r="J29" s="17" cm="1">
        <f t="array" ref="J29">_xlfn.IFS(Table13[[#This Row],[Allowed Hours]]=0,0,Table13[[#This Row],[Allowed Hours]]&lt;25.3,25.3,Table13[[#This Row],[Allowed Hours]]&gt;25.3,Table13[[#This Row],[Allowed Hours]])</f>
        <v>25.3</v>
      </c>
      <c r="K29" s="18">
        <v>26</v>
      </c>
      <c r="L29" s="19">
        <f>K29-Table13[[#This Row],[Adj Allowed Hrs]]</f>
        <v>0.69999999999999929</v>
      </c>
    </row>
    <row r="30" spans="5:12" hidden="1">
      <c r="E30" s="14" t="s">
        <v>12</v>
      </c>
      <c r="F30" s="15">
        <v>5</v>
      </c>
      <c r="G30" s="16">
        <v>34</v>
      </c>
      <c r="H30" s="17">
        <v>0.79</v>
      </c>
      <c r="I30" s="17">
        <f>Table13[[#This Row],[LHC]]*Table13[[#This Row],[Cars WTD (EDIT)]]</f>
        <v>26.86</v>
      </c>
      <c r="J30" s="17" cm="1">
        <f t="array" ref="J30">_xlfn.IFS(Table13[[#This Row],[Allowed Hours]]=0,0,Table13[[#This Row],[Allowed Hours]]&lt;25.3,25.3,Table13[[#This Row],[Allowed Hours]]&gt;25.3,Table13[[#This Row],[Allowed Hours]])</f>
        <v>26.86</v>
      </c>
      <c r="K30" s="18">
        <v>32</v>
      </c>
      <c r="L30" s="19">
        <f>K30-Table13[[#This Row],[Adj Allowed Hrs]]</f>
        <v>5.1400000000000006</v>
      </c>
    </row>
    <row r="31" spans="5:12" hidden="1">
      <c r="E31" s="14" t="s">
        <v>12</v>
      </c>
      <c r="F31" s="15">
        <v>11</v>
      </c>
      <c r="G31" s="16">
        <v>23</v>
      </c>
      <c r="H31" s="17">
        <v>0.79</v>
      </c>
      <c r="I31" s="17">
        <f>Table13[[#This Row],[LHC]]*Table13[[#This Row],[Cars WTD (EDIT)]]</f>
        <v>18.170000000000002</v>
      </c>
      <c r="J31" s="17" cm="1">
        <f t="array" ref="J31">_xlfn.IFS(Table13[[#This Row],[Allowed Hours]]=0,0,Table13[[#This Row],[Allowed Hours]]&lt;25.3,25.3,Table13[[#This Row],[Allowed Hours]]&gt;25.3,Table13[[#This Row],[Allowed Hours]])</f>
        <v>25.3</v>
      </c>
      <c r="K31" s="18">
        <v>30</v>
      </c>
      <c r="L31" s="19">
        <f>K31-Table13[[#This Row],[Adj Allowed Hrs]]</f>
        <v>4.6999999999999993</v>
      </c>
    </row>
    <row r="32" spans="5:12" hidden="1">
      <c r="E32" s="14" t="s">
        <v>12</v>
      </c>
      <c r="F32" s="15">
        <v>14</v>
      </c>
      <c r="G32" s="16">
        <v>26</v>
      </c>
      <c r="H32" s="17">
        <v>0.79</v>
      </c>
      <c r="I32" s="17">
        <f>Table13[[#This Row],[LHC]]*Table13[[#This Row],[Cars WTD (EDIT)]]</f>
        <v>20.54</v>
      </c>
      <c r="J32" s="17" cm="1">
        <f t="array" ref="J32">_xlfn.IFS(Table13[[#This Row],[Allowed Hours]]=0,0,Table13[[#This Row],[Allowed Hours]]&lt;25.3,25.3,Table13[[#This Row],[Allowed Hours]]&gt;25.3,Table13[[#This Row],[Allowed Hours]])</f>
        <v>25.3</v>
      </c>
      <c r="K32" s="18">
        <v>25</v>
      </c>
      <c r="L32" s="19">
        <f>K32-Table13[[#This Row],[Adj Allowed Hrs]]</f>
        <v>-0.30000000000000071</v>
      </c>
    </row>
    <row r="33" spans="5:12" hidden="1">
      <c r="E33" s="14" t="s">
        <v>12</v>
      </c>
      <c r="F33" s="15">
        <v>20</v>
      </c>
      <c r="G33" s="16">
        <v>32</v>
      </c>
      <c r="H33" s="17">
        <v>0.79</v>
      </c>
      <c r="I33" s="17">
        <f>Table13[[#This Row],[LHC]]*Table13[[#This Row],[Cars WTD (EDIT)]]</f>
        <v>25.28</v>
      </c>
      <c r="J33" s="17" cm="1">
        <f t="array" ref="J33">_xlfn.IFS(Table13[[#This Row],[Allowed Hours]]=0,0,Table13[[#This Row],[Allowed Hours]]&lt;25.3,25.3,Table13[[#This Row],[Allowed Hours]]&gt;25.3,Table13[[#This Row],[Allowed Hours]])</f>
        <v>25.3</v>
      </c>
      <c r="K33" s="18">
        <v>22</v>
      </c>
      <c r="L33" s="19">
        <f>K33-Table13[[#This Row],[Adj Allowed Hrs]]</f>
        <v>-3.3000000000000007</v>
      </c>
    </row>
    <row r="34" spans="5:12" hidden="1">
      <c r="E34" s="14" t="s">
        <v>12</v>
      </c>
      <c r="F34" s="15">
        <v>21</v>
      </c>
      <c r="G34" s="16">
        <v>58</v>
      </c>
      <c r="H34" s="17">
        <v>0.79</v>
      </c>
      <c r="I34" s="17">
        <f>Table13[[#This Row],[LHC]]*Table13[[#This Row],[Cars WTD (EDIT)]]</f>
        <v>45.82</v>
      </c>
      <c r="J34" s="17" cm="1">
        <f t="array" ref="J34">_xlfn.IFS(Table13[[#This Row],[Allowed Hours]]=0,0,Table13[[#This Row],[Allowed Hours]]&lt;25.3,25.3,Table13[[#This Row],[Allowed Hours]]&gt;25.3,Table13[[#This Row],[Allowed Hours]])</f>
        <v>45.82</v>
      </c>
      <c r="K34" s="18">
        <v>45</v>
      </c>
      <c r="L34" s="19">
        <f>K34-Table13[[#This Row],[Adj Allowed Hrs]]</f>
        <v>-0.82000000000000028</v>
      </c>
    </row>
    <row r="35" spans="5:12" hidden="1">
      <c r="E35" s="14" t="s">
        <v>12</v>
      </c>
      <c r="F35" s="15">
        <v>23</v>
      </c>
      <c r="G35" s="16">
        <v>34</v>
      </c>
      <c r="H35" s="17">
        <v>0.79</v>
      </c>
      <c r="I35" s="17">
        <f>Table13[[#This Row],[LHC]]*Table13[[#This Row],[Cars WTD (EDIT)]]</f>
        <v>26.86</v>
      </c>
      <c r="J35" s="17" cm="1">
        <f t="array" ref="J35">_xlfn.IFS(Table13[[#This Row],[Allowed Hours]]=0,0,Table13[[#This Row],[Allowed Hours]]&lt;25.3,25.3,Table13[[#This Row],[Allowed Hours]]&gt;25.3,Table13[[#This Row],[Allowed Hours]])</f>
        <v>26.86</v>
      </c>
      <c r="K35" s="18">
        <v>27</v>
      </c>
      <c r="L35" s="19">
        <f>K35-Table13[[#This Row],[Adj Allowed Hrs]]</f>
        <v>0.14000000000000057</v>
      </c>
    </row>
    <row r="36" spans="5:12" hidden="1">
      <c r="E36" s="14" t="s">
        <v>12</v>
      </c>
      <c r="F36" s="15">
        <v>24</v>
      </c>
      <c r="G36" s="16">
        <v>54</v>
      </c>
      <c r="H36" s="17">
        <v>0.79</v>
      </c>
      <c r="I36" s="17">
        <f>Table13[[#This Row],[LHC]]*Table13[[#This Row],[Cars WTD (EDIT)]]</f>
        <v>42.660000000000004</v>
      </c>
      <c r="J36" s="17" cm="1">
        <f t="array" ref="J36">_xlfn.IFS(Table13[[#This Row],[Allowed Hours]]=0,0,Table13[[#This Row],[Allowed Hours]]&lt;25.3,25.3,Table13[[#This Row],[Allowed Hours]]&gt;25.3,Table13[[#This Row],[Allowed Hours]])</f>
        <v>42.660000000000004</v>
      </c>
      <c r="K36" s="18">
        <v>36</v>
      </c>
      <c r="L36" s="19">
        <f>K36-Table13[[#This Row],[Adj Allowed Hrs]]</f>
        <v>-6.6600000000000037</v>
      </c>
    </row>
    <row r="37" spans="5:12" hidden="1">
      <c r="E37" s="14" t="s">
        <v>12</v>
      </c>
      <c r="F37" s="15">
        <v>26</v>
      </c>
      <c r="G37" s="16">
        <v>29</v>
      </c>
      <c r="H37" s="17">
        <v>0.79</v>
      </c>
      <c r="I37" s="17">
        <f>Table13[[#This Row],[LHC]]*Table13[[#This Row],[Cars WTD (EDIT)]]</f>
        <v>22.91</v>
      </c>
      <c r="J37" s="17" cm="1">
        <f t="array" ref="J37">_xlfn.IFS(Table13[[#This Row],[Allowed Hours]]=0,0,Table13[[#This Row],[Allowed Hours]]&lt;25.3,25.3,Table13[[#This Row],[Allowed Hours]]&gt;25.3,Table13[[#This Row],[Allowed Hours]])</f>
        <v>25.3</v>
      </c>
      <c r="K37" s="18">
        <v>22</v>
      </c>
      <c r="L37" s="19">
        <f>K37-Table13[[#This Row],[Adj Allowed Hrs]]</f>
        <v>-3.3000000000000007</v>
      </c>
    </row>
    <row r="38" spans="5:12" hidden="1">
      <c r="E38" s="14" t="s">
        <v>14</v>
      </c>
      <c r="F38" s="15">
        <v>29</v>
      </c>
      <c r="G38" s="16">
        <v>51</v>
      </c>
      <c r="H38" s="17">
        <v>0.79</v>
      </c>
      <c r="I38" s="17">
        <f>Table13[[#This Row],[LHC]]*Table13[[#This Row],[Cars WTD (EDIT)]]</f>
        <v>40.29</v>
      </c>
      <c r="J38" s="17" cm="1">
        <f t="array" ref="J38">_xlfn.IFS(Table13[[#This Row],[Allowed Hours]]=0,0,Table13[[#This Row],[Allowed Hours]]&lt;25.3,25.3,Table13[[#This Row],[Allowed Hours]]&gt;25.3,Table13[[#This Row],[Allowed Hours]])</f>
        <v>40.29</v>
      </c>
      <c r="K38" s="18">
        <v>46</v>
      </c>
      <c r="L38" s="19">
        <f>K38-Table13[[#This Row],[Adj Allowed Hrs]]</f>
        <v>5.7100000000000009</v>
      </c>
    </row>
    <row r="39" spans="5:12" hidden="1">
      <c r="E39" s="14" t="s">
        <v>14</v>
      </c>
      <c r="F39" s="15">
        <v>40</v>
      </c>
      <c r="G39" s="16">
        <v>32</v>
      </c>
      <c r="H39" s="17">
        <v>0.79</v>
      </c>
      <c r="I39" s="17">
        <f>Table13[[#This Row],[LHC]]*Table13[[#This Row],[Cars WTD (EDIT)]]</f>
        <v>25.28</v>
      </c>
      <c r="J39" s="17" cm="1">
        <f t="array" ref="J39">_xlfn.IFS(Table13[[#This Row],[Allowed Hours]]=0,0,Table13[[#This Row],[Allowed Hours]]&lt;25.3,25.3,Table13[[#This Row],[Allowed Hours]]&gt;25.3,Table13[[#This Row],[Allowed Hours]])</f>
        <v>25.3</v>
      </c>
      <c r="K39" s="18">
        <v>26.77</v>
      </c>
      <c r="L39" s="19">
        <f>K39-Table13[[#This Row],[Adj Allowed Hrs]]</f>
        <v>1.4699999999999989</v>
      </c>
    </row>
    <row r="40" spans="5:12" hidden="1">
      <c r="E40" s="14" t="s">
        <v>14</v>
      </c>
      <c r="F40" s="15">
        <v>280</v>
      </c>
      <c r="G40" s="16">
        <v>28</v>
      </c>
      <c r="H40" s="17">
        <v>0.79</v>
      </c>
      <c r="I40" s="17">
        <f>Table13[[#This Row],[LHC]]*Table13[[#This Row],[Cars WTD (EDIT)]]</f>
        <v>22.12</v>
      </c>
      <c r="J40" s="17" cm="1">
        <f t="array" ref="J40">_xlfn.IFS(Table13[[#This Row],[Allowed Hours]]=0,0,Table13[[#This Row],[Allowed Hours]]&lt;25.3,25.3,Table13[[#This Row],[Allowed Hours]]&gt;25.3,Table13[[#This Row],[Allowed Hours]])</f>
        <v>25.3</v>
      </c>
      <c r="K40" s="18">
        <v>22.97</v>
      </c>
      <c r="L40" s="19">
        <f>K40-Table13[[#This Row],[Adj Allowed Hrs]]</f>
        <v>-2.3300000000000018</v>
      </c>
    </row>
    <row r="41" spans="5:12" hidden="1">
      <c r="E41" s="14" t="s">
        <v>14</v>
      </c>
      <c r="F41" s="15">
        <v>599</v>
      </c>
      <c r="G41" s="16">
        <v>34</v>
      </c>
      <c r="H41" s="17">
        <v>0.79</v>
      </c>
      <c r="I41" s="17">
        <f>Table13[[#This Row],[LHC]]*Table13[[#This Row],[Cars WTD (EDIT)]]</f>
        <v>26.86</v>
      </c>
      <c r="J41" s="17" cm="1">
        <f t="array" ref="J41">_xlfn.IFS(Table13[[#This Row],[Allowed Hours]]=0,0,Table13[[#This Row],[Allowed Hours]]&lt;25.3,25.3,Table13[[#This Row],[Allowed Hours]]&gt;25.3,Table13[[#This Row],[Allowed Hours]])</f>
        <v>26.86</v>
      </c>
      <c r="K41" s="18">
        <v>22.94</v>
      </c>
      <c r="L41" s="19">
        <f>K41-Table13[[#This Row],[Adj Allowed Hrs]]</f>
        <v>-3.9199999999999982</v>
      </c>
    </row>
    <row r="42" spans="5:12" hidden="1">
      <c r="E42" s="14" t="s">
        <v>14</v>
      </c>
      <c r="F42" s="15">
        <v>720</v>
      </c>
      <c r="G42" s="16">
        <v>30</v>
      </c>
      <c r="H42" s="17">
        <v>0.79</v>
      </c>
      <c r="I42" s="17">
        <f>Table13[[#This Row],[LHC]]*Table13[[#This Row],[Cars WTD (EDIT)]]</f>
        <v>23.700000000000003</v>
      </c>
      <c r="J42" s="17" cm="1">
        <f t="array" ref="J42">_xlfn.IFS(Table13[[#This Row],[Allowed Hours]]=0,0,Table13[[#This Row],[Allowed Hours]]&lt;25.3,25.3,Table13[[#This Row],[Allowed Hours]]&gt;25.3,Table13[[#This Row],[Allowed Hours]])</f>
        <v>25.3</v>
      </c>
      <c r="K42" s="18">
        <v>22.82</v>
      </c>
      <c r="L42" s="19">
        <f>K42-Table13[[#This Row],[Adj Allowed Hrs]]</f>
        <v>-2.4800000000000004</v>
      </c>
    </row>
    <row r="43" spans="5:12" hidden="1">
      <c r="E43" s="14" t="s">
        <v>14</v>
      </c>
      <c r="F43" s="15">
        <v>728</v>
      </c>
      <c r="G43" s="16">
        <v>19</v>
      </c>
      <c r="H43" s="17">
        <v>0.79</v>
      </c>
      <c r="I43" s="17">
        <f>Table13[[#This Row],[LHC]]*Table13[[#This Row],[Cars WTD (EDIT)]]</f>
        <v>15.010000000000002</v>
      </c>
      <c r="J43" s="17" cm="1">
        <f t="array" ref="J43">_xlfn.IFS(Table13[[#This Row],[Allowed Hours]]=0,0,Table13[[#This Row],[Allowed Hours]]&lt;25.3,25.3,Table13[[#This Row],[Allowed Hours]]&gt;25.3,Table13[[#This Row],[Allowed Hours]])</f>
        <v>25.3</v>
      </c>
      <c r="K43" s="18">
        <v>30.25</v>
      </c>
      <c r="L43" s="19">
        <f>K43-Table13[[#This Row],[Adj Allowed Hrs]]</f>
        <v>4.9499999999999993</v>
      </c>
    </row>
    <row r="44" spans="5:12" hidden="1">
      <c r="E44" s="14" t="s">
        <v>14</v>
      </c>
      <c r="F44" s="15">
        <v>830</v>
      </c>
      <c r="G44" s="16">
        <v>20</v>
      </c>
      <c r="H44" s="17">
        <v>0.79</v>
      </c>
      <c r="I44" s="17">
        <f>Table13[[#This Row],[LHC]]*Table13[[#This Row],[Cars WTD (EDIT)]]</f>
        <v>15.8</v>
      </c>
      <c r="J44" s="17" cm="1">
        <f t="array" ref="J44">_xlfn.IFS(Table13[[#This Row],[Allowed Hours]]=0,0,Table13[[#This Row],[Allowed Hours]]&lt;25.3,25.3,Table13[[#This Row],[Allowed Hours]]&gt;25.3,Table13[[#This Row],[Allowed Hours]])</f>
        <v>25.3</v>
      </c>
      <c r="K44" s="18">
        <v>27.94</v>
      </c>
      <c r="L44" s="19">
        <f>K44-Table13[[#This Row],[Adj Allowed Hrs]]</f>
        <v>2.6400000000000006</v>
      </c>
    </row>
    <row r="45" spans="5:12" hidden="1">
      <c r="E45" s="14" t="s">
        <v>14</v>
      </c>
      <c r="F45" s="15">
        <v>975</v>
      </c>
      <c r="G45" s="16">
        <v>14</v>
      </c>
      <c r="H45" s="17">
        <v>0.79</v>
      </c>
      <c r="I45" s="17">
        <f>Table13[[#This Row],[LHC]]*Table13[[#This Row],[Cars WTD (EDIT)]]</f>
        <v>11.06</v>
      </c>
      <c r="J45" s="17" cm="1">
        <f t="array" ref="J45">_xlfn.IFS(Table13[[#This Row],[Allowed Hours]]=0,0,Table13[[#This Row],[Allowed Hours]]&lt;25.3,25.3,Table13[[#This Row],[Allowed Hours]]&gt;25.3,Table13[[#This Row],[Allowed Hours]])</f>
        <v>25.3</v>
      </c>
      <c r="K45" s="18">
        <v>20.84</v>
      </c>
      <c r="L45" s="19">
        <f>K45-Table13[[#This Row],[Adj Allowed Hrs]]</f>
        <v>-4.4600000000000009</v>
      </c>
    </row>
    <row r="46" spans="5:12" hidden="1">
      <c r="E46" s="14" t="s">
        <v>16</v>
      </c>
      <c r="F46" s="15">
        <v>46</v>
      </c>
      <c r="G46" s="16">
        <v>40</v>
      </c>
      <c r="H46" s="17">
        <v>0.79</v>
      </c>
      <c r="I46" s="17">
        <f>Table13[[#This Row],[LHC]]*Table13[[#This Row],[Cars WTD (EDIT)]]</f>
        <v>31.6</v>
      </c>
      <c r="J46" s="17" cm="1">
        <f t="array" ref="J46">_xlfn.IFS(Table13[[#This Row],[Allowed Hours]]=0,0,Table13[[#This Row],[Allowed Hours]]&lt;25.3,25.3,Table13[[#This Row],[Allowed Hours]]&gt;25.3,Table13[[#This Row],[Allowed Hours]])</f>
        <v>31.6</v>
      </c>
      <c r="K46" s="18">
        <v>27.19</v>
      </c>
      <c r="L46" s="19">
        <f>K46-Table13[[#This Row],[Adj Allowed Hrs]]</f>
        <v>-4.41</v>
      </c>
    </row>
    <row r="47" spans="5:12" hidden="1">
      <c r="E47" s="14" t="s">
        <v>16</v>
      </c>
      <c r="F47" s="15">
        <v>283</v>
      </c>
      <c r="G47" s="16">
        <v>36</v>
      </c>
      <c r="H47" s="17">
        <v>0.79</v>
      </c>
      <c r="I47" s="17">
        <f>Table13[[#This Row],[LHC]]*Table13[[#This Row],[Cars WTD (EDIT)]]</f>
        <v>28.44</v>
      </c>
      <c r="J47" s="17" cm="1">
        <f t="array" ref="J47">_xlfn.IFS(Table13[[#This Row],[Allowed Hours]]=0,0,Table13[[#This Row],[Allowed Hours]]&lt;25.3,25.3,Table13[[#This Row],[Allowed Hours]]&gt;25.3,Table13[[#This Row],[Allowed Hours]])</f>
        <v>28.44</v>
      </c>
      <c r="K47" s="18">
        <v>30.34</v>
      </c>
      <c r="L47" s="19">
        <f>K47-Table13[[#This Row],[Adj Allowed Hrs]]</f>
        <v>1.8999999999999986</v>
      </c>
    </row>
    <row r="48" spans="5:12" hidden="1">
      <c r="E48" s="14" t="s">
        <v>16</v>
      </c>
      <c r="F48" s="15">
        <v>847</v>
      </c>
      <c r="G48" s="16">
        <v>32</v>
      </c>
      <c r="H48" s="17">
        <v>0.79</v>
      </c>
      <c r="I48" s="17">
        <f>Table13[[#This Row],[LHC]]*Table13[[#This Row],[Cars WTD (EDIT)]]</f>
        <v>25.28</v>
      </c>
      <c r="J48" s="17" cm="1">
        <f t="array" ref="J48">_xlfn.IFS(Table13[[#This Row],[Allowed Hours]]=0,0,Table13[[#This Row],[Allowed Hours]]&lt;25.3,25.3,Table13[[#This Row],[Allowed Hours]]&gt;25.3,Table13[[#This Row],[Allowed Hours]])</f>
        <v>25.3</v>
      </c>
      <c r="K48" s="18">
        <v>33.64</v>
      </c>
      <c r="L48" s="19">
        <f>K48-Table13[[#This Row],[Adj Allowed Hrs]]</f>
        <v>8.34</v>
      </c>
    </row>
    <row r="49" spans="5:12" hidden="1">
      <c r="E49" s="14" t="s">
        <v>16</v>
      </c>
      <c r="F49" s="15">
        <v>865</v>
      </c>
      <c r="G49" s="16">
        <v>28</v>
      </c>
      <c r="H49" s="17">
        <v>0.79</v>
      </c>
      <c r="I49" s="17">
        <f>Table13[[#This Row],[LHC]]*Table13[[#This Row],[Cars WTD (EDIT)]]</f>
        <v>22.12</v>
      </c>
      <c r="J49" s="17" cm="1">
        <f t="array" ref="J49">_xlfn.IFS(Table13[[#This Row],[Allowed Hours]]=0,0,Table13[[#This Row],[Allowed Hours]]&lt;25.3,25.3,Table13[[#This Row],[Allowed Hours]]&gt;25.3,Table13[[#This Row],[Allowed Hours]])</f>
        <v>25.3</v>
      </c>
      <c r="K49" s="18">
        <v>21.95</v>
      </c>
      <c r="L49" s="19">
        <f>K49-Table13[[#This Row],[Adj Allowed Hrs]]</f>
        <v>-3.3500000000000014</v>
      </c>
    </row>
    <row r="50" spans="5:12" hidden="1">
      <c r="E50" s="14" t="s">
        <v>16</v>
      </c>
      <c r="F50" s="15">
        <v>919</v>
      </c>
      <c r="G50" s="16">
        <v>28</v>
      </c>
      <c r="H50" s="17">
        <v>0.79</v>
      </c>
      <c r="I50" s="17">
        <f>Table13[[#This Row],[LHC]]*Table13[[#This Row],[Cars WTD (EDIT)]]</f>
        <v>22.12</v>
      </c>
      <c r="J50" s="17" cm="1">
        <f t="array" ref="J50">_xlfn.IFS(Table13[[#This Row],[Allowed Hours]]=0,0,Table13[[#This Row],[Allowed Hours]]&lt;25.3,25.3,Table13[[#This Row],[Allowed Hours]]&gt;25.3,Table13[[#This Row],[Allowed Hours]])</f>
        <v>25.3</v>
      </c>
      <c r="K50" s="18">
        <v>33.880000000000003</v>
      </c>
      <c r="L50" s="19">
        <f>K50-Table13[[#This Row],[Adj Allowed Hrs]]</f>
        <v>8.5800000000000018</v>
      </c>
    </row>
    <row r="51" spans="5:12" hidden="1">
      <c r="E51" s="14" t="s">
        <v>16</v>
      </c>
      <c r="F51" s="15">
        <v>954</v>
      </c>
      <c r="G51" s="16">
        <v>27</v>
      </c>
      <c r="H51" s="17">
        <v>0.79</v>
      </c>
      <c r="I51" s="17">
        <f>Table13[[#This Row],[LHC]]*Table13[[#This Row],[Cars WTD (EDIT)]]</f>
        <v>21.330000000000002</v>
      </c>
      <c r="J51" s="17" cm="1">
        <f t="array" ref="J51">_xlfn.IFS(Table13[[#This Row],[Allowed Hours]]=0,0,Table13[[#This Row],[Allowed Hours]]&lt;25.3,25.3,Table13[[#This Row],[Allowed Hours]]&gt;25.3,Table13[[#This Row],[Allowed Hours]])</f>
        <v>25.3</v>
      </c>
      <c r="K51" s="18">
        <v>8.8800000000000008</v>
      </c>
      <c r="L51" s="19">
        <f>K51-Table13[[#This Row],[Adj Allowed Hrs]]</f>
        <v>-16.420000000000002</v>
      </c>
    </row>
    <row r="52" spans="5:12" hidden="1">
      <c r="E52" s="14" t="s">
        <v>16</v>
      </c>
      <c r="F52" s="15">
        <v>3017</v>
      </c>
      <c r="G52" s="16">
        <v>15</v>
      </c>
      <c r="H52" s="17">
        <v>0.79</v>
      </c>
      <c r="I52" s="17">
        <f>Table13[[#This Row],[LHC]]*Table13[[#This Row],[Cars WTD (EDIT)]]</f>
        <v>11.850000000000001</v>
      </c>
      <c r="J52" s="17" cm="1">
        <f t="array" ref="J52">_xlfn.IFS(Table13[[#This Row],[Allowed Hours]]=0,0,Table13[[#This Row],[Allowed Hours]]&lt;25.3,25.3,Table13[[#This Row],[Allowed Hours]]&gt;25.3,Table13[[#This Row],[Allowed Hours]])</f>
        <v>25.3</v>
      </c>
      <c r="K52" s="18">
        <v>32.96</v>
      </c>
      <c r="L52" s="19">
        <f>K52-Table13[[#This Row],[Adj Allowed Hrs]]</f>
        <v>7.66</v>
      </c>
    </row>
    <row r="53" spans="5:12" hidden="1">
      <c r="E53" s="14" t="s">
        <v>26</v>
      </c>
      <c r="F53" s="15">
        <v>1</v>
      </c>
      <c r="G53" s="16">
        <v>27</v>
      </c>
      <c r="H53" s="17">
        <v>0.79</v>
      </c>
      <c r="I53" s="17">
        <f>Table13[[#This Row],[LHC]]*Table13[[#This Row],[Cars WTD (EDIT)]]</f>
        <v>21.330000000000002</v>
      </c>
      <c r="J53" s="17" cm="1">
        <f t="array" ref="J53">_xlfn.IFS(Table13[[#This Row],[Allowed Hours]]=0,0,Table13[[#This Row],[Allowed Hours]]&lt;25.3,25.3,Table13[[#This Row],[Allowed Hours]]&gt;25.3,Table13[[#This Row],[Allowed Hours]])</f>
        <v>25.3</v>
      </c>
      <c r="K53" s="18">
        <v>26.29</v>
      </c>
      <c r="L53" s="19">
        <f>K53-Table13[[#This Row],[Adj Allowed Hrs]]</f>
        <v>0.98999999999999844</v>
      </c>
    </row>
    <row r="54" spans="5:12" hidden="1">
      <c r="E54" s="14" t="s">
        <v>26</v>
      </c>
      <c r="F54" s="15">
        <v>2</v>
      </c>
      <c r="G54" s="16">
        <v>44</v>
      </c>
      <c r="H54" s="17">
        <v>0.79</v>
      </c>
      <c r="I54" s="17">
        <f>Table13[[#This Row],[LHC]]*Table13[[#This Row],[Cars WTD (EDIT)]]</f>
        <v>34.760000000000005</v>
      </c>
      <c r="J54" s="17" cm="1">
        <f t="array" ref="J54">_xlfn.IFS(Table13[[#This Row],[Allowed Hours]]=0,0,Table13[[#This Row],[Allowed Hours]]&lt;25.3,25.3,Table13[[#This Row],[Allowed Hours]]&gt;25.3,Table13[[#This Row],[Allowed Hours]])</f>
        <v>34.760000000000005</v>
      </c>
      <c r="K54" s="18">
        <v>26.76</v>
      </c>
      <c r="L54" s="19">
        <f>K54-Table13[[#This Row],[Adj Allowed Hrs]]</f>
        <v>-8.0000000000000036</v>
      </c>
    </row>
    <row r="55" spans="5:12" hidden="1">
      <c r="E55" s="14" t="s">
        <v>26</v>
      </c>
      <c r="F55" s="15">
        <v>4</v>
      </c>
      <c r="G55" s="16">
        <v>70</v>
      </c>
      <c r="H55" s="17">
        <v>0.79</v>
      </c>
      <c r="I55" s="17">
        <f>Table13[[#This Row],[LHC]]*Table13[[#This Row],[Cars WTD (EDIT)]]</f>
        <v>55.300000000000004</v>
      </c>
      <c r="J55" s="17" cm="1">
        <f t="array" ref="J55">_xlfn.IFS(Table13[[#This Row],[Allowed Hours]]=0,0,Table13[[#This Row],[Allowed Hours]]&lt;25.3,25.3,Table13[[#This Row],[Allowed Hours]]&gt;25.3,Table13[[#This Row],[Allowed Hours]])</f>
        <v>55.300000000000004</v>
      </c>
      <c r="K55" s="18">
        <v>58.72</v>
      </c>
      <c r="L55" s="19">
        <f>K55-Table13[[#This Row],[Adj Allowed Hrs]]</f>
        <v>3.4199999999999946</v>
      </c>
    </row>
    <row r="56" spans="5:12" hidden="1">
      <c r="E56" s="14" t="s">
        <v>26</v>
      </c>
      <c r="F56" s="15">
        <v>6</v>
      </c>
      <c r="G56" s="16">
        <v>49</v>
      </c>
      <c r="H56" s="17">
        <v>0.79</v>
      </c>
      <c r="I56" s="17">
        <f>Table13[[#This Row],[LHC]]*Table13[[#This Row],[Cars WTD (EDIT)]]</f>
        <v>38.71</v>
      </c>
      <c r="J56" s="17" cm="1">
        <f t="array" ref="J56">_xlfn.IFS(Table13[[#This Row],[Allowed Hours]]=0,0,Table13[[#This Row],[Allowed Hours]]&lt;25.3,25.3,Table13[[#This Row],[Allowed Hours]]&gt;25.3,Table13[[#This Row],[Allowed Hours]])</f>
        <v>38.71</v>
      </c>
      <c r="K56" s="18">
        <v>33.4</v>
      </c>
      <c r="L56" s="19">
        <f>K56-Table13[[#This Row],[Adj Allowed Hrs]]</f>
        <v>-5.3100000000000023</v>
      </c>
    </row>
    <row r="57" spans="5:12" hidden="1">
      <c r="E57" s="14" t="s">
        <v>26</v>
      </c>
      <c r="F57" s="15">
        <v>15</v>
      </c>
      <c r="G57" s="16">
        <v>56</v>
      </c>
      <c r="H57" s="17">
        <v>0.79</v>
      </c>
      <c r="I57" s="17">
        <f>Table13[[#This Row],[LHC]]*Table13[[#This Row],[Cars WTD (EDIT)]]</f>
        <v>44.24</v>
      </c>
      <c r="J57" s="17" cm="1">
        <f t="array" ref="J57">_xlfn.IFS(Table13[[#This Row],[Allowed Hours]]=0,0,Table13[[#This Row],[Allowed Hours]]&lt;25.3,25.3,Table13[[#This Row],[Allowed Hours]]&gt;25.3,Table13[[#This Row],[Allowed Hours]])</f>
        <v>44.24</v>
      </c>
      <c r="K57" s="18">
        <v>49.06</v>
      </c>
      <c r="L57" s="19">
        <f>K57-Table13[[#This Row],[Adj Allowed Hrs]]</f>
        <v>4.82</v>
      </c>
    </row>
    <row r="58" spans="5:12" hidden="1">
      <c r="E58" s="14" t="s">
        <v>26</v>
      </c>
      <c r="F58" s="15">
        <v>28</v>
      </c>
      <c r="G58" s="16">
        <v>51</v>
      </c>
      <c r="H58" s="17">
        <v>0.79</v>
      </c>
      <c r="I58" s="17">
        <f>Table13[[#This Row],[LHC]]*Table13[[#This Row],[Cars WTD (EDIT)]]</f>
        <v>40.29</v>
      </c>
      <c r="J58" s="17" cm="1">
        <f t="array" ref="J58">_xlfn.IFS(Table13[[#This Row],[Allowed Hours]]=0,0,Table13[[#This Row],[Allowed Hours]]&lt;25.3,25.3,Table13[[#This Row],[Allowed Hours]]&gt;25.3,Table13[[#This Row],[Allowed Hours]])</f>
        <v>40.29</v>
      </c>
      <c r="K58" s="18">
        <v>48</v>
      </c>
      <c r="L58" s="19">
        <f>K58-Table13[[#This Row],[Adj Allowed Hrs]]</f>
        <v>7.7100000000000009</v>
      </c>
    </row>
    <row r="59" spans="5:12" hidden="1">
      <c r="E59" s="14" t="s">
        <v>26</v>
      </c>
      <c r="F59" s="15">
        <v>32</v>
      </c>
      <c r="G59" s="16">
        <v>46</v>
      </c>
      <c r="H59" s="17">
        <v>0.79</v>
      </c>
      <c r="I59" s="17">
        <f>Table13[[#This Row],[LHC]]*Table13[[#This Row],[Cars WTD (EDIT)]]</f>
        <v>36.340000000000003</v>
      </c>
      <c r="J59" s="17" cm="1">
        <f t="array" ref="J59">_xlfn.IFS(Table13[[#This Row],[Allowed Hours]]=0,0,Table13[[#This Row],[Allowed Hours]]&lt;25.3,25.3,Table13[[#This Row],[Allowed Hours]]&gt;25.3,Table13[[#This Row],[Allowed Hours]])</f>
        <v>36.340000000000003</v>
      </c>
      <c r="K59" s="18">
        <v>25.9</v>
      </c>
      <c r="L59" s="19">
        <f>K59-Table13[[#This Row],[Adj Allowed Hrs]]</f>
        <v>-10.440000000000005</v>
      </c>
    </row>
    <row r="60" spans="5:12" hidden="1">
      <c r="E60" s="14" t="s">
        <v>26</v>
      </c>
      <c r="F60" s="15">
        <v>606</v>
      </c>
      <c r="G60" s="16">
        <v>39</v>
      </c>
      <c r="H60" s="17">
        <v>0.79</v>
      </c>
      <c r="I60" s="17">
        <f>Table13[[#This Row],[LHC]]*Table13[[#This Row],[Cars WTD (EDIT)]]</f>
        <v>30.810000000000002</v>
      </c>
      <c r="J60" s="17" cm="1">
        <f t="array" ref="J60">_xlfn.IFS(Table13[[#This Row],[Allowed Hours]]=0,0,Table13[[#This Row],[Allowed Hours]]&lt;25.3,25.3,Table13[[#This Row],[Allowed Hours]]&gt;25.3,Table13[[#This Row],[Allowed Hours]])</f>
        <v>30.810000000000002</v>
      </c>
      <c r="K60" s="18">
        <v>34.619999999999997</v>
      </c>
      <c r="L60" s="19">
        <f>K60-Table13[[#This Row],[Adj Allowed Hrs]]</f>
        <v>3.8099999999999952</v>
      </c>
    </row>
    <row r="61" spans="5:12" hidden="1">
      <c r="E61" s="14" t="s">
        <v>26</v>
      </c>
      <c r="F61" s="15">
        <v>999</v>
      </c>
      <c r="G61" s="16">
        <v>22</v>
      </c>
      <c r="H61" s="17">
        <v>0.79</v>
      </c>
      <c r="I61" s="17">
        <f>Table13[[#This Row],[LHC]]*Table13[[#This Row],[Cars WTD (EDIT)]]</f>
        <v>17.380000000000003</v>
      </c>
      <c r="J61" s="17" cm="1">
        <f t="array" ref="J61">_xlfn.IFS(Table13[[#This Row],[Allowed Hours]]=0,0,Table13[[#This Row],[Allowed Hours]]&lt;25.3,25.3,Table13[[#This Row],[Allowed Hours]]&gt;25.3,Table13[[#This Row],[Allowed Hours]])</f>
        <v>25.3</v>
      </c>
      <c r="K61" s="18">
        <v>37.53</v>
      </c>
      <c r="L61" s="19">
        <f>K61-Table13[[#This Row],[Adj Allowed Hrs]]</f>
        <v>12.23</v>
      </c>
    </row>
    <row r="62" spans="5:12" hidden="1">
      <c r="E62" s="14" t="s">
        <v>27</v>
      </c>
      <c r="F62" s="15">
        <v>8</v>
      </c>
      <c r="G62" s="16">
        <v>41</v>
      </c>
      <c r="H62" s="17">
        <v>0.79</v>
      </c>
      <c r="I62" s="17">
        <f>Table13[[#This Row],[LHC]]*Table13[[#This Row],[Cars WTD (EDIT)]]</f>
        <v>32.39</v>
      </c>
      <c r="J62" s="17" cm="1">
        <f t="array" ref="J62">_xlfn.IFS(Table13[[#This Row],[Allowed Hours]]=0,0,Table13[[#This Row],[Allowed Hours]]&lt;25.3,25.3,Table13[[#This Row],[Allowed Hours]]&gt;25.3,Table13[[#This Row],[Allowed Hours]])</f>
        <v>32.39</v>
      </c>
      <c r="K62" s="18">
        <v>34.770000000000003</v>
      </c>
      <c r="L62" s="19">
        <f>K62-Table13[[#This Row],[Adj Allowed Hrs]]</f>
        <v>2.3800000000000026</v>
      </c>
    </row>
    <row r="63" spans="5:12" hidden="1">
      <c r="E63" s="14" t="s">
        <v>27</v>
      </c>
      <c r="F63" s="15">
        <v>10</v>
      </c>
      <c r="G63" s="16">
        <v>44</v>
      </c>
      <c r="H63" s="17">
        <v>0.79</v>
      </c>
      <c r="I63" s="17">
        <f>Table13[[#This Row],[LHC]]*Table13[[#This Row],[Cars WTD (EDIT)]]</f>
        <v>34.760000000000005</v>
      </c>
      <c r="J63" s="17" cm="1">
        <f t="array" ref="J63">_xlfn.IFS(Table13[[#This Row],[Allowed Hours]]=0,0,Table13[[#This Row],[Allowed Hours]]&lt;25.3,25.3,Table13[[#This Row],[Allowed Hours]]&gt;25.3,Table13[[#This Row],[Allowed Hours]])</f>
        <v>34.760000000000005</v>
      </c>
      <c r="K63" s="18">
        <v>29.96</v>
      </c>
      <c r="L63" s="19">
        <f>K63-Table13[[#This Row],[Adj Allowed Hrs]]</f>
        <v>-4.8000000000000043</v>
      </c>
    </row>
    <row r="64" spans="5:12" hidden="1">
      <c r="E64" s="14" t="s">
        <v>27</v>
      </c>
      <c r="F64" s="15">
        <v>12</v>
      </c>
      <c r="G64" s="16">
        <v>26</v>
      </c>
      <c r="H64" s="17">
        <v>0.79</v>
      </c>
      <c r="I64" s="17">
        <f>Table13[[#This Row],[LHC]]*Table13[[#This Row],[Cars WTD (EDIT)]]</f>
        <v>20.54</v>
      </c>
      <c r="J64" s="17" cm="1">
        <f t="array" ref="J64">_xlfn.IFS(Table13[[#This Row],[Allowed Hours]]=0,0,Table13[[#This Row],[Allowed Hours]]&lt;25.3,25.3,Table13[[#This Row],[Allowed Hours]]&gt;25.3,Table13[[#This Row],[Allowed Hours]])</f>
        <v>25.3</v>
      </c>
      <c r="K64" s="18">
        <v>23.38</v>
      </c>
      <c r="L64" s="19">
        <f>K64-Table13[[#This Row],[Adj Allowed Hrs]]</f>
        <v>-1.9200000000000017</v>
      </c>
    </row>
    <row r="65" spans="5:12" hidden="1">
      <c r="E65" s="14" t="s">
        <v>27</v>
      </c>
      <c r="F65" s="15">
        <v>13</v>
      </c>
      <c r="G65" s="16">
        <v>45</v>
      </c>
      <c r="H65" s="17">
        <v>0.79</v>
      </c>
      <c r="I65" s="17">
        <f>Table13[[#This Row],[LHC]]*Table13[[#This Row],[Cars WTD (EDIT)]]</f>
        <v>35.550000000000004</v>
      </c>
      <c r="J65" s="17" cm="1">
        <f t="array" ref="J65">_xlfn.IFS(Table13[[#This Row],[Allowed Hours]]=0,0,Table13[[#This Row],[Allowed Hours]]&lt;25.3,25.3,Table13[[#This Row],[Allowed Hours]]&gt;25.3,Table13[[#This Row],[Allowed Hours]])</f>
        <v>35.550000000000004</v>
      </c>
      <c r="K65" s="18">
        <v>37.119999999999997</v>
      </c>
      <c r="L65" s="19">
        <f>K65-Table13[[#This Row],[Adj Allowed Hrs]]</f>
        <v>1.5699999999999932</v>
      </c>
    </row>
    <row r="66" spans="5:12" hidden="1">
      <c r="E66" s="14" t="s">
        <v>27</v>
      </c>
      <c r="F66" s="15">
        <v>31</v>
      </c>
      <c r="G66" s="16">
        <v>48</v>
      </c>
      <c r="H66" s="17">
        <v>0.79</v>
      </c>
      <c r="I66" s="17">
        <f>Table13[[#This Row],[LHC]]*Table13[[#This Row],[Cars WTD (EDIT)]]</f>
        <v>37.92</v>
      </c>
      <c r="J66" s="17" cm="1">
        <f t="array" ref="J66">_xlfn.IFS(Table13[[#This Row],[Allowed Hours]]=0,0,Table13[[#This Row],[Allowed Hours]]&lt;25.3,25.3,Table13[[#This Row],[Allowed Hours]]&gt;25.3,Table13[[#This Row],[Allowed Hours]])</f>
        <v>37.92</v>
      </c>
      <c r="K66" s="18">
        <v>52.41</v>
      </c>
      <c r="L66" s="19">
        <f>K66-Table13[[#This Row],[Adj Allowed Hrs]]</f>
        <v>14.489999999999995</v>
      </c>
    </row>
    <row r="67" spans="5:12" hidden="1">
      <c r="E67" s="14" t="s">
        <v>27</v>
      </c>
      <c r="F67" s="15">
        <v>92</v>
      </c>
      <c r="G67" s="16">
        <v>64</v>
      </c>
      <c r="H67" s="17">
        <v>0.79</v>
      </c>
      <c r="I67" s="17">
        <f>Table13[[#This Row],[LHC]]*Table13[[#This Row],[Cars WTD (EDIT)]]</f>
        <v>50.56</v>
      </c>
      <c r="J67" s="17" cm="1">
        <f t="array" ref="J67">_xlfn.IFS(Table13[[#This Row],[Allowed Hours]]=0,0,Table13[[#This Row],[Allowed Hours]]&lt;25.3,25.3,Table13[[#This Row],[Allowed Hours]]&gt;25.3,Table13[[#This Row],[Allowed Hours]])</f>
        <v>50.56</v>
      </c>
      <c r="K67" s="18">
        <v>46.12</v>
      </c>
      <c r="L67" s="19">
        <f>K67-Table13[[#This Row],[Adj Allowed Hrs]]</f>
        <v>-4.4400000000000048</v>
      </c>
    </row>
    <row r="68" spans="5:12" hidden="1">
      <c r="E68" s="14" t="s">
        <v>27</v>
      </c>
      <c r="F68" s="15">
        <v>116</v>
      </c>
      <c r="G68" s="16">
        <v>37</v>
      </c>
      <c r="H68" s="17">
        <v>0.79</v>
      </c>
      <c r="I68" s="17">
        <f>Table13[[#This Row],[LHC]]*Table13[[#This Row],[Cars WTD (EDIT)]]</f>
        <v>29.23</v>
      </c>
      <c r="J68" s="17" cm="1">
        <f t="array" ref="J68">_xlfn.IFS(Table13[[#This Row],[Allowed Hours]]=0,0,Table13[[#This Row],[Allowed Hours]]&lt;25.3,25.3,Table13[[#This Row],[Allowed Hours]]&gt;25.3,Table13[[#This Row],[Allowed Hours]])</f>
        <v>29.23</v>
      </c>
      <c r="K68" s="18">
        <v>38.14</v>
      </c>
      <c r="L68" s="19">
        <f>K68-Table13[[#This Row],[Adj Allowed Hrs]]</f>
        <v>8.91</v>
      </c>
    </row>
    <row r="69" spans="5:12" hidden="1">
      <c r="E69" s="20" t="s">
        <v>27</v>
      </c>
      <c r="F69" s="21">
        <v>870</v>
      </c>
      <c r="G69" s="22">
        <v>15</v>
      </c>
      <c r="H69" s="23">
        <v>0.79</v>
      </c>
      <c r="I69" s="17">
        <f>Table13[[#This Row],[LHC]]*Table13[[#This Row],[Cars WTD (EDIT)]]</f>
        <v>11.850000000000001</v>
      </c>
      <c r="J69" s="23" cm="1">
        <f t="array" ref="J69">_xlfn.IFS(Table13[[#This Row],[Allowed Hours]]=0,0,Table13[[#This Row],[Allowed Hours]]&lt;25.3,25.3,Table13[[#This Row],[Allowed Hours]]&gt;25.3,Table13[[#This Row],[Allowed Hours]])</f>
        <v>25.3</v>
      </c>
      <c r="K69" s="24">
        <v>24.77</v>
      </c>
      <c r="L69" s="25">
        <f>K69-Table13[[#This Row],[Adj Allowed Hrs]]</f>
        <v>-0.53000000000000114</v>
      </c>
    </row>
    <row r="70" spans="5:12" hidden="1">
      <c r="E70" s="20" t="s">
        <v>27</v>
      </c>
      <c r="F70" s="21">
        <v>3004</v>
      </c>
      <c r="G70" s="22">
        <v>14</v>
      </c>
      <c r="H70" s="23">
        <v>0.79</v>
      </c>
      <c r="I70" s="23">
        <f>Table13[[#This Row],[LHC]]*Table13[[#This Row],[Cars WTD (EDIT)]]</f>
        <v>11.06</v>
      </c>
      <c r="J70" s="23" cm="1">
        <f t="array" ref="J70">_xlfn.IFS(Table13[[#This Row],[Allowed Hours]]=0,0,Table13[[#This Row],[Allowed Hours]]&lt;25.3,25.3,Table13[[#This Row],[Allowed Hours]]&gt;25.3,Table13[[#This Row],[Allowed Hours]])</f>
        <v>25.3</v>
      </c>
      <c r="K70" s="24">
        <v>27.63</v>
      </c>
      <c r="L70" s="25">
        <f>K70-Table13[[#This Row],[Adj Allowed Hrs]]</f>
        <v>2.3299999999999983</v>
      </c>
    </row>
  </sheetData>
  <sheetProtection sheet="1" objects="1" scenarios="1" selectLockedCells="1" sort="0" autoFilter="0" pivotTables="0"/>
  <protectedRanges>
    <protectedRange sqref="K14:K70" name="Range1"/>
  </protectedRanges>
  <mergeCells count="1">
    <mergeCell ref="B2:C2"/>
  </mergeCells>
  <conditionalFormatting sqref="I14:J70">
    <cfRule type="cellIs" dxfId="124" priority="6" operator="lessThan">
      <formula>25.3</formula>
    </cfRule>
  </conditionalFormatting>
  <conditionalFormatting sqref="L14:L70">
    <cfRule type="cellIs" dxfId="123" priority="10" operator="greaterThan">
      <formula>0</formula>
    </cfRule>
    <cfRule type="cellIs" dxfId="122" priority="11" operator="lessThan">
      <formula>0</formula>
    </cfRule>
  </conditionalFormatting>
  <conditionalFormatting sqref="J3:J10">
    <cfRule type="cellIs" dxfId="121" priority="2" operator="greaterThan">
      <formula>0</formula>
    </cfRule>
    <cfRule type="cellIs" dxfId="120" priority="3" operator="lessThan">
      <formula>0</formula>
    </cfRule>
  </conditionalFormatting>
  <conditionalFormatting sqref="I70:J70">
    <cfRule type="cellIs" dxfId="119" priority="1" operator="lessThan">
      <formula>25.3</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D60E-4533-4591-994B-2B6D038B6740}">
  <dimension ref="B1:L70"/>
  <sheetViews>
    <sheetView showGridLines="0" workbookViewId="0">
      <selection activeCell="K27" sqref="K27"/>
    </sheetView>
  </sheetViews>
  <sheetFormatPr defaultRowHeight="12.75"/>
  <cols>
    <col min="1" max="1" width="10.5703125" style="1" customWidth="1"/>
    <col min="2" max="3" width="12.140625" style="1" customWidth="1"/>
    <col min="4" max="4" width="16" style="1" customWidth="1"/>
    <col min="5" max="5" width="25.28515625" style="1" bestFit="1" customWidth="1"/>
    <col min="6" max="6" width="14.28515625" style="1" bestFit="1" customWidth="1"/>
    <col min="7" max="7" width="18.140625" style="1" bestFit="1" customWidth="1"/>
    <col min="8" max="8" width="19" style="1" bestFit="1" customWidth="1"/>
    <col min="9" max="9" width="16.7109375" style="1" bestFit="1" customWidth="1"/>
    <col min="10" max="10" width="20.85546875" style="1" bestFit="1" customWidth="1"/>
    <col min="11" max="11" width="25.140625" style="1" customWidth="1"/>
    <col min="12" max="12" width="19.5703125" style="1" customWidth="1"/>
    <col min="13" max="16384" width="9.140625" style="1"/>
  </cols>
  <sheetData>
    <row r="1" spans="2:12" ht="13.5" thickBot="1"/>
    <row r="2" spans="2:12" ht="18.75" thickBot="1">
      <c r="B2" s="42" t="s">
        <v>0</v>
      </c>
      <c r="C2" s="43"/>
      <c r="E2" s="2" t="s">
        <v>1</v>
      </c>
      <c r="F2" s="2" t="s">
        <v>2</v>
      </c>
      <c r="G2" s="2" t="s">
        <v>3</v>
      </c>
      <c r="H2" s="2" t="s">
        <v>4</v>
      </c>
      <c r="I2" s="2" t="s">
        <v>5</v>
      </c>
      <c r="J2" s="2" t="s">
        <v>6</v>
      </c>
    </row>
    <row r="3" spans="2:12" ht="18">
      <c r="B3" s="3" t="s">
        <v>7</v>
      </c>
      <c r="C3" s="4">
        <v>20</v>
      </c>
      <c r="E3" s="2" t="s">
        <v>8</v>
      </c>
      <c r="F3" s="5">
        <f>SUM(G14:G21)</f>
        <v>143</v>
      </c>
      <c r="G3" s="2">
        <v>0.79</v>
      </c>
      <c r="H3" s="2">
        <f>SUM(I14:I21)</f>
        <v>112.97</v>
      </c>
      <c r="I3" s="2">
        <f>SUM(K14:K21)</f>
        <v>188</v>
      </c>
      <c r="J3" s="2">
        <f>SUM(L14:L21)</f>
        <v>10.899999999999993</v>
      </c>
    </row>
    <row r="4" spans="2:12" ht="18">
      <c r="B4" s="6" t="s">
        <v>9</v>
      </c>
      <c r="C4" s="4">
        <v>45.3</v>
      </c>
      <c r="E4" s="2" t="s">
        <v>10</v>
      </c>
      <c r="F4" s="5">
        <f>SUM(G22:G28)</f>
        <v>165</v>
      </c>
      <c r="G4" s="2">
        <v>0.79</v>
      </c>
      <c r="H4" s="2">
        <f>SUM(I22:I28)</f>
        <v>130.35</v>
      </c>
      <c r="I4" s="2">
        <f>SUM(K22:K28)</f>
        <v>211.77999999999997</v>
      </c>
      <c r="J4" s="2">
        <f>SUM(L22:L28)</f>
        <v>33.11999999999999</v>
      </c>
    </row>
    <row r="5" spans="2:12" ht="18">
      <c r="B5" s="6" t="s">
        <v>11</v>
      </c>
      <c r="C5" s="4">
        <v>70.599999999999994</v>
      </c>
      <c r="E5" s="2" t="s">
        <v>12</v>
      </c>
      <c r="F5" s="5">
        <f>SUM(G29:G37)</f>
        <v>321</v>
      </c>
      <c r="G5" s="2">
        <v>0.79</v>
      </c>
      <c r="H5" s="2">
        <f>SUM(I29:I37)</f>
        <v>253.58999999999997</v>
      </c>
      <c r="I5" s="2">
        <f>SUM(K29:K37)</f>
        <v>268</v>
      </c>
      <c r="J5" s="2">
        <f>SUM(L29:L37)</f>
        <v>-20.43000000000001</v>
      </c>
    </row>
    <row r="6" spans="2:12" ht="18">
      <c r="B6" s="6" t="s">
        <v>13</v>
      </c>
      <c r="C6" s="4">
        <v>95.93</v>
      </c>
      <c r="E6" s="2" t="s">
        <v>14</v>
      </c>
      <c r="F6" s="5">
        <f>SUM(G38:G45)</f>
        <v>177</v>
      </c>
      <c r="G6" s="2">
        <v>0.79</v>
      </c>
      <c r="H6" s="2">
        <f>SUM(I38:I45)</f>
        <v>139.82999999999998</v>
      </c>
      <c r="I6" s="2">
        <f>SUM(K38:K45)</f>
        <v>206.21</v>
      </c>
      <c r="J6" s="2">
        <f>SUM(L38:L45)</f>
        <v>-11.970000000000008</v>
      </c>
    </row>
    <row r="7" spans="2:12" ht="18">
      <c r="B7" s="6" t="s">
        <v>15</v>
      </c>
      <c r="C7" s="4">
        <v>121.23</v>
      </c>
      <c r="E7" s="2" t="s">
        <v>16</v>
      </c>
      <c r="F7" s="5">
        <f>SUM(G46:G52)</f>
        <v>160</v>
      </c>
      <c r="G7" s="2">
        <v>0.79</v>
      </c>
      <c r="H7" s="2">
        <f>SUM(I46:I52)</f>
        <v>126.4</v>
      </c>
      <c r="I7" s="2">
        <f>SUM(K46:K52)</f>
        <v>178.69</v>
      </c>
      <c r="J7" s="2">
        <f>SUM(L46:L52)</f>
        <v>-1.5500000000000043</v>
      </c>
    </row>
    <row r="8" spans="2:12" ht="18">
      <c r="B8" s="6" t="s">
        <v>17</v>
      </c>
      <c r="C8" s="4">
        <v>146.53</v>
      </c>
      <c r="E8" s="2" t="s">
        <v>18</v>
      </c>
      <c r="F8" s="5">
        <f>SUM(G53:G61)</f>
        <v>374</v>
      </c>
      <c r="G8" s="2">
        <v>0.79</v>
      </c>
      <c r="H8" s="2">
        <f>SUM(I53:I61)</f>
        <v>295.45999999999998</v>
      </c>
      <c r="I8" s="2">
        <f>SUM(K53:K61)</f>
        <v>317</v>
      </c>
      <c r="J8" s="2">
        <f>SUM(L53:L61)</f>
        <v>19.940000000000008</v>
      </c>
    </row>
    <row r="9" spans="2:12" ht="18.75" thickBot="1">
      <c r="B9" s="7" t="s">
        <v>19</v>
      </c>
      <c r="C9" s="8">
        <v>171.8</v>
      </c>
      <c r="E9" s="2" t="s">
        <v>20</v>
      </c>
      <c r="F9" s="5">
        <f>SUM(G62:G70)</f>
        <v>328</v>
      </c>
      <c r="G9" s="2">
        <v>0.79</v>
      </c>
      <c r="H9" s="2">
        <f>SUM(I62:I70)</f>
        <v>259.12</v>
      </c>
      <c r="I9" s="2">
        <f>SUM(K62:K70)</f>
        <v>287.44</v>
      </c>
      <c r="J9" s="2">
        <f>SUM(L62:L70)</f>
        <v>6.9099999999999895</v>
      </c>
    </row>
    <row r="10" spans="2:12" ht="18">
      <c r="E10" s="9" t="s">
        <v>21</v>
      </c>
      <c r="F10" s="9">
        <f>SUM(F3:F9)</f>
        <v>1668</v>
      </c>
      <c r="G10" s="9">
        <v>0.79</v>
      </c>
      <c r="H10" s="9">
        <f>SUM(H3:H9)</f>
        <v>1317.7199999999998</v>
      </c>
      <c r="I10" s="9">
        <f>SUM(I3:I9)</f>
        <v>1657.1200000000001</v>
      </c>
      <c r="J10" s="9">
        <f>SUM(J3:J9)</f>
        <v>36.919999999999959</v>
      </c>
    </row>
    <row r="13" spans="2:12">
      <c r="E13" s="10" t="s">
        <v>1</v>
      </c>
      <c r="F13" s="11" t="s">
        <v>22</v>
      </c>
      <c r="G13" s="12" t="s">
        <v>23</v>
      </c>
      <c r="H13" s="11" t="s">
        <v>3</v>
      </c>
      <c r="I13" s="11" t="s">
        <v>4</v>
      </c>
      <c r="J13" s="11" t="s">
        <v>24</v>
      </c>
      <c r="K13" s="12" t="s">
        <v>25</v>
      </c>
      <c r="L13" s="13" t="s">
        <v>6</v>
      </c>
    </row>
    <row r="14" spans="2:12" hidden="1">
      <c r="E14" s="14" t="s">
        <v>8</v>
      </c>
      <c r="F14" s="15">
        <v>17</v>
      </c>
      <c r="G14" s="16">
        <v>23</v>
      </c>
      <c r="H14" s="17">
        <v>0.79</v>
      </c>
      <c r="I14" s="17">
        <f>Table138[[#This Row],[LHC]]*Table138[[#This Row],[Cars WTD (EDIT)]]</f>
        <v>18.170000000000002</v>
      </c>
      <c r="J14" s="17" cm="1">
        <f t="array" ref="J14">_xlfn.IFS(Table138[[#This Row],[Allowed Hours]]=0,0,Table138[[#This Row],[Allowed Hours]]&lt;25.3,25.3,Table138[[#This Row],[Allowed Hours]]&gt;25.3,Table138[[#This Row],[Allowed Hours]])</f>
        <v>25.3</v>
      </c>
      <c r="K14" s="18">
        <v>24.3</v>
      </c>
      <c r="L14" s="19">
        <f>K14-Table138[[#This Row],[Adj Allowed Hrs]]</f>
        <v>-1</v>
      </c>
    </row>
    <row r="15" spans="2:12" hidden="1">
      <c r="E15" s="14" t="s">
        <v>8</v>
      </c>
      <c r="F15" s="15">
        <v>22</v>
      </c>
      <c r="G15" s="16">
        <v>23</v>
      </c>
      <c r="H15" s="17">
        <v>0.79</v>
      </c>
      <c r="I15" s="17">
        <f>Table138[[#This Row],[LHC]]*Table138[[#This Row],[Cars WTD (EDIT)]]</f>
        <v>18.170000000000002</v>
      </c>
      <c r="J15" s="17" cm="1">
        <f t="array" ref="J15">_xlfn.IFS(Table138[[#This Row],[Allowed Hours]]=0,0,Table138[[#This Row],[Allowed Hours]]&lt;25.3,25.3,Table138[[#This Row],[Allowed Hours]]&gt;25.3,Table138[[#This Row],[Allowed Hours]])</f>
        <v>25.3</v>
      </c>
      <c r="K15" s="18">
        <v>43.37</v>
      </c>
      <c r="L15" s="19">
        <f>K15-Table138[[#This Row],[Adj Allowed Hrs]]</f>
        <v>18.069999999999997</v>
      </c>
    </row>
    <row r="16" spans="2:12" hidden="1">
      <c r="E16" s="14" t="s">
        <v>8</v>
      </c>
      <c r="F16" s="15">
        <v>641</v>
      </c>
      <c r="G16" s="16">
        <v>31</v>
      </c>
      <c r="H16" s="17">
        <v>0.79</v>
      </c>
      <c r="I16" s="17">
        <f>Table138[[#This Row],[LHC]]*Table138[[#This Row],[Cars WTD (EDIT)]]</f>
        <v>24.490000000000002</v>
      </c>
      <c r="J16" s="17" cm="1">
        <f t="array" ref="J16">_xlfn.IFS(Table138[[#This Row],[Allowed Hours]]=0,0,Table138[[#This Row],[Allowed Hours]]&lt;25.3,25.3,Table138[[#This Row],[Allowed Hours]]&gt;25.3,Table138[[#This Row],[Allowed Hours]])</f>
        <v>25.3</v>
      </c>
      <c r="K16" s="18">
        <v>25.14</v>
      </c>
      <c r="L16" s="19">
        <f>K16-Table138[[#This Row],[Adj Allowed Hrs]]</f>
        <v>-0.16000000000000014</v>
      </c>
    </row>
    <row r="17" spans="5:12" hidden="1">
      <c r="E17" s="14" t="s">
        <v>8</v>
      </c>
      <c r="F17" s="15">
        <v>717</v>
      </c>
      <c r="G17" s="16">
        <v>25</v>
      </c>
      <c r="H17" s="17">
        <v>0.79</v>
      </c>
      <c r="I17" s="17">
        <f>Table138[[#This Row],[LHC]]*Table138[[#This Row],[Cars WTD (EDIT)]]</f>
        <v>19.75</v>
      </c>
      <c r="J17" s="17" cm="1">
        <f t="array" ref="J17">_xlfn.IFS(Table138[[#This Row],[Allowed Hours]]=0,0,Table138[[#This Row],[Allowed Hours]]&lt;25.3,25.3,Table138[[#This Row],[Allowed Hours]]&gt;25.3,Table138[[#This Row],[Allowed Hours]])</f>
        <v>25.3</v>
      </c>
      <c r="K17" s="18">
        <v>25.84</v>
      </c>
      <c r="L17" s="19">
        <f>K17-Table138[[#This Row],[Adj Allowed Hrs]]</f>
        <v>0.53999999999999915</v>
      </c>
    </row>
    <row r="18" spans="5:12" hidden="1">
      <c r="E18" s="14" t="s">
        <v>8</v>
      </c>
      <c r="F18" s="15">
        <v>843</v>
      </c>
      <c r="G18" s="16">
        <v>6</v>
      </c>
      <c r="H18" s="17">
        <v>0.79</v>
      </c>
      <c r="I18" s="17">
        <f>Table138[[#This Row],[LHC]]*Table138[[#This Row],[Cars WTD (EDIT)]]</f>
        <v>4.74</v>
      </c>
      <c r="J18" s="17" cm="1">
        <f t="array" ref="J18">_xlfn.IFS(Table138[[#This Row],[Allowed Hours]]=0,0,Table138[[#This Row],[Allowed Hours]]&lt;25.3,25.3,Table138[[#This Row],[Allowed Hours]]&gt;25.3,Table138[[#This Row],[Allowed Hours]])</f>
        <v>25.3</v>
      </c>
      <c r="K18" s="18">
        <v>15.65</v>
      </c>
      <c r="L18" s="19">
        <f>K18-Table138[[#This Row],[Adj Allowed Hrs]]</f>
        <v>-9.65</v>
      </c>
    </row>
    <row r="19" spans="5:12" hidden="1">
      <c r="E19" s="14" t="s">
        <v>8</v>
      </c>
      <c r="F19" s="15">
        <v>881</v>
      </c>
      <c r="G19" s="16">
        <v>20</v>
      </c>
      <c r="H19" s="17">
        <v>0.79</v>
      </c>
      <c r="I19" s="17">
        <f>Table138[[#This Row],[LHC]]*Table138[[#This Row],[Cars WTD (EDIT)]]</f>
        <v>15.8</v>
      </c>
      <c r="J19" s="17" cm="1">
        <f t="array" ref="J19">_xlfn.IFS(Table138[[#This Row],[Allowed Hours]]=0,0,Table138[[#This Row],[Allowed Hours]]&lt;25.3,25.3,Table138[[#This Row],[Allowed Hours]]&gt;25.3,Table138[[#This Row],[Allowed Hours]])</f>
        <v>25.3</v>
      </c>
      <c r="K19" s="18">
        <v>19.2</v>
      </c>
      <c r="L19" s="19">
        <f>K19-Table138[[#This Row],[Adj Allowed Hrs]]</f>
        <v>-6.1000000000000014</v>
      </c>
    </row>
    <row r="20" spans="5:12" hidden="1">
      <c r="E20" s="14" t="s">
        <v>8</v>
      </c>
      <c r="F20" s="15">
        <v>953</v>
      </c>
      <c r="G20" s="16">
        <v>15</v>
      </c>
      <c r="H20" s="17">
        <v>0.79</v>
      </c>
      <c r="I20" s="17">
        <f>Table138[[#This Row],[LHC]]*Table138[[#This Row],[Cars WTD (EDIT)]]</f>
        <v>11.850000000000001</v>
      </c>
      <c r="J20" s="17" cm="1">
        <f t="array" ref="J20">_xlfn.IFS(Table138[[#This Row],[Allowed Hours]]=0,0,Table138[[#This Row],[Allowed Hours]]&lt;25.3,25.3,Table138[[#This Row],[Allowed Hours]]&gt;25.3,Table138[[#This Row],[Allowed Hours]])</f>
        <v>25.3</v>
      </c>
      <c r="K20" s="18">
        <v>18.77</v>
      </c>
      <c r="L20" s="19">
        <f>K20-Table138[[#This Row],[Adj Allowed Hrs]]</f>
        <v>-6.5300000000000011</v>
      </c>
    </row>
    <row r="21" spans="5:12" hidden="1">
      <c r="E21" s="14" t="s">
        <v>8</v>
      </c>
      <c r="F21" s="15">
        <v>3040</v>
      </c>
      <c r="G21" s="16"/>
      <c r="H21" s="17">
        <v>0.79</v>
      </c>
      <c r="I21" s="17">
        <f>Table138[[#This Row],[LHC]]*Table138[[#This Row],[Cars WTD (EDIT)]]</f>
        <v>0</v>
      </c>
      <c r="J21" s="17" cm="1">
        <f t="array" ref="J21">_xlfn.IFS(Table138[[#This Row],[Allowed Hours]]=0,0,Table138[[#This Row],[Allowed Hours]]&lt;25.3,25.3,Table138[[#This Row],[Allowed Hours]]&gt;25.3,Table138[[#This Row],[Allowed Hours]])</f>
        <v>0</v>
      </c>
      <c r="K21" s="18">
        <v>15.73</v>
      </c>
      <c r="L21" s="19">
        <f>K21-Table138[[#This Row],[Adj Allowed Hrs]]</f>
        <v>15.73</v>
      </c>
    </row>
    <row r="22" spans="5:12">
      <c r="E22" s="14" t="s">
        <v>10</v>
      </c>
      <c r="F22" s="15">
        <v>18</v>
      </c>
      <c r="G22" s="16">
        <v>34</v>
      </c>
      <c r="H22" s="17">
        <v>0.79</v>
      </c>
      <c r="I22" s="17">
        <f>Table138[[#This Row],[LHC]]*Table138[[#This Row],[Cars WTD (EDIT)]]</f>
        <v>26.86</v>
      </c>
      <c r="J22" s="17" cm="1">
        <f t="array" ref="J22">_xlfn.IFS(Table138[[#This Row],[Allowed Hours]]=0,0,Table138[[#This Row],[Allowed Hours]]&lt;25.3,25.3,Table138[[#This Row],[Allowed Hours]]&gt;25.3,Table138[[#This Row],[Allowed Hours]])</f>
        <v>26.86</v>
      </c>
      <c r="K22" s="18">
        <v>36.26</v>
      </c>
      <c r="L22" s="19">
        <f>K22-Table138[[#This Row],[Adj Allowed Hrs]]</f>
        <v>9.3999999999999986</v>
      </c>
    </row>
    <row r="23" spans="5:12">
      <c r="E23" s="14" t="s">
        <v>10</v>
      </c>
      <c r="F23" s="15">
        <v>19</v>
      </c>
      <c r="G23" s="16">
        <v>29</v>
      </c>
      <c r="H23" s="17">
        <v>0.79</v>
      </c>
      <c r="I23" s="17">
        <f>Table138[[#This Row],[LHC]]*Table138[[#This Row],[Cars WTD (EDIT)]]</f>
        <v>22.91</v>
      </c>
      <c r="J23" s="17" cm="1">
        <f t="array" ref="J23">_xlfn.IFS(Table138[[#This Row],[Allowed Hours]]=0,0,Table138[[#This Row],[Allowed Hours]]&lt;25.3,25.3,Table138[[#This Row],[Allowed Hours]]&gt;25.3,Table138[[#This Row],[Allowed Hours]])</f>
        <v>25.3</v>
      </c>
      <c r="K23" s="18">
        <v>32.01</v>
      </c>
      <c r="L23" s="19">
        <f>K23-Table138[[#This Row],[Adj Allowed Hrs]]</f>
        <v>6.7099999999999973</v>
      </c>
    </row>
    <row r="24" spans="5:12">
      <c r="E24" s="14" t="s">
        <v>10</v>
      </c>
      <c r="F24" s="15">
        <v>282</v>
      </c>
      <c r="G24" s="16">
        <v>9</v>
      </c>
      <c r="H24" s="17">
        <v>0.79</v>
      </c>
      <c r="I24" s="17">
        <f>Table138[[#This Row],[LHC]]*Table138[[#This Row],[Cars WTD (EDIT)]]</f>
        <v>7.11</v>
      </c>
      <c r="J24" s="17" cm="1">
        <f t="array" ref="J24">_xlfn.IFS(Table138[[#This Row],[Allowed Hours]]=0,0,Table138[[#This Row],[Allowed Hours]]&lt;25.3,25.3,Table138[[#This Row],[Allowed Hours]]&gt;25.3,Table138[[#This Row],[Allowed Hours]])</f>
        <v>25.3</v>
      </c>
      <c r="K24" s="18">
        <v>17.86</v>
      </c>
      <c r="L24" s="19">
        <f>K24-Table138[[#This Row],[Adj Allowed Hrs]]</f>
        <v>-7.4400000000000013</v>
      </c>
    </row>
    <row r="25" spans="5:12">
      <c r="E25" s="14" t="s">
        <v>10</v>
      </c>
      <c r="F25" s="15">
        <v>447</v>
      </c>
      <c r="G25" s="16">
        <v>22</v>
      </c>
      <c r="H25" s="17">
        <v>0.79</v>
      </c>
      <c r="I25" s="17">
        <f>Table138[[#This Row],[LHC]]*Table138[[#This Row],[Cars WTD (EDIT)]]</f>
        <v>17.380000000000003</v>
      </c>
      <c r="J25" s="17" cm="1">
        <f t="array" ref="J25">_xlfn.IFS(Table138[[#This Row],[Allowed Hours]]=0,0,Table138[[#This Row],[Allowed Hours]]&lt;25.3,25.3,Table138[[#This Row],[Allowed Hours]]&gt;25.3,Table138[[#This Row],[Allowed Hours]])</f>
        <v>25.3</v>
      </c>
      <c r="K25" s="18">
        <v>32.979999999999997</v>
      </c>
      <c r="L25" s="19">
        <f>K25-Table138[[#This Row],[Adj Allowed Hrs]]</f>
        <v>7.6799999999999962</v>
      </c>
    </row>
    <row r="26" spans="5:12">
      <c r="E26" s="14" t="s">
        <v>10</v>
      </c>
      <c r="F26" s="15">
        <v>448</v>
      </c>
      <c r="G26" s="16">
        <v>28</v>
      </c>
      <c r="H26" s="17">
        <v>0.79</v>
      </c>
      <c r="I26" s="17">
        <f>Table138[[#This Row],[LHC]]*Table138[[#This Row],[Cars WTD (EDIT)]]</f>
        <v>22.12</v>
      </c>
      <c r="J26" s="17" cm="1">
        <f t="array" ref="J26">_xlfn.IFS(Table138[[#This Row],[Allowed Hours]]=0,0,Table138[[#This Row],[Allowed Hours]]&lt;25.3,25.3,Table138[[#This Row],[Allowed Hours]]&gt;25.3,Table138[[#This Row],[Allowed Hours]])</f>
        <v>25.3</v>
      </c>
      <c r="K26" s="18">
        <v>35.82</v>
      </c>
      <c r="L26" s="19">
        <f>K26-Table138[[#This Row],[Adj Allowed Hrs]]</f>
        <v>10.52</v>
      </c>
    </row>
    <row r="27" spans="5:12">
      <c r="E27" s="14" t="s">
        <v>10</v>
      </c>
      <c r="F27" s="15">
        <v>531</v>
      </c>
      <c r="G27" s="16">
        <v>13</v>
      </c>
      <c r="H27" s="17">
        <v>0.79</v>
      </c>
      <c r="I27" s="17">
        <f>Table138[[#This Row],[LHC]]*Table138[[#This Row],[Cars WTD (EDIT)]]</f>
        <v>10.27</v>
      </c>
      <c r="J27" s="17" cm="1">
        <f t="array" ref="J27">_xlfn.IFS(Table138[[#This Row],[Allowed Hours]]=0,0,Table138[[#This Row],[Allowed Hours]]&lt;25.3,25.3,Table138[[#This Row],[Allowed Hours]]&gt;25.3,Table138[[#This Row],[Allowed Hours]])</f>
        <v>25.3</v>
      </c>
      <c r="K27" s="18">
        <v>33.71</v>
      </c>
      <c r="L27" s="19">
        <f>K27-Table138[[#This Row],[Adj Allowed Hrs]]</f>
        <v>8.41</v>
      </c>
    </row>
    <row r="28" spans="5:12">
      <c r="E28" s="14" t="s">
        <v>10</v>
      </c>
      <c r="F28" s="15">
        <v>832</v>
      </c>
      <c r="G28" s="16">
        <v>30</v>
      </c>
      <c r="H28" s="17">
        <v>0.79</v>
      </c>
      <c r="I28" s="17">
        <f>Table138[[#This Row],[LHC]]*Table138[[#This Row],[Cars WTD (EDIT)]]</f>
        <v>23.700000000000003</v>
      </c>
      <c r="J28" s="17" cm="1">
        <f t="array" ref="J28">_xlfn.IFS(Table138[[#This Row],[Allowed Hours]]=0,0,Table138[[#This Row],[Allowed Hours]]&lt;25.3,25.3,Table138[[#This Row],[Allowed Hours]]&gt;25.3,Table138[[#This Row],[Allowed Hours]])</f>
        <v>25.3</v>
      </c>
      <c r="K28" s="18">
        <v>23.14</v>
      </c>
      <c r="L28" s="19">
        <f>K28-Table138[[#This Row],[Adj Allowed Hrs]]</f>
        <v>-2.16</v>
      </c>
    </row>
    <row r="29" spans="5:12" hidden="1">
      <c r="E29" s="14" t="s">
        <v>12</v>
      </c>
      <c r="F29" s="15">
        <v>3</v>
      </c>
      <c r="G29" s="16">
        <v>26</v>
      </c>
      <c r="H29" s="17">
        <v>0.79</v>
      </c>
      <c r="I29" s="17">
        <f>Table138[[#This Row],[LHC]]*Table138[[#This Row],[Cars WTD (EDIT)]]</f>
        <v>20.54</v>
      </c>
      <c r="J29" s="17" cm="1">
        <f t="array" ref="J29">_xlfn.IFS(Table138[[#This Row],[Allowed Hours]]=0,0,Table138[[#This Row],[Allowed Hours]]&lt;25.3,25.3,Table138[[#This Row],[Allowed Hours]]&gt;25.3,Table138[[#This Row],[Allowed Hours]])</f>
        <v>25.3</v>
      </c>
      <c r="K29" s="18">
        <v>19</v>
      </c>
      <c r="L29" s="19">
        <f>K29-Table138[[#This Row],[Adj Allowed Hrs]]</f>
        <v>-6.3000000000000007</v>
      </c>
    </row>
    <row r="30" spans="5:12" hidden="1">
      <c r="E30" s="14" t="s">
        <v>12</v>
      </c>
      <c r="F30" s="15">
        <v>5</v>
      </c>
      <c r="G30" s="16">
        <v>41</v>
      </c>
      <c r="H30" s="17">
        <v>0.79</v>
      </c>
      <c r="I30" s="17">
        <f>Table138[[#This Row],[LHC]]*Table138[[#This Row],[Cars WTD (EDIT)]]</f>
        <v>32.39</v>
      </c>
      <c r="J30" s="17" cm="1">
        <f t="array" ref="J30">_xlfn.IFS(Table138[[#This Row],[Allowed Hours]]=0,0,Table138[[#This Row],[Allowed Hours]]&lt;25.3,25.3,Table138[[#This Row],[Allowed Hours]]&gt;25.3,Table138[[#This Row],[Allowed Hours]])</f>
        <v>32.39</v>
      </c>
      <c r="K30" s="18">
        <v>34</v>
      </c>
      <c r="L30" s="19">
        <f>K30-Table138[[#This Row],[Adj Allowed Hrs]]</f>
        <v>1.6099999999999994</v>
      </c>
    </row>
    <row r="31" spans="5:12" hidden="1">
      <c r="E31" s="14" t="s">
        <v>12</v>
      </c>
      <c r="F31" s="15">
        <v>11</v>
      </c>
      <c r="G31" s="16">
        <v>19</v>
      </c>
      <c r="H31" s="17">
        <v>0.79</v>
      </c>
      <c r="I31" s="17">
        <f>Table138[[#This Row],[LHC]]*Table138[[#This Row],[Cars WTD (EDIT)]]</f>
        <v>15.010000000000002</v>
      </c>
      <c r="J31" s="17" cm="1">
        <f t="array" ref="J31">_xlfn.IFS(Table138[[#This Row],[Allowed Hours]]=0,0,Table138[[#This Row],[Allowed Hours]]&lt;25.3,25.3,Table138[[#This Row],[Allowed Hours]]&gt;25.3,Table138[[#This Row],[Allowed Hours]])</f>
        <v>25.3</v>
      </c>
      <c r="K31" s="18">
        <v>27</v>
      </c>
      <c r="L31" s="19">
        <f>K31-Table138[[#This Row],[Adj Allowed Hrs]]</f>
        <v>1.6999999999999993</v>
      </c>
    </row>
    <row r="32" spans="5:12" hidden="1">
      <c r="E32" s="14" t="s">
        <v>12</v>
      </c>
      <c r="F32" s="15">
        <v>14</v>
      </c>
      <c r="G32" s="16">
        <v>16</v>
      </c>
      <c r="H32" s="17">
        <v>0.79</v>
      </c>
      <c r="I32" s="17">
        <f>Table138[[#This Row],[LHC]]*Table138[[#This Row],[Cars WTD (EDIT)]]</f>
        <v>12.64</v>
      </c>
      <c r="J32" s="17" cm="1">
        <f t="array" ref="J32">_xlfn.IFS(Table138[[#This Row],[Allowed Hours]]=0,0,Table138[[#This Row],[Allowed Hours]]&lt;25.3,25.3,Table138[[#This Row],[Allowed Hours]]&gt;25.3,Table138[[#This Row],[Allowed Hours]])</f>
        <v>25.3</v>
      </c>
      <c r="K32" s="18">
        <v>18</v>
      </c>
      <c r="L32" s="19">
        <f>K32-Table138[[#This Row],[Adj Allowed Hrs]]</f>
        <v>-7.3000000000000007</v>
      </c>
    </row>
    <row r="33" spans="5:12" hidden="1">
      <c r="E33" s="14" t="s">
        <v>12</v>
      </c>
      <c r="F33" s="15">
        <v>20</v>
      </c>
      <c r="G33" s="16">
        <v>36</v>
      </c>
      <c r="H33" s="17">
        <v>0.79</v>
      </c>
      <c r="I33" s="17">
        <f>Table138[[#This Row],[LHC]]*Table138[[#This Row],[Cars WTD (EDIT)]]</f>
        <v>28.44</v>
      </c>
      <c r="J33" s="17" cm="1">
        <f t="array" ref="J33">_xlfn.IFS(Table138[[#This Row],[Allowed Hours]]=0,0,Table138[[#This Row],[Allowed Hours]]&lt;25.3,25.3,Table138[[#This Row],[Allowed Hours]]&gt;25.3,Table138[[#This Row],[Allowed Hours]])</f>
        <v>28.44</v>
      </c>
      <c r="K33" s="18">
        <v>25</v>
      </c>
      <c r="L33" s="19">
        <f>K33-Table138[[#This Row],[Adj Allowed Hrs]]</f>
        <v>-3.4400000000000013</v>
      </c>
    </row>
    <row r="34" spans="5:12" hidden="1">
      <c r="E34" s="14" t="s">
        <v>12</v>
      </c>
      <c r="F34" s="15">
        <v>21</v>
      </c>
      <c r="G34" s="16">
        <v>75</v>
      </c>
      <c r="H34" s="17">
        <v>0.79</v>
      </c>
      <c r="I34" s="17">
        <f>Table138[[#This Row],[LHC]]*Table138[[#This Row],[Cars WTD (EDIT)]]</f>
        <v>59.25</v>
      </c>
      <c r="J34" s="17" cm="1">
        <f t="array" ref="J34">_xlfn.IFS(Table138[[#This Row],[Allowed Hours]]=0,0,Table138[[#This Row],[Allowed Hours]]&lt;25.3,25.3,Table138[[#This Row],[Allowed Hours]]&gt;25.3,Table138[[#This Row],[Allowed Hours]])</f>
        <v>59.25</v>
      </c>
      <c r="K34" s="18">
        <v>51</v>
      </c>
      <c r="L34" s="19">
        <f>K34-Table138[[#This Row],[Adj Allowed Hrs]]</f>
        <v>-8.25</v>
      </c>
    </row>
    <row r="35" spans="5:12" hidden="1">
      <c r="E35" s="14" t="s">
        <v>12</v>
      </c>
      <c r="F35" s="15">
        <v>23</v>
      </c>
      <c r="G35" s="16">
        <v>38</v>
      </c>
      <c r="H35" s="17">
        <v>0.79</v>
      </c>
      <c r="I35" s="17">
        <f>Table138[[#This Row],[LHC]]*Table138[[#This Row],[Cars WTD (EDIT)]]</f>
        <v>30.020000000000003</v>
      </c>
      <c r="J35" s="17" cm="1">
        <f t="array" ref="J35">_xlfn.IFS(Table138[[#This Row],[Allowed Hours]]=0,0,Table138[[#This Row],[Allowed Hours]]&lt;25.3,25.3,Table138[[#This Row],[Allowed Hours]]&gt;25.3,Table138[[#This Row],[Allowed Hours]])</f>
        <v>30.020000000000003</v>
      </c>
      <c r="K35" s="18">
        <v>28</v>
      </c>
      <c r="L35" s="19">
        <f>K35-Table138[[#This Row],[Adj Allowed Hrs]]</f>
        <v>-2.0200000000000031</v>
      </c>
    </row>
    <row r="36" spans="5:12" hidden="1">
      <c r="E36" s="14" t="s">
        <v>12</v>
      </c>
      <c r="F36" s="15">
        <v>24</v>
      </c>
      <c r="G36" s="16">
        <v>47</v>
      </c>
      <c r="H36" s="17">
        <v>0.79</v>
      </c>
      <c r="I36" s="17">
        <f>Table138[[#This Row],[LHC]]*Table138[[#This Row],[Cars WTD (EDIT)]]</f>
        <v>37.130000000000003</v>
      </c>
      <c r="J36" s="17" cm="1">
        <f t="array" ref="J36">_xlfn.IFS(Table138[[#This Row],[Allowed Hours]]=0,0,Table138[[#This Row],[Allowed Hours]]&lt;25.3,25.3,Table138[[#This Row],[Allowed Hours]]&gt;25.3,Table138[[#This Row],[Allowed Hours]])</f>
        <v>37.130000000000003</v>
      </c>
      <c r="K36" s="18">
        <v>46</v>
      </c>
      <c r="L36" s="19">
        <f>K36-Table138[[#This Row],[Adj Allowed Hrs]]</f>
        <v>8.8699999999999974</v>
      </c>
    </row>
    <row r="37" spans="5:12" hidden="1">
      <c r="E37" s="14" t="s">
        <v>12</v>
      </c>
      <c r="F37" s="15">
        <v>26</v>
      </c>
      <c r="G37" s="16">
        <v>23</v>
      </c>
      <c r="H37" s="17">
        <v>0.79</v>
      </c>
      <c r="I37" s="17">
        <f>Table138[[#This Row],[LHC]]*Table138[[#This Row],[Cars WTD (EDIT)]]</f>
        <v>18.170000000000002</v>
      </c>
      <c r="J37" s="17" cm="1">
        <f t="array" ref="J37">_xlfn.IFS(Table138[[#This Row],[Allowed Hours]]=0,0,Table138[[#This Row],[Allowed Hours]]&lt;25.3,25.3,Table138[[#This Row],[Allowed Hours]]&gt;25.3,Table138[[#This Row],[Allowed Hours]])</f>
        <v>25.3</v>
      </c>
      <c r="K37" s="18">
        <v>20</v>
      </c>
      <c r="L37" s="19">
        <f>K37-Table138[[#This Row],[Adj Allowed Hrs]]</f>
        <v>-5.3000000000000007</v>
      </c>
    </row>
    <row r="38" spans="5:12" hidden="1">
      <c r="E38" s="14" t="s">
        <v>14</v>
      </c>
      <c r="F38" s="15">
        <v>29</v>
      </c>
      <c r="G38" s="16">
        <v>52</v>
      </c>
      <c r="H38" s="17">
        <v>0.79</v>
      </c>
      <c r="I38" s="17">
        <f>Table138[[#This Row],[LHC]]*Table138[[#This Row],[Cars WTD (EDIT)]]</f>
        <v>41.08</v>
      </c>
      <c r="J38" s="17" cm="1">
        <f t="array" ref="J38">_xlfn.IFS(Table138[[#This Row],[Allowed Hours]]=0,0,Table138[[#This Row],[Allowed Hours]]&lt;25.3,25.3,Table138[[#This Row],[Allowed Hours]]&gt;25.3,Table138[[#This Row],[Allowed Hours]])</f>
        <v>41.08</v>
      </c>
      <c r="K38" s="18">
        <v>43.36</v>
      </c>
      <c r="L38" s="19">
        <f>K38-Table138[[#This Row],[Adj Allowed Hrs]]</f>
        <v>2.2800000000000011</v>
      </c>
    </row>
    <row r="39" spans="5:12" hidden="1">
      <c r="E39" s="14" t="s">
        <v>14</v>
      </c>
      <c r="F39" s="15">
        <v>40</v>
      </c>
      <c r="G39" s="16">
        <v>26</v>
      </c>
      <c r="H39" s="17">
        <v>0.79</v>
      </c>
      <c r="I39" s="17">
        <f>Table138[[#This Row],[LHC]]*Table138[[#This Row],[Cars WTD (EDIT)]]</f>
        <v>20.54</v>
      </c>
      <c r="J39" s="17" cm="1">
        <f t="array" ref="J39">_xlfn.IFS(Table138[[#This Row],[Allowed Hours]]=0,0,Table138[[#This Row],[Allowed Hours]]&lt;25.3,25.3,Table138[[#This Row],[Allowed Hours]]&gt;25.3,Table138[[#This Row],[Allowed Hours]])</f>
        <v>25.3</v>
      </c>
      <c r="K39" s="18">
        <v>33.26</v>
      </c>
      <c r="L39" s="19">
        <f>K39-Table138[[#This Row],[Adj Allowed Hrs]]</f>
        <v>7.9599999999999973</v>
      </c>
    </row>
    <row r="40" spans="5:12" hidden="1">
      <c r="E40" s="14" t="s">
        <v>14</v>
      </c>
      <c r="F40" s="15">
        <v>280</v>
      </c>
      <c r="G40" s="16">
        <v>17</v>
      </c>
      <c r="H40" s="17">
        <v>0.79</v>
      </c>
      <c r="I40" s="17">
        <f>Table138[[#This Row],[LHC]]*Table138[[#This Row],[Cars WTD (EDIT)]]</f>
        <v>13.43</v>
      </c>
      <c r="J40" s="17" cm="1">
        <f t="array" ref="J40">_xlfn.IFS(Table138[[#This Row],[Allowed Hours]]=0,0,Table138[[#This Row],[Allowed Hours]]&lt;25.3,25.3,Table138[[#This Row],[Allowed Hours]]&gt;25.3,Table138[[#This Row],[Allowed Hours]])</f>
        <v>25.3</v>
      </c>
      <c r="K40" s="18">
        <v>15.51</v>
      </c>
      <c r="L40" s="19">
        <f>K40-Table138[[#This Row],[Adj Allowed Hrs]]</f>
        <v>-9.7900000000000009</v>
      </c>
    </row>
    <row r="41" spans="5:12" hidden="1">
      <c r="E41" s="14" t="s">
        <v>14</v>
      </c>
      <c r="F41" s="15">
        <v>599</v>
      </c>
      <c r="G41" s="16">
        <v>26</v>
      </c>
      <c r="H41" s="17">
        <v>0.79</v>
      </c>
      <c r="I41" s="17">
        <f>Table138[[#This Row],[LHC]]*Table138[[#This Row],[Cars WTD (EDIT)]]</f>
        <v>20.54</v>
      </c>
      <c r="J41" s="17" cm="1">
        <f t="array" ref="J41">_xlfn.IFS(Table138[[#This Row],[Allowed Hours]]=0,0,Table138[[#This Row],[Allowed Hours]]&lt;25.3,25.3,Table138[[#This Row],[Allowed Hours]]&gt;25.3,Table138[[#This Row],[Allowed Hours]])</f>
        <v>25.3</v>
      </c>
      <c r="K41" s="18">
        <v>21.39</v>
      </c>
      <c r="L41" s="19">
        <f>K41-Table138[[#This Row],[Adj Allowed Hrs]]</f>
        <v>-3.91</v>
      </c>
    </row>
    <row r="42" spans="5:12" hidden="1">
      <c r="E42" s="14" t="s">
        <v>14</v>
      </c>
      <c r="F42" s="15">
        <v>720</v>
      </c>
      <c r="G42" s="16">
        <v>19</v>
      </c>
      <c r="H42" s="17">
        <v>0.79</v>
      </c>
      <c r="I42" s="17">
        <f>Table138[[#This Row],[LHC]]*Table138[[#This Row],[Cars WTD (EDIT)]]</f>
        <v>15.010000000000002</v>
      </c>
      <c r="J42" s="17" cm="1">
        <f t="array" ref="J42">_xlfn.IFS(Table138[[#This Row],[Allowed Hours]]=0,0,Table138[[#This Row],[Allowed Hours]]&lt;25.3,25.3,Table138[[#This Row],[Allowed Hours]]&gt;25.3,Table138[[#This Row],[Allowed Hours]])</f>
        <v>25.3</v>
      </c>
      <c r="K42" s="18">
        <v>18.63</v>
      </c>
      <c r="L42" s="19">
        <f>K42-Table138[[#This Row],[Adj Allowed Hrs]]</f>
        <v>-6.6700000000000017</v>
      </c>
    </row>
    <row r="43" spans="5:12" hidden="1">
      <c r="E43" s="14" t="s">
        <v>14</v>
      </c>
      <c r="F43" s="15">
        <v>728</v>
      </c>
      <c r="G43" s="16">
        <v>17</v>
      </c>
      <c r="H43" s="17">
        <v>0.79</v>
      </c>
      <c r="I43" s="17">
        <f>Table138[[#This Row],[LHC]]*Table138[[#This Row],[Cars WTD (EDIT)]]</f>
        <v>13.43</v>
      </c>
      <c r="J43" s="17" cm="1">
        <f t="array" ref="J43">_xlfn.IFS(Table138[[#This Row],[Allowed Hours]]=0,0,Table138[[#This Row],[Allowed Hours]]&lt;25.3,25.3,Table138[[#This Row],[Allowed Hours]]&gt;25.3,Table138[[#This Row],[Allowed Hours]])</f>
        <v>25.3</v>
      </c>
      <c r="K43" s="18">
        <v>26.27</v>
      </c>
      <c r="L43" s="19">
        <f>K43-Table138[[#This Row],[Adj Allowed Hrs]]</f>
        <v>0.96999999999999886</v>
      </c>
    </row>
    <row r="44" spans="5:12" hidden="1">
      <c r="E44" s="14" t="s">
        <v>14</v>
      </c>
      <c r="F44" s="15">
        <v>830</v>
      </c>
      <c r="G44" s="16">
        <v>12</v>
      </c>
      <c r="H44" s="17">
        <v>0.79</v>
      </c>
      <c r="I44" s="17">
        <f>Table138[[#This Row],[LHC]]*Table138[[#This Row],[Cars WTD (EDIT)]]</f>
        <v>9.48</v>
      </c>
      <c r="J44" s="17" cm="1">
        <f t="array" ref="J44">_xlfn.IFS(Table138[[#This Row],[Allowed Hours]]=0,0,Table138[[#This Row],[Allowed Hours]]&lt;25.3,25.3,Table138[[#This Row],[Allowed Hours]]&gt;25.3,Table138[[#This Row],[Allowed Hours]])</f>
        <v>25.3</v>
      </c>
      <c r="K44" s="18">
        <v>26.5</v>
      </c>
      <c r="L44" s="19">
        <f>K44-Table138[[#This Row],[Adj Allowed Hrs]]</f>
        <v>1.1999999999999993</v>
      </c>
    </row>
    <row r="45" spans="5:12" hidden="1">
      <c r="E45" s="14" t="s">
        <v>14</v>
      </c>
      <c r="F45" s="15">
        <v>975</v>
      </c>
      <c r="G45" s="16">
        <v>8</v>
      </c>
      <c r="H45" s="17">
        <v>0.79</v>
      </c>
      <c r="I45" s="17">
        <f>Table138[[#This Row],[LHC]]*Table138[[#This Row],[Cars WTD (EDIT)]]</f>
        <v>6.32</v>
      </c>
      <c r="J45" s="17" cm="1">
        <f t="array" ref="J45">_xlfn.IFS(Table138[[#This Row],[Allowed Hours]]=0,0,Table138[[#This Row],[Allowed Hours]]&lt;25.3,25.3,Table138[[#This Row],[Allowed Hours]]&gt;25.3,Table138[[#This Row],[Allowed Hours]])</f>
        <v>25.3</v>
      </c>
      <c r="K45" s="18">
        <v>21.29</v>
      </c>
      <c r="L45" s="19">
        <f>K45-Table138[[#This Row],[Adj Allowed Hrs]]</f>
        <v>-4.0100000000000016</v>
      </c>
    </row>
    <row r="46" spans="5:12" hidden="1">
      <c r="E46" s="14" t="s">
        <v>16</v>
      </c>
      <c r="F46" s="15">
        <v>46</v>
      </c>
      <c r="G46" s="16">
        <v>36</v>
      </c>
      <c r="H46" s="17">
        <v>0.79</v>
      </c>
      <c r="I46" s="17">
        <f>Table138[[#This Row],[LHC]]*Table138[[#This Row],[Cars WTD (EDIT)]]</f>
        <v>28.44</v>
      </c>
      <c r="J46" s="17" cm="1">
        <f t="array" ref="J46">_xlfn.IFS(Table138[[#This Row],[Allowed Hours]]=0,0,Table138[[#This Row],[Allowed Hours]]&lt;25.3,25.3,Table138[[#This Row],[Allowed Hours]]&gt;25.3,Table138[[#This Row],[Allowed Hours]])</f>
        <v>28.44</v>
      </c>
      <c r="K46" s="18">
        <v>28.5</v>
      </c>
      <c r="L46" s="19">
        <f>K46-Table138[[#This Row],[Adj Allowed Hrs]]</f>
        <v>5.9999999999998721E-2</v>
      </c>
    </row>
    <row r="47" spans="5:12" hidden="1">
      <c r="E47" s="14" t="s">
        <v>16</v>
      </c>
      <c r="F47" s="15">
        <v>283</v>
      </c>
      <c r="G47" s="16">
        <v>29</v>
      </c>
      <c r="H47" s="17">
        <v>0.79</v>
      </c>
      <c r="I47" s="17">
        <f>Table138[[#This Row],[LHC]]*Table138[[#This Row],[Cars WTD (EDIT)]]</f>
        <v>22.91</v>
      </c>
      <c r="J47" s="17" cm="1">
        <f t="array" ref="J47">_xlfn.IFS(Table138[[#This Row],[Allowed Hours]]=0,0,Table138[[#This Row],[Allowed Hours]]&lt;25.3,25.3,Table138[[#This Row],[Allowed Hours]]&gt;25.3,Table138[[#This Row],[Allowed Hours]])</f>
        <v>25.3</v>
      </c>
      <c r="K47" s="18">
        <v>24.2</v>
      </c>
      <c r="L47" s="19">
        <f>K47-Table138[[#This Row],[Adj Allowed Hrs]]</f>
        <v>-1.1000000000000014</v>
      </c>
    </row>
    <row r="48" spans="5:12" hidden="1">
      <c r="E48" s="14" t="s">
        <v>16</v>
      </c>
      <c r="F48" s="15">
        <v>847</v>
      </c>
      <c r="G48" s="16">
        <v>22</v>
      </c>
      <c r="H48" s="17">
        <v>0.79</v>
      </c>
      <c r="I48" s="17">
        <f>Table138[[#This Row],[LHC]]*Table138[[#This Row],[Cars WTD (EDIT)]]</f>
        <v>17.380000000000003</v>
      </c>
      <c r="J48" s="17" cm="1">
        <f t="array" ref="J48">_xlfn.IFS(Table138[[#This Row],[Allowed Hours]]=0,0,Table138[[#This Row],[Allowed Hours]]&lt;25.3,25.3,Table138[[#This Row],[Allowed Hours]]&gt;25.3,Table138[[#This Row],[Allowed Hours]])</f>
        <v>25.3</v>
      </c>
      <c r="K48" s="18">
        <v>27.95</v>
      </c>
      <c r="L48" s="19">
        <f>K48-Table138[[#This Row],[Adj Allowed Hrs]]</f>
        <v>2.6499999999999986</v>
      </c>
    </row>
    <row r="49" spans="5:12" hidden="1">
      <c r="E49" s="14" t="s">
        <v>16</v>
      </c>
      <c r="F49" s="15">
        <v>865</v>
      </c>
      <c r="G49" s="16">
        <v>22</v>
      </c>
      <c r="H49" s="17">
        <v>0.79</v>
      </c>
      <c r="I49" s="17">
        <f>Table138[[#This Row],[LHC]]*Table138[[#This Row],[Cars WTD (EDIT)]]</f>
        <v>17.380000000000003</v>
      </c>
      <c r="J49" s="17" cm="1">
        <f t="array" ref="J49">_xlfn.IFS(Table138[[#This Row],[Allowed Hours]]=0,0,Table138[[#This Row],[Allowed Hours]]&lt;25.3,25.3,Table138[[#This Row],[Allowed Hours]]&gt;25.3,Table138[[#This Row],[Allowed Hours]])</f>
        <v>25.3</v>
      </c>
      <c r="K49" s="18">
        <v>23.51</v>
      </c>
      <c r="L49" s="19">
        <f>K49-Table138[[#This Row],[Adj Allowed Hrs]]</f>
        <v>-1.7899999999999991</v>
      </c>
    </row>
    <row r="50" spans="5:12" hidden="1">
      <c r="E50" s="14" t="s">
        <v>16</v>
      </c>
      <c r="F50" s="15">
        <v>919</v>
      </c>
      <c r="G50" s="16">
        <v>23</v>
      </c>
      <c r="H50" s="17">
        <v>0.79</v>
      </c>
      <c r="I50" s="17">
        <f>Table138[[#This Row],[LHC]]*Table138[[#This Row],[Cars WTD (EDIT)]]</f>
        <v>18.170000000000002</v>
      </c>
      <c r="J50" s="17" cm="1">
        <f t="array" ref="J50">_xlfn.IFS(Table138[[#This Row],[Allowed Hours]]=0,0,Table138[[#This Row],[Allowed Hours]]&lt;25.3,25.3,Table138[[#This Row],[Allowed Hours]]&gt;25.3,Table138[[#This Row],[Allowed Hours]])</f>
        <v>25.3</v>
      </c>
      <c r="K50" s="18">
        <v>32.93</v>
      </c>
      <c r="L50" s="19">
        <f>K50-Table138[[#This Row],[Adj Allowed Hrs]]</f>
        <v>7.629999999999999</v>
      </c>
    </row>
    <row r="51" spans="5:12" hidden="1">
      <c r="E51" s="14" t="s">
        <v>16</v>
      </c>
      <c r="F51" s="15">
        <v>954</v>
      </c>
      <c r="G51" s="16">
        <v>20</v>
      </c>
      <c r="H51" s="17">
        <v>0.79</v>
      </c>
      <c r="I51" s="17">
        <f>Table138[[#This Row],[LHC]]*Table138[[#This Row],[Cars WTD (EDIT)]]</f>
        <v>15.8</v>
      </c>
      <c r="J51" s="17" cm="1">
        <f t="array" ref="J51">_xlfn.IFS(Table138[[#This Row],[Allowed Hours]]=0,0,Table138[[#This Row],[Allowed Hours]]&lt;25.3,25.3,Table138[[#This Row],[Allowed Hours]]&gt;25.3,Table138[[#This Row],[Allowed Hours]])</f>
        <v>25.3</v>
      </c>
      <c r="K51" s="18">
        <v>21.85</v>
      </c>
      <c r="L51" s="19">
        <f>K51-Table138[[#This Row],[Adj Allowed Hrs]]</f>
        <v>-3.4499999999999993</v>
      </c>
    </row>
    <row r="52" spans="5:12" hidden="1">
      <c r="E52" s="14" t="s">
        <v>16</v>
      </c>
      <c r="F52" s="15">
        <v>3017</v>
      </c>
      <c r="G52" s="16">
        <v>8</v>
      </c>
      <c r="H52" s="17">
        <v>0.79</v>
      </c>
      <c r="I52" s="17">
        <f>Table138[[#This Row],[LHC]]*Table138[[#This Row],[Cars WTD (EDIT)]]</f>
        <v>6.32</v>
      </c>
      <c r="J52" s="17" cm="1">
        <f t="array" ref="J52">_xlfn.IFS(Table138[[#This Row],[Allowed Hours]]=0,0,Table138[[#This Row],[Allowed Hours]]&lt;25.3,25.3,Table138[[#This Row],[Allowed Hours]]&gt;25.3,Table138[[#This Row],[Allowed Hours]])</f>
        <v>25.3</v>
      </c>
      <c r="K52" s="18">
        <v>19.75</v>
      </c>
      <c r="L52" s="19">
        <f>K52-Table138[[#This Row],[Adj Allowed Hrs]]</f>
        <v>-5.5500000000000007</v>
      </c>
    </row>
    <row r="53" spans="5:12" hidden="1">
      <c r="E53" s="14" t="s">
        <v>26</v>
      </c>
      <c r="F53" s="15">
        <v>1</v>
      </c>
      <c r="G53" s="16">
        <v>34</v>
      </c>
      <c r="H53" s="17">
        <v>0.79</v>
      </c>
      <c r="I53" s="17">
        <f>Table138[[#This Row],[LHC]]*Table138[[#This Row],[Cars WTD (EDIT)]]</f>
        <v>26.86</v>
      </c>
      <c r="J53" s="17" cm="1">
        <f t="array" ref="J53">_xlfn.IFS(Table138[[#This Row],[Allowed Hours]]=0,0,Table138[[#This Row],[Allowed Hours]]&lt;25.3,25.3,Table138[[#This Row],[Allowed Hours]]&gt;25.3,Table138[[#This Row],[Allowed Hours]])</f>
        <v>26.86</v>
      </c>
      <c r="K53" s="18">
        <v>37.700000000000003</v>
      </c>
      <c r="L53" s="19">
        <f>K53-Table138[[#This Row],[Adj Allowed Hrs]]</f>
        <v>10.840000000000003</v>
      </c>
    </row>
    <row r="54" spans="5:12" hidden="1">
      <c r="E54" s="14" t="s">
        <v>26</v>
      </c>
      <c r="F54" s="15">
        <v>2</v>
      </c>
      <c r="G54" s="16">
        <v>39</v>
      </c>
      <c r="H54" s="17">
        <v>0.79</v>
      </c>
      <c r="I54" s="17">
        <f>Table138[[#This Row],[LHC]]*Table138[[#This Row],[Cars WTD (EDIT)]]</f>
        <v>30.810000000000002</v>
      </c>
      <c r="J54" s="17" cm="1">
        <f t="array" ref="J54">_xlfn.IFS(Table138[[#This Row],[Allowed Hours]]=0,0,Table138[[#This Row],[Allowed Hours]]&lt;25.3,25.3,Table138[[#This Row],[Allowed Hours]]&gt;25.3,Table138[[#This Row],[Allowed Hours]])</f>
        <v>30.810000000000002</v>
      </c>
      <c r="K54" s="18">
        <v>32.630000000000003</v>
      </c>
      <c r="L54" s="19">
        <f>K54-Table138[[#This Row],[Adj Allowed Hrs]]</f>
        <v>1.8200000000000003</v>
      </c>
    </row>
    <row r="55" spans="5:12" hidden="1">
      <c r="E55" s="14" t="s">
        <v>26</v>
      </c>
      <c r="F55" s="15">
        <v>4</v>
      </c>
      <c r="G55" s="16">
        <v>49</v>
      </c>
      <c r="H55" s="17">
        <v>0.79</v>
      </c>
      <c r="I55" s="17">
        <f>Table138[[#This Row],[LHC]]*Table138[[#This Row],[Cars WTD (EDIT)]]</f>
        <v>38.71</v>
      </c>
      <c r="J55" s="17" cm="1">
        <f t="array" ref="J55">_xlfn.IFS(Table138[[#This Row],[Allowed Hours]]=0,0,Table138[[#This Row],[Allowed Hours]]&lt;25.3,25.3,Table138[[#This Row],[Allowed Hours]]&gt;25.3,Table138[[#This Row],[Allowed Hours]])</f>
        <v>38.71</v>
      </c>
      <c r="K55" s="18">
        <v>38.880000000000003</v>
      </c>
      <c r="L55" s="19">
        <f>K55-Table138[[#This Row],[Adj Allowed Hrs]]</f>
        <v>0.17000000000000171</v>
      </c>
    </row>
    <row r="56" spans="5:12" hidden="1">
      <c r="E56" s="14" t="s">
        <v>26</v>
      </c>
      <c r="F56" s="15">
        <v>6</v>
      </c>
      <c r="G56" s="16">
        <v>41</v>
      </c>
      <c r="H56" s="17">
        <v>0.79</v>
      </c>
      <c r="I56" s="17">
        <f>Table138[[#This Row],[LHC]]*Table138[[#This Row],[Cars WTD (EDIT)]]</f>
        <v>32.39</v>
      </c>
      <c r="J56" s="17" cm="1">
        <f t="array" ref="J56">_xlfn.IFS(Table138[[#This Row],[Allowed Hours]]=0,0,Table138[[#This Row],[Allowed Hours]]&lt;25.3,25.3,Table138[[#This Row],[Allowed Hours]]&gt;25.3,Table138[[#This Row],[Allowed Hours]])</f>
        <v>32.39</v>
      </c>
      <c r="K56" s="18">
        <v>27.62</v>
      </c>
      <c r="L56" s="19">
        <f>K56-Table138[[#This Row],[Adj Allowed Hrs]]</f>
        <v>-4.7699999999999996</v>
      </c>
    </row>
    <row r="57" spans="5:12" hidden="1">
      <c r="E57" s="14" t="s">
        <v>26</v>
      </c>
      <c r="F57" s="15">
        <v>15</v>
      </c>
      <c r="G57" s="16">
        <v>51</v>
      </c>
      <c r="H57" s="17">
        <v>0.79</v>
      </c>
      <c r="I57" s="17">
        <f>Table138[[#This Row],[LHC]]*Table138[[#This Row],[Cars WTD (EDIT)]]</f>
        <v>40.29</v>
      </c>
      <c r="J57" s="17" cm="1">
        <f t="array" ref="J57">_xlfn.IFS(Table138[[#This Row],[Allowed Hours]]=0,0,Table138[[#This Row],[Allowed Hours]]&lt;25.3,25.3,Table138[[#This Row],[Allowed Hours]]&gt;25.3,Table138[[#This Row],[Allowed Hours]])</f>
        <v>40.29</v>
      </c>
      <c r="K57" s="18">
        <v>37.1</v>
      </c>
      <c r="L57" s="19">
        <f>K57-Table138[[#This Row],[Adj Allowed Hrs]]</f>
        <v>-3.1899999999999977</v>
      </c>
    </row>
    <row r="58" spans="5:12" hidden="1">
      <c r="E58" s="14" t="s">
        <v>26</v>
      </c>
      <c r="F58" s="15">
        <v>28</v>
      </c>
      <c r="G58" s="16">
        <v>48</v>
      </c>
      <c r="H58" s="17">
        <v>0.79</v>
      </c>
      <c r="I58" s="17">
        <f>Table138[[#This Row],[LHC]]*Table138[[#This Row],[Cars WTD (EDIT)]]</f>
        <v>37.92</v>
      </c>
      <c r="J58" s="17" cm="1">
        <f t="array" ref="J58">_xlfn.IFS(Table138[[#This Row],[Allowed Hours]]=0,0,Table138[[#This Row],[Allowed Hours]]&lt;25.3,25.3,Table138[[#This Row],[Allowed Hours]]&gt;25.3,Table138[[#This Row],[Allowed Hours]])</f>
        <v>37.92</v>
      </c>
      <c r="K58" s="18">
        <v>45.6</v>
      </c>
      <c r="L58" s="19">
        <f>K58-Table138[[#This Row],[Adj Allowed Hrs]]</f>
        <v>7.68</v>
      </c>
    </row>
    <row r="59" spans="5:12" hidden="1">
      <c r="E59" s="14" t="s">
        <v>26</v>
      </c>
      <c r="F59" s="15">
        <v>32</v>
      </c>
      <c r="G59" s="16">
        <v>48</v>
      </c>
      <c r="H59" s="17">
        <v>0.79</v>
      </c>
      <c r="I59" s="17">
        <f>Table138[[#This Row],[LHC]]*Table138[[#This Row],[Cars WTD (EDIT)]]</f>
        <v>37.92</v>
      </c>
      <c r="J59" s="17" cm="1">
        <f t="array" ref="J59">_xlfn.IFS(Table138[[#This Row],[Allowed Hours]]=0,0,Table138[[#This Row],[Allowed Hours]]&lt;25.3,25.3,Table138[[#This Row],[Allowed Hours]]&gt;25.3,Table138[[#This Row],[Allowed Hours]])</f>
        <v>37.92</v>
      </c>
      <c r="K59" s="18">
        <v>32.42</v>
      </c>
      <c r="L59" s="19">
        <f>K59-Table138[[#This Row],[Adj Allowed Hrs]]</f>
        <v>-5.5</v>
      </c>
    </row>
    <row r="60" spans="5:12" hidden="1">
      <c r="E60" s="14" t="s">
        <v>26</v>
      </c>
      <c r="F60" s="15">
        <v>606</v>
      </c>
      <c r="G60" s="16">
        <v>34</v>
      </c>
      <c r="H60" s="17">
        <v>0.79</v>
      </c>
      <c r="I60" s="17">
        <f>Table138[[#This Row],[LHC]]*Table138[[#This Row],[Cars WTD (EDIT)]]</f>
        <v>26.86</v>
      </c>
      <c r="J60" s="17" cm="1">
        <f t="array" ref="J60">_xlfn.IFS(Table138[[#This Row],[Allowed Hours]]=0,0,Table138[[#This Row],[Allowed Hours]]&lt;25.3,25.3,Table138[[#This Row],[Allowed Hours]]&gt;25.3,Table138[[#This Row],[Allowed Hours]])</f>
        <v>26.86</v>
      </c>
      <c r="K60" s="18">
        <v>33.35</v>
      </c>
      <c r="L60" s="19">
        <f>K60-Table138[[#This Row],[Adj Allowed Hrs]]</f>
        <v>6.490000000000002</v>
      </c>
    </row>
    <row r="61" spans="5:12" hidden="1">
      <c r="E61" s="14" t="s">
        <v>26</v>
      </c>
      <c r="F61" s="15">
        <v>999</v>
      </c>
      <c r="G61" s="16">
        <v>30</v>
      </c>
      <c r="H61" s="17">
        <v>0.79</v>
      </c>
      <c r="I61" s="17">
        <f>Table138[[#This Row],[LHC]]*Table138[[#This Row],[Cars WTD (EDIT)]]</f>
        <v>23.700000000000003</v>
      </c>
      <c r="J61" s="17" cm="1">
        <f t="array" ref="J61">_xlfn.IFS(Table138[[#This Row],[Allowed Hours]]=0,0,Table138[[#This Row],[Allowed Hours]]&lt;25.3,25.3,Table138[[#This Row],[Allowed Hours]]&gt;25.3,Table138[[#This Row],[Allowed Hours]])</f>
        <v>25.3</v>
      </c>
      <c r="K61" s="18">
        <v>31.7</v>
      </c>
      <c r="L61" s="19">
        <f>K61-Table138[[#This Row],[Adj Allowed Hrs]]</f>
        <v>6.3999999999999986</v>
      </c>
    </row>
    <row r="62" spans="5:12" hidden="1">
      <c r="E62" s="14" t="s">
        <v>27</v>
      </c>
      <c r="F62" s="15">
        <v>8</v>
      </c>
      <c r="G62" s="16">
        <v>53</v>
      </c>
      <c r="H62" s="17">
        <v>0.79</v>
      </c>
      <c r="I62" s="17">
        <f>Table138[[#This Row],[LHC]]*Table138[[#This Row],[Cars WTD (EDIT)]]</f>
        <v>41.870000000000005</v>
      </c>
      <c r="J62" s="17" cm="1">
        <f t="array" ref="J62">_xlfn.IFS(Table138[[#This Row],[Allowed Hours]]=0,0,Table138[[#This Row],[Allowed Hours]]&lt;25.3,25.3,Table138[[#This Row],[Allowed Hours]]&gt;25.3,Table138[[#This Row],[Allowed Hours]])</f>
        <v>41.870000000000005</v>
      </c>
      <c r="K62" s="18">
        <v>33.86</v>
      </c>
      <c r="L62" s="19">
        <f>K62-Table138[[#This Row],[Adj Allowed Hrs]]</f>
        <v>-8.0100000000000051</v>
      </c>
    </row>
    <row r="63" spans="5:12" hidden="1">
      <c r="E63" s="14" t="s">
        <v>27</v>
      </c>
      <c r="F63" s="15">
        <v>10</v>
      </c>
      <c r="G63" s="16">
        <v>33</v>
      </c>
      <c r="H63" s="17">
        <v>0.79</v>
      </c>
      <c r="I63" s="17">
        <f>Table138[[#This Row],[LHC]]*Table138[[#This Row],[Cars WTD (EDIT)]]</f>
        <v>26.07</v>
      </c>
      <c r="J63" s="17" cm="1">
        <f t="array" ref="J63">_xlfn.IFS(Table138[[#This Row],[Allowed Hours]]=0,0,Table138[[#This Row],[Allowed Hours]]&lt;25.3,25.3,Table138[[#This Row],[Allowed Hours]]&gt;25.3,Table138[[#This Row],[Allowed Hours]])</f>
        <v>26.07</v>
      </c>
      <c r="K63" s="18">
        <v>24.59</v>
      </c>
      <c r="L63" s="19">
        <f>K63-Table138[[#This Row],[Adj Allowed Hrs]]</f>
        <v>-1.4800000000000004</v>
      </c>
    </row>
    <row r="64" spans="5:12" hidden="1">
      <c r="E64" s="14" t="s">
        <v>27</v>
      </c>
      <c r="F64" s="15">
        <v>12</v>
      </c>
      <c r="G64" s="16">
        <v>26</v>
      </c>
      <c r="H64" s="17">
        <v>0.79</v>
      </c>
      <c r="I64" s="17">
        <f>Table138[[#This Row],[LHC]]*Table138[[#This Row],[Cars WTD (EDIT)]]</f>
        <v>20.54</v>
      </c>
      <c r="J64" s="17" cm="1">
        <f t="array" ref="J64">_xlfn.IFS(Table138[[#This Row],[Allowed Hours]]=0,0,Table138[[#This Row],[Allowed Hours]]&lt;25.3,25.3,Table138[[#This Row],[Allowed Hours]]&gt;25.3,Table138[[#This Row],[Allowed Hours]])</f>
        <v>25.3</v>
      </c>
      <c r="K64" s="18">
        <v>33.68</v>
      </c>
      <c r="L64" s="19">
        <f>K64-Table138[[#This Row],[Adj Allowed Hrs]]</f>
        <v>8.379999999999999</v>
      </c>
    </row>
    <row r="65" spans="5:12" hidden="1">
      <c r="E65" s="14" t="s">
        <v>27</v>
      </c>
      <c r="F65" s="15">
        <v>13</v>
      </c>
      <c r="G65" s="16">
        <v>32</v>
      </c>
      <c r="H65" s="17">
        <v>0.79</v>
      </c>
      <c r="I65" s="17">
        <f>Table138[[#This Row],[LHC]]*Table138[[#This Row],[Cars WTD (EDIT)]]</f>
        <v>25.28</v>
      </c>
      <c r="J65" s="17" cm="1">
        <f t="array" ref="J65">_xlfn.IFS(Table138[[#This Row],[Allowed Hours]]=0,0,Table138[[#This Row],[Allowed Hours]]&lt;25.3,25.3,Table138[[#This Row],[Allowed Hours]]&gt;25.3,Table138[[#This Row],[Allowed Hours]])</f>
        <v>25.3</v>
      </c>
      <c r="K65" s="18">
        <v>29.07</v>
      </c>
      <c r="L65" s="19">
        <f>K65-Table138[[#This Row],[Adj Allowed Hrs]]</f>
        <v>3.7699999999999996</v>
      </c>
    </row>
    <row r="66" spans="5:12" hidden="1">
      <c r="E66" s="14" t="s">
        <v>27</v>
      </c>
      <c r="F66" s="15">
        <v>31</v>
      </c>
      <c r="G66" s="16">
        <v>38</v>
      </c>
      <c r="H66" s="17">
        <v>0.79</v>
      </c>
      <c r="I66" s="17">
        <f>Table138[[#This Row],[LHC]]*Table138[[#This Row],[Cars WTD (EDIT)]]</f>
        <v>30.020000000000003</v>
      </c>
      <c r="J66" s="17" cm="1">
        <f t="array" ref="J66">_xlfn.IFS(Table138[[#This Row],[Allowed Hours]]=0,0,Table138[[#This Row],[Allowed Hours]]&lt;25.3,25.3,Table138[[#This Row],[Allowed Hours]]&gt;25.3,Table138[[#This Row],[Allowed Hours]])</f>
        <v>30.020000000000003</v>
      </c>
      <c r="K66" s="18">
        <v>46.88</v>
      </c>
      <c r="L66" s="19">
        <f>K66-Table138[[#This Row],[Adj Allowed Hrs]]</f>
        <v>16.86</v>
      </c>
    </row>
    <row r="67" spans="5:12" hidden="1">
      <c r="E67" s="14" t="s">
        <v>27</v>
      </c>
      <c r="F67" s="15">
        <v>92</v>
      </c>
      <c r="G67" s="16">
        <v>61</v>
      </c>
      <c r="H67" s="17">
        <v>0.79</v>
      </c>
      <c r="I67" s="17">
        <f>Table138[[#This Row],[LHC]]*Table138[[#This Row],[Cars WTD (EDIT)]]</f>
        <v>48.190000000000005</v>
      </c>
      <c r="J67" s="17" cm="1">
        <f t="array" ref="J67">_xlfn.IFS(Table138[[#This Row],[Allowed Hours]]=0,0,Table138[[#This Row],[Allowed Hours]]&lt;25.3,25.3,Table138[[#This Row],[Allowed Hours]]&gt;25.3,Table138[[#This Row],[Allowed Hours]])</f>
        <v>48.190000000000005</v>
      </c>
      <c r="K67" s="18">
        <v>43.89</v>
      </c>
      <c r="L67" s="19">
        <f>K67-Table138[[#This Row],[Adj Allowed Hrs]]</f>
        <v>-4.3000000000000043</v>
      </c>
    </row>
    <row r="68" spans="5:12" hidden="1">
      <c r="E68" s="14" t="s">
        <v>27</v>
      </c>
      <c r="F68" s="15">
        <v>116</v>
      </c>
      <c r="G68" s="16">
        <v>42</v>
      </c>
      <c r="H68" s="17">
        <v>0.79</v>
      </c>
      <c r="I68" s="17">
        <f>Table138[[#This Row],[LHC]]*Table138[[#This Row],[Cars WTD (EDIT)]]</f>
        <v>33.18</v>
      </c>
      <c r="J68" s="17" cm="1">
        <f t="array" ref="J68">_xlfn.IFS(Table138[[#This Row],[Allowed Hours]]=0,0,Table138[[#This Row],[Allowed Hours]]&lt;25.3,25.3,Table138[[#This Row],[Allowed Hours]]&gt;25.3,Table138[[#This Row],[Allowed Hours]])</f>
        <v>33.18</v>
      </c>
      <c r="K68" s="18">
        <v>32.24</v>
      </c>
      <c r="L68" s="19">
        <f>K68-Table138[[#This Row],[Adj Allowed Hrs]]</f>
        <v>-0.93999999999999773</v>
      </c>
    </row>
    <row r="69" spans="5:12" hidden="1">
      <c r="E69" s="20" t="s">
        <v>27</v>
      </c>
      <c r="F69" s="21">
        <v>870</v>
      </c>
      <c r="G69" s="22">
        <v>30</v>
      </c>
      <c r="H69" s="23">
        <v>0.79</v>
      </c>
      <c r="I69" s="17">
        <f>Table138[[#This Row],[LHC]]*Table138[[#This Row],[Cars WTD (EDIT)]]</f>
        <v>23.700000000000003</v>
      </c>
      <c r="J69" s="23" cm="1">
        <f t="array" ref="J69">_xlfn.IFS(Table138[[#This Row],[Allowed Hours]]=0,0,Table138[[#This Row],[Allowed Hours]]&lt;25.3,25.3,Table138[[#This Row],[Allowed Hours]]&gt;25.3,Table138[[#This Row],[Allowed Hours]])</f>
        <v>25.3</v>
      </c>
      <c r="K69" s="24">
        <v>23.04</v>
      </c>
      <c r="L69" s="25">
        <f>K69-Table138[[#This Row],[Adj Allowed Hrs]]</f>
        <v>-2.2600000000000016</v>
      </c>
    </row>
    <row r="70" spans="5:12" hidden="1">
      <c r="E70" s="20" t="s">
        <v>27</v>
      </c>
      <c r="F70" s="21">
        <v>3004</v>
      </c>
      <c r="G70" s="22">
        <v>13</v>
      </c>
      <c r="H70" s="23">
        <v>0.79</v>
      </c>
      <c r="I70" s="23">
        <f>Table138[[#This Row],[LHC]]*Table138[[#This Row],[Cars WTD (EDIT)]]</f>
        <v>10.27</v>
      </c>
      <c r="J70" s="23" cm="1">
        <f t="array" ref="J70">_xlfn.IFS(Table138[[#This Row],[Allowed Hours]]=0,0,Table138[[#This Row],[Allowed Hours]]&lt;25.3,25.3,Table138[[#This Row],[Allowed Hours]]&gt;25.3,Table138[[#This Row],[Allowed Hours]])</f>
        <v>25.3</v>
      </c>
      <c r="K70" s="24">
        <v>20.190000000000001</v>
      </c>
      <c r="L70" s="25">
        <f>K70-Table138[[#This Row],[Adj Allowed Hrs]]</f>
        <v>-5.1099999999999994</v>
      </c>
    </row>
  </sheetData>
  <sheetProtection sheet="1" objects="1" scenarios="1" selectLockedCells="1" sort="0" autoFilter="0" pivotTables="0"/>
  <protectedRanges>
    <protectedRange sqref="K14:K70" name="Range1"/>
  </protectedRanges>
  <mergeCells count="1">
    <mergeCell ref="B2:C2"/>
  </mergeCells>
  <conditionalFormatting sqref="I14:J70">
    <cfRule type="cellIs" dxfId="105" priority="6" operator="lessThan">
      <formula>25.3</formula>
    </cfRule>
  </conditionalFormatting>
  <conditionalFormatting sqref="L14:L70">
    <cfRule type="cellIs" dxfId="104" priority="9" operator="greaterThan">
      <formula>0</formula>
    </cfRule>
    <cfRule type="cellIs" dxfId="103" priority="10" operator="lessThan">
      <formula>0</formula>
    </cfRule>
  </conditionalFormatting>
  <conditionalFormatting sqref="J3:J10">
    <cfRule type="cellIs" dxfId="102" priority="2" operator="greaterThan">
      <formula>0</formula>
    </cfRule>
    <cfRule type="cellIs" dxfId="101" priority="3" operator="lessThan">
      <formula>0</formula>
    </cfRule>
  </conditionalFormatting>
  <conditionalFormatting sqref="I70:J70">
    <cfRule type="cellIs" dxfId="100" priority="1" operator="lessThan">
      <formula>25.3</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3A9FF-16AC-4D00-845F-C02CF78C219F}">
  <dimension ref="B1:L70"/>
  <sheetViews>
    <sheetView showGridLines="0" workbookViewId="0">
      <selection activeCell="K26" sqref="K26"/>
    </sheetView>
  </sheetViews>
  <sheetFormatPr defaultRowHeight="12.75"/>
  <cols>
    <col min="1" max="1" width="10.5703125" style="1" customWidth="1"/>
    <col min="2" max="3" width="12.140625" style="1" customWidth="1"/>
    <col min="4" max="4" width="16" style="1" customWidth="1"/>
    <col min="5" max="5" width="25.28515625" style="1" bestFit="1" customWidth="1"/>
    <col min="6" max="6" width="14.28515625" style="1" bestFit="1" customWidth="1"/>
    <col min="7" max="7" width="18.140625" style="1" bestFit="1" customWidth="1"/>
    <col min="8" max="8" width="19" style="1" bestFit="1" customWidth="1"/>
    <col min="9" max="9" width="16.7109375" style="1" bestFit="1" customWidth="1"/>
    <col min="10" max="10" width="20.85546875" style="1" bestFit="1" customWidth="1"/>
    <col min="11" max="11" width="25.140625" style="1" customWidth="1"/>
    <col min="12" max="12" width="19.5703125" style="1" customWidth="1"/>
    <col min="13" max="16384" width="9.140625" style="1"/>
  </cols>
  <sheetData>
    <row r="1" spans="2:12" ht="13.5" thickBot="1"/>
    <row r="2" spans="2:12" ht="18.75" thickBot="1">
      <c r="B2" s="42" t="s">
        <v>0</v>
      </c>
      <c r="C2" s="43"/>
      <c r="E2" s="2" t="s">
        <v>1</v>
      </c>
      <c r="F2" s="2" t="s">
        <v>2</v>
      </c>
      <c r="G2" s="2" t="s">
        <v>3</v>
      </c>
      <c r="H2" s="2" t="s">
        <v>4</v>
      </c>
      <c r="I2" s="2" t="s">
        <v>5</v>
      </c>
      <c r="J2" s="2" t="s">
        <v>6</v>
      </c>
    </row>
    <row r="3" spans="2:12" ht="18">
      <c r="B3" s="3" t="s">
        <v>7</v>
      </c>
      <c r="C3" s="4">
        <v>20</v>
      </c>
      <c r="E3" s="2" t="s">
        <v>8</v>
      </c>
      <c r="F3" s="5">
        <f>SUM(G14:G21)</f>
        <v>117</v>
      </c>
      <c r="G3" s="2">
        <v>0.79</v>
      </c>
      <c r="H3" s="2">
        <f>SUM(I14:I21)</f>
        <v>92.429999999999993</v>
      </c>
      <c r="I3" s="2">
        <f>SUM(K14:K21)</f>
        <v>205.96</v>
      </c>
      <c r="J3" s="2">
        <f>SUM(L14:L21)</f>
        <v>28.859999999999992</v>
      </c>
    </row>
    <row r="4" spans="2:12" ht="18">
      <c r="B4" s="6" t="s">
        <v>9</v>
      </c>
      <c r="C4" s="4">
        <v>45.3</v>
      </c>
      <c r="E4" s="2" t="s">
        <v>10</v>
      </c>
      <c r="F4" s="5">
        <f>SUM(G22:G28)</f>
        <v>153</v>
      </c>
      <c r="G4" s="2">
        <v>0.79</v>
      </c>
      <c r="H4" s="2">
        <f>SUM(I22:I28)</f>
        <v>120.87</v>
      </c>
      <c r="I4" s="2">
        <f>SUM(K22:K28)</f>
        <v>221.02</v>
      </c>
      <c r="J4" s="2">
        <f>SUM(L22:L28)</f>
        <v>43.92</v>
      </c>
    </row>
    <row r="5" spans="2:12" ht="18">
      <c r="B5" s="6" t="s">
        <v>11</v>
      </c>
      <c r="C5" s="4">
        <v>70.599999999999994</v>
      </c>
      <c r="E5" s="2" t="s">
        <v>12</v>
      </c>
      <c r="F5" s="5">
        <f>SUM(G29:G37)</f>
        <v>321</v>
      </c>
      <c r="G5" s="2">
        <v>0.79</v>
      </c>
      <c r="H5" s="2">
        <f>SUM(I29:I37)</f>
        <v>253.59000000000006</v>
      </c>
      <c r="I5" s="2">
        <f>SUM(K29:K37)</f>
        <v>279</v>
      </c>
      <c r="J5" s="2">
        <f>SUM(L29:L37)</f>
        <v>-1.5500000000000114</v>
      </c>
    </row>
    <row r="6" spans="2:12" ht="18">
      <c r="B6" s="6" t="s">
        <v>13</v>
      </c>
      <c r="C6" s="4">
        <v>95.93</v>
      </c>
      <c r="E6" s="2" t="s">
        <v>14</v>
      </c>
      <c r="F6" s="5">
        <f>SUM(G38:G45)</f>
        <v>188</v>
      </c>
      <c r="G6" s="2">
        <v>0.79</v>
      </c>
      <c r="H6" s="2">
        <f>SUM(I38:I45)</f>
        <v>148.52000000000001</v>
      </c>
      <c r="I6" s="2">
        <f>SUM(K38:K45)</f>
        <v>206.67</v>
      </c>
      <c r="J6" s="2">
        <f>SUM(L38:L45)</f>
        <v>14.619999999999994</v>
      </c>
    </row>
    <row r="7" spans="2:12" ht="18">
      <c r="B7" s="6" t="s">
        <v>15</v>
      </c>
      <c r="C7" s="4">
        <v>121.23</v>
      </c>
      <c r="E7" s="2" t="s">
        <v>16</v>
      </c>
      <c r="F7" s="5">
        <f>SUM(G46:G52)</f>
        <v>179</v>
      </c>
      <c r="G7" s="2">
        <v>0.79</v>
      </c>
      <c r="H7" s="2">
        <f>SUM(I46:I52)</f>
        <v>141.41000000000003</v>
      </c>
      <c r="I7" s="2">
        <f>SUM(K46:K52)</f>
        <v>178.08</v>
      </c>
      <c r="J7" s="2">
        <f>SUM(L46:L52)</f>
        <v>-6.0900000000000034</v>
      </c>
    </row>
    <row r="8" spans="2:12" ht="18">
      <c r="B8" s="6" t="s">
        <v>17</v>
      </c>
      <c r="C8" s="4">
        <v>146.53</v>
      </c>
      <c r="E8" s="2" t="s">
        <v>18</v>
      </c>
      <c r="F8" s="5">
        <f>SUM(G53:G61)</f>
        <v>368</v>
      </c>
      <c r="G8" s="2">
        <v>0.79</v>
      </c>
      <c r="H8" s="2">
        <f>SUM(I53:I61)</f>
        <v>290.72000000000003</v>
      </c>
      <c r="I8" s="2">
        <f>SUM(K53:K61)</f>
        <v>322.99</v>
      </c>
      <c r="J8" s="2">
        <f>SUM(L53:L61)</f>
        <v>25.139999999999986</v>
      </c>
    </row>
    <row r="9" spans="2:12" ht="18.75" thickBot="1">
      <c r="B9" s="7" t="s">
        <v>19</v>
      </c>
      <c r="C9" s="8">
        <v>171.8</v>
      </c>
      <c r="E9" s="2" t="s">
        <v>20</v>
      </c>
      <c r="F9" s="5">
        <f>SUM(G62:G70)</f>
        <v>329</v>
      </c>
      <c r="G9" s="2">
        <v>0.79</v>
      </c>
      <c r="H9" s="2">
        <f>SUM(I62:I70)</f>
        <v>259.91000000000003</v>
      </c>
      <c r="I9" s="2">
        <f>SUM(K62:K70)</f>
        <v>321.67999999999995</v>
      </c>
      <c r="J9" s="2">
        <f>SUM(L62:L70)</f>
        <v>28.529999999999976</v>
      </c>
    </row>
    <row r="10" spans="2:12" ht="18">
      <c r="E10" s="9" t="s">
        <v>21</v>
      </c>
      <c r="F10" s="9">
        <f>SUM(F3:F9)</f>
        <v>1655</v>
      </c>
      <c r="G10" s="9">
        <v>0.79</v>
      </c>
      <c r="H10" s="9">
        <f>SUM(H3:H9)</f>
        <v>1307.4500000000003</v>
      </c>
      <c r="I10" s="9">
        <f>SUM(I3:I9)</f>
        <v>1735.4</v>
      </c>
      <c r="J10" s="9">
        <f>SUM(J3:J9)</f>
        <v>133.42999999999995</v>
      </c>
    </row>
    <row r="13" spans="2:12">
      <c r="E13" s="10" t="s">
        <v>1</v>
      </c>
      <c r="F13" s="11" t="s">
        <v>22</v>
      </c>
      <c r="G13" s="12" t="s">
        <v>23</v>
      </c>
      <c r="H13" s="11" t="s">
        <v>3</v>
      </c>
      <c r="I13" s="11" t="s">
        <v>4</v>
      </c>
      <c r="J13" s="11" t="s">
        <v>24</v>
      </c>
      <c r="K13" s="12" t="s">
        <v>25</v>
      </c>
      <c r="L13" s="13" t="s">
        <v>6</v>
      </c>
    </row>
    <row r="14" spans="2:12" hidden="1">
      <c r="E14" s="14" t="s">
        <v>8</v>
      </c>
      <c r="F14" s="15">
        <v>17</v>
      </c>
      <c r="G14" s="16">
        <v>15</v>
      </c>
      <c r="H14" s="17">
        <v>0.79</v>
      </c>
      <c r="I14" s="17">
        <f>Table13813[[#This Row],[LHC]]*Table13813[[#This Row],[Cars WTD (EDIT)]]</f>
        <v>11.850000000000001</v>
      </c>
      <c r="J14" s="17" cm="1">
        <f t="array" ref="J14">_xlfn.IFS(Table13813[[#This Row],[Allowed Hours]]=0,0,Table13813[[#This Row],[Allowed Hours]]&lt;25.3,25.3,Table13813[[#This Row],[Allowed Hours]]&gt;25.3,Table13813[[#This Row],[Allowed Hours]])</f>
        <v>25.3</v>
      </c>
      <c r="K14" s="18">
        <v>19.88</v>
      </c>
      <c r="L14" s="19">
        <f>K14-Table13813[[#This Row],[Adj Allowed Hrs]]</f>
        <v>-5.4200000000000017</v>
      </c>
    </row>
    <row r="15" spans="2:12" hidden="1">
      <c r="E15" s="14" t="s">
        <v>8</v>
      </c>
      <c r="F15" s="15">
        <v>22</v>
      </c>
      <c r="G15" s="16">
        <v>24</v>
      </c>
      <c r="H15" s="17">
        <v>0.79</v>
      </c>
      <c r="I15" s="17">
        <f>Table13813[[#This Row],[LHC]]*Table13813[[#This Row],[Cars WTD (EDIT)]]</f>
        <v>18.96</v>
      </c>
      <c r="J15" s="17" cm="1">
        <f t="array" ref="J15">_xlfn.IFS(Table13813[[#This Row],[Allowed Hours]]=0,0,Table13813[[#This Row],[Allowed Hours]]&lt;25.3,25.3,Table13813[[#This Row],[Allowed Hours]]&gt;25.3,Table13813[[#This Row],[Allowed Hours]])</f>
        <v>25.3</v>
      </c>
      <c r="K15" s="18">
        <v>29.3</v>
      </c>
      <c r="L15" s="19">
        <f>K15-Table13813[[#This Row],[Adj Allowed Hrs]]</f>
        <v>4</v>
      </c>
    </row>
    <row r="16" spans="2:12" hidden="1">
      <c r="E16" s="14" t="s">
        <v>8</v>
      </c>
      <c r="F16" s="15">
        <v>641</v>
      </c>
      <c r="G16" s="16">
        <v>20</v>
      </c>
      <c r="H16" s="17">
        <v>0.79</v>
      </c>
      <c r="I16" s="17">
        <f>Table13813[[#This Row],[LHC]]*Table13813[[#This Row],[Cars WTD (EDIT)]]</f>
        <v>15.8</v>
      </c>
      <c r="J16" s="17" cm="1">
        <f t="array" ref="J16">_xlfn.IFS(Table13813[[#This Row],[Allowed Hours]]=0,0,Table13813[[#This Row],[Allowed Hours]]&lt;25.3,25.3,Table13813[[#This Row],[Allowed Hours]]&gt;25.3,Table13813[[#This Row],[Allowed Hours]])</f>
        <v>25.3</v>
      </c>
      <c r="K16" s="18">
        <v>37.17</v>
      </c>
      <c r="L16" s="19">
        <f>K16-Table13813[[#This Row],[Adj Allowed Hrs]]</f>
        <v>11.870000000000001</v>
      </c>
    </row>
    <row r="17" spans="5:12" hidden="1">
      <c r="E17" s="14" t="s">
        <v>8</v>
      </c>
      <c r="F17" s="15">
        <v>717</v>
      </c>
      <c r="G17" s="16">
        <v>22</v>
      </c>
      <c r="H17" s="17">
        <v>0.79</v>
      </c>
      <c r="I17" s="17">
        <f>Table13813[[#This Row],[LHC]]*Table13813[[#This Row],[Cars WTD (EDIT)]]</f>
        <v>17.380000000000003</v>
      </c>
      <c r="J17" s="17" cm="1">
        <f t="array" ref="J17">_xlfn.IFS(Table13813[[#This Row],[Allowed Hours]]=0,0,Table13813[[#This Row],[Allowed Hours]]&lt;25.3,25.3,Table13813[[#This Row],[Allowed Hours]]&gt;25.3,Table13813[[#This Row],[Allowed Hours]])</f>
        <v>25.3</v>
      </c>
      <c r="K17" s="18">
        <v>34.869999999999997</v>
      </c>
      <c r="L17" s="19">
        <f>K17-Table13813[[#This Row],[Adj Allowed Hrs]]</f>
        <v>9.5699999999999967</v>
      </c>
    </row>
    <row r="18" spans="5:12" hidden="1">
      <c r="E18" s="14" t="s">
        <v>8</v>
      </c>
      <c r="F18" s="15">
        <v>843</v>
      </c>
      <c r="G18" s="16">
        <v>1</v>
      </c>
      <c r="H18" s="17">
        <v>0.79</v>
      </c>
      <c r="I18" s="17">
        <f>Table13813[[#This Row],[LHC]]*Table13813[[#This Row],[Cars WTD (EDIT)]]</f>
        <v>0.79</v>
      </c>
      <c r="J18" s="17" cm="1">
        <f t="array" ref="J18">_xlfn.IFS(Table13813[[#This Row],[Allowed Hours]]=0,0,Table13813[[#This Row],[Allowed Hours]]&lt;25.3,25.3,Table13813[[#This Row],[Allowed Hours]]&gt;25.3,Table13813[[#This Row],[Allowed Hours]])</f>
        <v>25.3</v>
      </c>
      <c r="K18" s="18">
        <v>23.99</v>
      </c>
      <c r="L18" s="19">
        <f>K18-Table13813[[#This Row],[Adj Allowed Hrs]]</f>
        <v>-1.3100000000000023</v>
      </c>
    </row>
    <row r="19" spans="5:12" hidden="1">
      <c r="E19" s="14" t="s">
        <v>8</v>
      </c>
      <c r="F19" s="15">
        <v>881</v>
      </c>
      <c r="G19" s="16">
        <v>15</v>
      </c>
      <c r="H19" s="17">
        <v>0.79</v>
      </c>
      <c r="I19" s="17">
        <f>Table13813[[#This Row],[LHC]]*Table13813[[#This Row],[Cars WTD (EDIT)]]</f>
        <v>11.850000000000001</v>
      </c>
      <c r="J19" s="17" cm="1">
        <f t="array" ref="J19">_xlfn.IFS(Table13813[[#This Row],[Allowed Hours]]=0,0,Table13813[[#This Row],[Allowed Hours]]&lt;25.3,25.3,Table13813[[#This Row],[Allowed Hours]]&gt;25.3,Table13813[[#This Row],[Allowed Hours]])</f>
        <v>25.3</v>
      </c>
      <c r="K19" s="18">
        <v>33.69</v>
      </c>
      <c r="L19" s="19">
        <f>K19-Table13813[[#This Row],[Adj Allowed Hrs]]</f>
        <v>8.389999999999997</v>
      </c>
    </row>
    <row r="20" spans="5:12" hidden="1">
      <c r="E20" s="14" t="s">
        <v>8</v>
      </c>
      <c r="F20" s="15">
        <v>953</v>
      </c>
      <c r="G20" s="16">
        <v>20</v>
      </c>
      <c r="H20" s="17">
        <v>0.79</v>
      </c>
      <c r="I20" s="17">
        <f>Table13813[[#This Row],[LHC]]*Table13813[[#This Row],[Cars WTD (EDIT)]]</f>
        <v>15.8</v>
      </c>
      <c r="J20" s="17" cm="1">
        <f t="array" ref="J20">_xlfn.IFS(Table13813[[#This Row],[Allowed Hours]]=0,0,Table13813[[#This Row],[Allowed Hours]]&lt;25.3,25.3,Table13813[[#This Row],[Allowed Hours]]&gt;25.3,Table13813[[#This Row],[Allowed Hours]])</f>
        <v>25.3</v>
      </c>
      <c r="K20" s="18">
        <v>16.64</v>
      </c>
      <c r="L20" s="19">
        <f>K20-Table13813[[#This Row],[Adj Allowed Hrs]]</f>
        <v>-8.66</v>
      </c>
    </row>
    <row r="21" spans="5:12" hidden="1">
      <c r="E21" s="14" t="s">
        <v>8</v>
      </c>
      <c r="F21" s="15">
        <v>3040</v>
      </c>
      <c r="G21" s="16"/>
      <c r="H21" s="17">
        <v>0.79</v>
      </c>
      <c r="I21" s="17">
        <f>Table13813[[#This Row],[LHC]]*Table13813[[#This Row],[Cars WTD (EDIT)]]</f>
        <v>0</v>
      </c>
      <c r="J21" s="17" cm="1">
        <f t="array" ref="J21">_xlfn.IFS(Table13813[[#This Row],[Allowed Hours]]=0,0,Table13813[[#This Row],[Allowed Hours]]&lt;25.3,25.3,Table13813[[#This Row],[Allowed Hours]]&gt;25.3,Table13813[[#This Row],[Allowed Hours]])</f>
        <v>0</v>
      </c>
      <c r="K21" s="18">
        <v>10.42</v>
      </c>
      <c r="L21" s="19">
        <f>K21-Table13813[[#This Row],[Adj Allowed Hrs]]</f>
        <v>10.42</v>
      </c>
    </row>
    <row r="22" spans="5:12">
      <c r="E22" s="14" t="s">
        <v>10</v>
      </c>
      <c r="F22" s="15">
        <v>18</v>
      </c>
      <c r="G22" s="16">
        <v>30</v>
      </c>
      <c r="H22" s="17">
        <v>0.79</v>
      </c>
      <c r="I22" s="17">
        <f>Table13813[[#This Row],[LHC]]*Table13813[[#This Row],[Cars WTD (EDIT)]]</f>
        <v>23.700000000000003</v>
      </c>
      <c r="J22" s="17" cm="1">
        <f t="array" ref="J22">_xlfn.IFS(Table13813[[#This Row],[Allowed Hours]]=0,0,Table13813[[#This Row],[Allowed Hours]]&lt;25.3,25.3,Table13813[[#This Row],[Allowed Hours]]&gt;25.3,Table13813[[#This Row],[Allowed Hours]])</f>
        <v>25.3</v>
      </c>
      <c r="K22" s="18">
        <v>37.340000000000003</v>
      </c>
      <c r="L22" s="19">
        <f>K22-Table13813[[#This Row],[Adj Allowed Hrs]]</f>
        <v>12.040000000000003</v>
      </c>
    </row>
    <row r="23" spans="5:12">
      <c r="E23" s="14" t="s">
        <v>10</v>
      </c>
      <c r="F23" s="15">
        <v>19</v>
      </c>
      <c r="G23" s="16">
        <v>18</v>
      </c>
      <c r="H23" s="17">
        <v>0.79</v>
      </c>
      <c r="I23" s="17">
        <f>Table13813[[#This Row],[LHC]]*Table13813[[#This Row],[Cars WTD (EDIT)]]</f>
        <v>14.22</v>
      </c>
      <c r="J23" s="17" cm="1">
        <f t="array" ref="J23">_xlfn.IFS(Table13813[[#This Row],[Allowed Hours]]=0,0,Table13813[[#This Row],[Allowed Hours]]&lt;25.3,25.3,Table13813[[#This Row],[Allowed Hours]]&gt;25.3,Table13813[[#This Row],[Allowed Hours]])</f>
        <v>25.3</v>
      </c>
      <c r="K23" s="18">
        <v>23.98</v>
      </c>
      <c r="L23" s="19">
        <f>K23-Table13813[[#This Row],[Adj Allowed Hrs]]</f>
        <v>-1.3200000000000003</v>
      </c>
    </row>
    <row r="24" spans="5:12">
      <c r="E24" s="14" t="s">
        <v>10</v>
      </c>
      <c r="F24" s="15">
        <v>282</v>
      </c>
      <c r="G24" s="16">
        <v>9</v>
      </c>
      <c r="H24" s="17">
        <v>0.79</v>
      </c>
      <c r="I24" s="17">
        <f>Table13813[[#This Row],[LHC]]*Table13813[[#This Row],[Cars WTD (EDIT)]]</f>
        <v>7.11</v>
      </c>
      <c r="J24" s="17" cm="1">
        <f t="array" ref="J24">_xlfn.IFS(Table13813[[#This Row],[Allowed Hours]]=0,0,Table13813[[#This Row],[Allowed Hours]]&lt;25.3,25.3,Table13813[[#This Row],[Allowed Hours]]&gt;25.3,Table13813[[#This Row],[Allowed Hours]])</f>
        <v>25.3</v>
      </c>
      <c r="K24" s="18">
        <v>18.57</v>
      </c>
      <c r="L24" s="19">
        <f>K24-Table13813[[#This Row],[Adj Allowed Hrs]]</f>
        <v>-6.73</v>
      </c>
    </row>
    <row r="25" spans="5:12">
      <c r="E25" s="14" t="s">
        <v>10</v>
      </c>
      <c r="F25" s="15">
        <v>447</v>
      </c>
      <c r="G25" s="16">
        <v>23</v>
      </c>
      <c r="H25" s="17">
        <v>0.79</v>
      </c>
      <c r="I25" s="17">
        <f>Table13813[[#This Row],[LHC]]*Table13813[[#This Row],[Cars WTD (EDIT)]]</f>
        <v>18.170000000000002</v>
      </c>
      <c r="J25" s="17" cm="1">
        <f t="array" ref="J25">_xlfn.IFS(Table13813[[#This Row],[Allowed Hours]]=0,0,Table13813[[#This Row],[Allowed Hours]]&lt;25.3,25.3,Table13813[[#This Row],[Allowed Hours]]&gt;25.3,Table13813[[#This Row],[Allowed Hours]])</f>
        <v>25.3</v>
      </c>
      <c r="K25" s="18">
        <v>31.71</v>
      </c>
      <c r="L25" s="19">
        <f>K25-Table13813[[#This Row],[Adj Allowed Hrs]]</f>
        <v>6.41</v>
      </c>
    </row>
    <row r="26" spans="5:12">
      <c r="E26" s="14" t="s">
        <v>10</v>
      </c>
      <c r="F26" s="15">
        <v>448</v>
      </c>
      <c r="G26" s="16">
        <v>28</v>
      </c>
      <c r="H26" s="17">
        <v>0.79</v>
      </c>
      <c r="I26" s="17">
        <f>Table13813[[#This Row],[LHC]]*Table13813[[#This Row],[Cars WTD (EDIT)]]</f>
        <v>22.12</v>
      </c>
      <c r="J26" s="17" cm="1">
        <f t="array" ref="J26">_xlfn.IFS(Table13813[[#This Row],[Allowed Hours]]=0,0,Table13813[[#This Row],[Allowed Hours]]&lt;25.3,25.3,Table13813[[#This Row],[Allowed Hours]]&gt;25.3,Table13813[[#This Row],[Allowed Hours]])</f>
        <v>25.3</v>
      </c>
      <c r="K26" s="18">
        <v>47.07</v>
      </c>
      <c r="L26" s="19">
        <f>K26-Table13813[[#This Row],[Adj Allowed Hrs]]</f>
        <v>21.77</v>
      </c>
    </row>
    <row r="27" spans="5:12">
      <c r="E27" s="14" t="s">
        <v>10</v>
      </c>
      <c r="F27" s="15">
        <v>531</v>
      </c>
      <c r="G27" s="16">
        <v>19</v>
      </c>
      <c r="H27" s="17">
        <v>0.79</v>
      </c>
      <c r="I27" s="17">
        <f>Table13813[[#This Row],[LHC]]*Table13813[[#This Row],[Cars WTD (EDIT)]]</f>
        <v>15.010000000000002</v>
      </c>
      <c r="J27" s="17" cm="1">
        <f t="array" ref="J27">_xlfn.IFS(Table13813[[#This Row],[Allowed Hours]]=0,0,Table13813[[#This Row],[Allowed Hours]]&lt;25.3,25.3,Table13813[[#This Row],[Allowed Hours]]&gt;25.3,Table13813[[#This Row],[Allowed Hours]])</f>
        <v>25.3</v>
      </c>
      <c r="K27" s="18">
        <v>36.22</v>
      </c>
      <c r="L27" s="19">
        <f>K27-Table13813[[#This Row],[Adj Allowed Hrs]]</f>
        <v>10.919999999999998</v>
      </c>
    </row>
    <row r="28" spans="5:12">
      <c r="E28" s="14" t="s">
        <v>10</v>
      </c>
      <c r="F28" s="15">
        <v>832</v>
      </c>
      <c r="G28" s="16">
        <v>26</v>
      </c>
      <c r="H28" s="17">
        <v>0.79</v>
      </c>
      <c r="I28" s="17">
        <f>Table13813[[#This Row],[LHC]]*Table13813[[#This Row],[Cars WTD (EDIT)]]</f>
        <v>20.54</v>
      </c>
      <c r="J28" s="17" cm="1">
        <f t="array" ref="J28">_xlfn.IFS(Table13813[[#This Row],[Allowed Hours]]=0,0,Table13813[[#This Row],[Allowed Hours]]&lt;25.3,25.3,Table13813[[#This Row],[Allowed Hours]]&gt;25.3,Table13813[[#This Row],[Allowed Hours]])</f>
        <v>25.3</v>
      </c>
      <c r="K28" s="18">
        <v>26.13</v>
      </c>
      <c r="L28" s="19">
        <f>K28-Table13813[[#This Row],[Adj Allowed Hrs]]</f>
        <v>0.82999999999999829</v>
      </c>
    </row>
    <row r="29" spans="5:12" hidden="1">
      <c r="E29" s="14" t="s">
        <v>12</v>
      </c>
      <c r="F29" s="15">
        <v>3</v>
      </c>
      <c r="G29" s="16">
        <v>28</v>
      </c>
      <c r="H29" s="17">
        <v>0.79</v>
      </c>
      <c r="I29" s="17">
        <f>Table13813[[#This Row],[LHC]]*Table13813[[#This Row],[Cars WTD (EDIT)]]</f>
        <v>22.12</v>
      </c>
      <c r="J29" s="17" cm="1">
        <f t="array" ref="J29">_xlfn.IFS(Table13813[[#This Row],[Allowed Hours]]=0,0,Table13813[[#This Row],[Allowed Hours]]&lt;25.3,25.3,Table13813[[#This Row],[Allowed Hours]]&gt;25.3,Table13813[[#This Row],[Allowed Hours]])</f>
        <v>25.3</v>
      </c>
      <c r="K29" s="18">
        <v>5</v>
      </c>
      <c r="L29" s="19">
        <f>K29-Table13813[[#This Row],[Adj Allowed Hrs]]</f>
        <v>-20.3</v>
      </c>
    </row>
    <row r="30" spans="5:12" hidden="1">
      <c r="E30" s="14" t="s">
        <v>12</v>
      </c>
      <c r="F30" s="15">
        <v>5</v>
      </c>
      <c r="G30" s="16">
        <v>30</v>
      </c>
      <c r="H30" s="17">
        <v>0.79</v>
      </c>
      <c r="I30" s="17">
        <f>Table13813[[#This Row],[LHC]]*Table13813[[#This Row],[Cars WTD (EDIT)]]</f>
        <v>23.700000000000003</v>
      </c>
      <c r="J30" s="17" cm="1">
        <f t="array" ref="J30">_xlfn.IFS(Table13813[[#This Row],[Allowed Hours]]=0,0,Table13813[[#This Row],[Allowed Hours]]&lt;25.3,25.3,Table13813[[#This Row],[Allowed Hours]]&gt;25.3,Table13813[[#This Row],[Allowed Hours]])</f>
        <v>25.3</v>
      </c>
      <c r="K30" s="18">
        <v>46</v>
      </c>
      <c r="L30" s="19">
        <f>K30-Table13813[[#This Row],[Adj Allowed Hrs]]</f>
        <v>20.7</v>
      </c>
    </row>
    <row r="31" spans="5:12" hidden="1">
      <c r="E31" s="14" t="s">
        <v>12</v>
      </c>
      <c r="F31" s="15">
        <v>11</v>
      </c>
      <c r="G31" s="16">
        <v>22</v>
      </c>
      <c r="H31" s="17">
        <v>0.79</v>
      </c>
      <c r="I31" s="17">
        <f>Table13813[[#This Row],[LHC]]*Table13813[[#This Row],[Cars WTD (EDIT)]]</f>
        <v>17.380000000000003</v>
      </c>
      <c r="J31" s="17" cm="1">
        <f t="array" ref="J31">_xlfn.IFS(Table13813[[#This Row],[Allowed Hours]]=0,0,Table13813[[#This Row],[Allowed Hours]]&lt;25.3,25.3,Table13813[[#This Row],[Allowed Hours]]&gt;25.3,Table13813[[#This Row],[Allowed Hours]])</f>
        <v>25.3</v>
      </c>
      <c r="K31" s="18">
        <v>28</v>
      </c>
      <c r="L31" s="19">
        <f>K31-Table13813[[#This Row],[Adj Allowed Hrs]]</f>
        <v>2.6999999999999993</v>
      </c>
    </row>
    <row r="32" spans="5:12" hidden="1">
      <c r="E32" s="14" t="s">
        <v>12</v>
      </c>
      <c r="F32" s="15">
        <v>14</v>
      </c>
      <c r="G32" s="16">
        <v>22</v>
      </c>
      <c r="H32" s="17">
        <v>0.79</v>
      </c>
      <c r="I32" s="17">
        <f>Table13813[[#This Row],[LHC]]*Table13813[[#This Row],[Cars WTD (EDIT)]]</f>
        <v>17.380000000000003</v>
      </c>
      <c r="J32" s="17" cm="1">
        <f t="array" ref="J32">_xlfn.IFS(Table13813[[#This Row],[Allowed Hours]]=0,0,Table13813[[#This Row],[Allowed Hours]]&lt;25.3,25.3,Table13813[[#This Row],[Allowed Hours]]&gt;25.3,Table13813[[#This Row],[Allowed Hours]])</f>
        <v>25.3</v>
      </c>
      <c r="K32" s="18">
        <v>23</v>
      </c>
      <c r="L32" s="19">
        <f>K32-Table13813[[#This Row],[Adj Allowed Hrs]]</f>
        <v>-2.3000000000000007</v>
      </c>
    </row>
    <row r="33" spans="5:12" hidden="1">
      <c r="E33" s="14" t="s">
        <v>12</v>
      </c>
      <c r="F33" s="15">
        <v>20</v>
      </c>
      <c r="G33" s="16">
        <v>36</v>
      </c>
      <c r="H33" s="17">
        <v>0.79</v>
      </c>
      <c r="I33" s="17">
        <f>Table13813[[#This Row],[LHC]]*Table13813[[#This Row],[Cars WTD (EDIT)]]</f>
        <v>28.44</v>
      </c>
      <c r="J33" s="17" cm="1">
        <f t="array" ref="J33">_xlfn.IFS(Table13813[[#This Row],[Allowed Hours]]=0,0,Table13813[[#This Row],[Allowed Hours]]&lt;25.3,25.3,Table13813[[#This Row],[Allowed Hours]]&gt;25.3,Table13813[[#This Row],[Allowed Hours]])</f>
        <v>28.44</v>
      </c>
      <c r="K33" s="18">
        <v>41</v>
      </c>
      <c r="L33" s="19">
        <f>K33-Table13813[[#This Row],[Adj Allowed Hrs]]</f>
        <v>12.559999999999999</v>
      </c>
    </row>
    <row r="34" spans="5:12" hidden="1">
      <c r="E34" s="14" t="s">
        <v>12</v>
      </c>
      <c r="F34" s="15">
        <v>21</v>
      </c>
      <c r="G34" s="16">
        <v>56</v>
      </c>
      <c r="H34" s="17">
        <v>0.79</v>
      </c>
      <c r="I34" s="17">
        <f>Table13813[[#This Row],[LHC]]*Table13813[[#This Row],[Cars WTD (EDIT)]]</f>
        <v>44.24</v>
      </c>
      <c r="J34" s="17" cm="1">
        <f t="array" ref="J34">_xlfn.IFS(Table13813[[#This Row],[Allowed Hours]]=0,0,Table13813[[#This Row],[Allowed Hours]]&lt;25.3,25.3,Table13813[[#This Row],[Allowed Hours]]&gt;25.3,Table13813[[#This Row],[Allowed Hours]])</f>
        <v>44.24</v>
      </c>
      <c r="K34" s="18">
        <v>51</v>
      </c>
      <c r="L34" s="19">
        <f>K34-Table13813[[#This Row],[Adj Allowed Hrs]]</f>
        <v>6.759999999999998</v>
      </c>
    </row>
    <row r="35" spans="5:12" hidden="1">
      <c r="E35" s="14" t="s">
        <v>12</v>
      </c>
      <c r="F35" s="15">
        <v>23</v>
      </c>
      <c r="G35" s="16">
        <v>44</v>
      </c>
      <c r="H35" s="17">
        <v>0.79</v>
      </c>
      <c r="I35" s="17">
        <f>Table13813[[#This Row],[LHC]]*Table13813[[#This Row],[Cars WTD (EDIT)]]</f>
        <v>34.760000000000005</v>
      </c>
      <c r="J35" s="17" cm="1">
        <f t="array" ref="J35">_xlfn.IFS(Table13813[[#This Row],[Allowed Hours]]=0,0,Table13813[[#This Row],[Allowed Hours]]&lt;25.3,25.3,Table13813[[#This Row],[Allowed Hours]]&gt;25.3,Table13813[[#This Row],[Allowed Hours]])</f>
        <v>34.760000000000005</v>
      </c>
      <c r="K35" s="18">
        <v>28</v>
      </c>
      <c r="L35" s="19">
        <f>K35-Table13813[[#This Row],[Adj Allowed Hrs]]</f>
        <v>-6.7600000000000051</v>
      </c>
    </row>
    <row r="36" spans="5:12" hidden="1">
      <c r="E36" s="14" t="s">
        <v>12</v>
      </c>
      <c r="F36" s="15">
        <v>24</v>
      </c>
      <c r="G36" s="16">
        <v>59</v>
      </c>
      <c r="H36" s="17">
        <v>0.79</v>
      </c>
      <c r="I36" s="17">
        <f>Table13813[[#This Row],[LHC]]*Table13813[[#This Row],[Cars WTD (EDIT)]]</f>
        <v>46.61</v>
      </c>
      <c r="J36" s="17" cm="1">
        <f t="array" ref="J36">_xlfn.IFS(Table13813[[#This Row],[Allowed Hours]]=0,0,Table13813[[#This Row],[Allowed Hours]]&lt;25.3,25.3,Table13813[[#This Row],[Allowed Hours]]&gt;25.3,Table13813[[#This Row],[Allowed Hours]])</f>
        <v>46.61</v>
      </c>
      <c r="K36" s="18">
        <v>35</v>
      </c>
      <c r="L36" s="19">
        <f>K36-Table13813[[#This Row],[Adj Allowed Hrs]]</f>
        <v>-11.61</v>
      </c>
    </row>
    <row r="37" spans="5:12" hidden="1">
      <c r="E37" s="14" t="s">
        <v>12</v>
      </c>
      <c r="F37" s="15">
        <v>26</v>
      </c>
      <c r="G37" s="16">
        <v>24</v>
      </c>
      <c r="H37" s="17">
        <v>0.79</v>
      </c>
      <c r="I37" s="17">
        <f>Table13813[[#This Row],[LHC]]*Table13813[[#This Row],[Cars WTD (EDIT)]]</f>
        <v>18.96</v>
      </c>
      <c r="J37" s="17" cm="1">
        <f t="array" ref="J37">_xlfn.IFS(Table13813[[#This Row],[Allowed Hours]]=0,0,Table13813[[#This Row],[Allowed Hours]]&lt;25.3,25.3,Table13813[[#This Row],[Allowed Hours]]&gt;25.3,Table13813[[#This Row],[Allowed Hours]])</f>
        <v>25.3</v>
      </c>
      <c r="K37" s="18">
        <v>22</v>
      </c>
      <c r="L37" s="19">
        <f>K37-Table13813[[#This Row],[Adj Allowed Hrs]]</f>
        <v>-3.3000000000000007</v>
      </c>
    </row>
    <row r="38" spans="5:12" hidden="1">
      <c r="E38" s="14" t="s">
        <v>14</v>
      </c>
      <c r="F38" s="15">
        <v>29</v>
      </c>
      <c r="G38" s="16">
        <v>48</v>
      </c>
      <c r="H38" s="17">
        <v>0.79</v>
      </c>
      <c r="I38" s="17">
        <f>Table13813[[#This Row],[LHC]]*Table13813[[#This Row],[Cars WTD (EDIT)]]</f>
        <v>37.92</v>
      </c>
      <c r="J38" s="17" cm="1">
        <f t="array" ref="J38">_xlfn.IFS(Table13813[[#This Row],[Allowed Hours]]=0,0,Table13813[[#This Row],[Allowed Hours]]&lt;25.3,25.3,Table13813[[#This Row],[Allowed Hours]]&gt;25.3,Table13813[[#This Row],[Allowed Hours]])</f>
        <v>37.92</v>
      </c>
      <c r="K38" s="18">
        <v>45.79</v>
      </c>
      <c r="L38" s="19">
        <f>K38-Table13813[[#This Row],[Adj Allowed Hrs]]</f>
        <v>7.8699999999999974</v>
      </c>
    </row>
    <row r="39" spans="5:12" hidden="1">
      <c r="E39" s="14" t="s">
        <v>14</v>
      </c>
      <c r="F39" s="15">
        <v>40</v>
      </c>
      <c r="G39" s="16">
        <v>33</v>
      </c>
      <c r="H39" s="17">
        <v>0.79</v>
      </c>
      <c r="I39" s="17">
        <f>Table13813[[#This Row],[LHC]]*Table13813[[#This Row],[Cars WTD (EDIT)]]</f>
        <v>26.07</v>
      </c>
      <c r="J39" s="17" cm="1">
        <f t="array" ref="J39">_xlfn.IFS(Table13813[[#This Row],[Allowed Hours]]=0,0,Table13813[[#This Row],[Allowed Hours]]&lt;25.3,25.3,Table13813[[#This Row],[Allowed Hours]]&gt;25.3,Table13813[[#This Row],[Allowed Hours]])</f>
        <v>26.07</v>
      </c>
      <c r="K39" s="18">
        <v>25.84</v>
      </c>
      <c r="L39" s="19">
        <f>K39-Table13813[[#This Row],[Adj Allowed Hrs]]</f>
        <v>-0.23000000000000043</v>
      </c>
    </row>
    <row r="40" spans="5:12" hidden="1">
      <c r="E40" s="14" t="s">
        <v>14</v>
      </c>
      <c r="F40" s="15">
        <v>280</v>
      </c>
      <c r="G40" s="16">
        <v>20</v>
      </c>
      <c r="H40" s="17">
        <v>0.79</v>
      </c>
      <c r="I40" s="17">
        <f>Table13813[[#This Row],[LHC]]*Table13813[[#This Row],[Cars WTD (EDIT)]]</f>
        <v>15.8</v>
      </c>
      <c r="J40" s="17" cm="1">
        <f t="array" ref="J40">_xlfn.IFS(Table13813[[#This Row],[Allowed Hours]]=0,0,Table13813[[#This Row],[Allowed Hours]]&lt;25.3,25.3,Table13813[[#This Row],[Allowed Hours]]&gt;25.3,Table13813[[#This Row],[Allowed Hours]])</f>
        <v>25.3</v>
      </c>
      <c r="K40" s="18">
        <v>24.25</v>
      </c>
      <c r="L40" s="19">
        <f>K40-Table13813[[#This Row],[Adj Allowed Hrs]]</f>
        <v>-1.0500000000000007</v>
      </c>
    </row>
    <row r="41" spans="5:12" hidden="1">
      <c r="E41" s="14" t="s">
        <v>14</v>
      </c>
      <c r="F41" s="15">
        <v>599</v>
      </c>
      <c r="G41" s="16">
        <v>34</v>
      </c>
      <c r="H41" s="17">
        <v>0.79</v>
      </c>
      <c r="I41" s="17">
        <f>Table13813[[#This Row],[LHC]]*Table13813[[#This Row],[Cars WTD (EDIT)]]</f>
        <v>26.86</v>
      </c>
      <c r="J41" s="17" cm="1">
        <f t="array" ref="J41">_xlfn.IFS(Table13813[[#This Row],[Allowed Hours]]=0,0,Table13813[[#This Row],[Allowed Hours]]&lt;25.3,25.3,Table13813[[#This Row],[Allowed Hours]]&gt;25.3,Table13813[[#This Row],[Allowed Hours]])</f>
        <v>26.86</v>
      </c>
      <c r="K41" s="18">
        <v>27.33</v>
      </c>
      <c r="L41" s="19">
        <f>K41-Table13813[[#This Row],[Adj Allowed Hrs]]</f>
        <v>0.46999999999999886</v>
      </c>
    </row>
    <row r="42" spans="5:12" hidden="1">
      <c r="E42" s="14" t="s">
        <v>14</v>
      </c>
      <c r="F42" s="15">
        <v>720</v>
      </c>
      <c r="G42" s="16">
        <v>22</v>
      </c>
      <c r="H42" s="17">
        <v>0.79</v>
      </c>
      <c r="I42" s="17">
        <f>Table13813[[#This Row],[LHC]]*Table13813[[#This Row],[Cars WTD (EDIT)]]</f>
        <v>17.380000000000003</v>
      </c>
      <c r="J42" s="17" cm="1">
        <f t="array" ref="J42">_xlfn.IFS(Table13813[[#This Row],[Allowed Hours]]=0,0,Table13813[[#This Row],[Allowed Hours]]&lt;25.3,25.3,Table13813[[#This Row],[Allowed Hours]]&gt;25.3,Table13813[[#This Row],[Allowed Hours]])</f>
        <v>25.3</v>
      </c>
      <c r="K42" s="18">
        <v>27.75</v>
      </c>
      <c r="L42" s="19">
        <f>K42-Table13813[[#This Row],[Adj Allowed Hrs]]</f>
        <v>2.4499999999999993</v>
      </c>
    </row>
    <row r="43" spans="5:12" hidden="1">
      <c r="E43" s="14" t="s">
        <v>14</v>
      </c>
      <c r="F43" s="15">
        <v>728</v>
      </c>
      <c r="G43" s="16">
        <v>10</v>
      </c>
      <c r="H43" s="17">
        <v>0.79</v>
      </c>
      <c r="I43" s="17">
        <f>Table13813[[#This Row],[LHC]]*Table13813[[#This Row],[Cars WTD (EDIT)]]</f>
        <v>7.9</v>
      </c>
      <c r="J43" s="17" cm="1">
        <f t="array" ref="J43">_xlfn.IFS(Table13813[[#This Row],[Allowed Hours]]=0,0,Table13813[[#This Row],[Allowed Hours]]&lt;25.3,25.3,Table13813[[#This Row],[Allowed Hours]]&gt;25.3,Table13813[[#This Row],[Allowed Hours]])</f>
        <v>25.3</v>
      </c>
      <c r="K43" s="18">
        <v>32.31</v>
      </c>
      <c r="L43" s="19">
        <f>K43-Table13813[[#This Row],[Adj Allowed Hrs]]</f>
        <v>7.0100000000000016</v>
      </c>
    </row>
    <row r="44" spans="5:12" hidden="1">
      <c r="E44" s="14" t="s">
        <v>14</v>
      </c>
      <c r="F44" s="15">
        <v>830</v>
      </c>
      <c r="G44" s="16">
        <v>21</v>
      </c>
      <c r="H44" s="17">
        <v>0.79</v>
      </c>
      <c r="I44" s="17">
        <f>Table13813[[#This Row],[LHC]]*Table13813[[#This Row],[Cars WTD (EDIT)]]</f>
        <v>16.59</v>
      </c>
      <c r="J44" s="17" cm="1">
        <f t="array" ref="J44">_xlfn.IFS(Table13813[[#This Row],[Allowed Hours]]=0,0,Table13813[[#This Row],[Allowed Hours]]&lt;25.3,25.3,Table13813[[#This Row],[Allowed Hours]]&gt;25.3,Table13813[[#This Row],[Allowed Hours]])</f>
        <v>25.3</v>
      </c>
      <c r="K44" s="18">
        <v>23.4</v>
      </c>
      <c r="L44" s="19">
        <f>K44-Table13813[[#This Row],[Adj Allowed Hrs]]</f>
        <v>-1.9000000000000021</v>
      </c>
    </row>
    <row r="45" spans="5:12" hidden="1">
      <c r="E45" s="14" t="s">
        <v>14</v>
      </c>
      <c r="F45" s="15">
        <v>975</v>
      </c>
      <c r="G45" s="16">
        <v>0</v>
      </c>
      <c r="H45" s="17">
        <v>0.79</v>
      </c>
      <c r="I45" s="17">
        <f>Table13813[[#This Row],[LHC]]*Table13813[[#This Row],[Cars WTD (EDIT)]]</f>
        <v>0</v>
      </c>
      <c r="J45" s="17" cm="1">
        <f t="array" ref="J45">_xlfn.IFS(Table13813[[#This Row],[Allowed Hours]]=0,0,Table13813[[#This Row],[Allowed Hours]]&lt;25.3,25.3,Table13813[[#This Row],[Allowed Hours]]&gt;25.3,Table13813[[#This Row],[Allowed Hours]])</f>
        <v>0</v>
      </c>
      <c r="K45" s="18">
        <v>0</v>
      </c>
      <c r="L45" s="19">
        <f>K45-Table13813[[#This Row],[Adj Allowed Hrs]]</f>
        <v>0</v>
      </c>
    </row>
    <row r="46" spans="5:12" hidden="1">
      <c r="E46" s="14" t="s">
        <v>16</v>
      </c>
      <c r="F46" s="15">
        <v>46</v>
      </c>
      <c r="G46" s="16">
        <v>36</v>
      </c>
      <c r="H46" s="17">
        <v>0.79</v>
      </c>
      <c r="I46" s="17">
        <f>Table13813[[#This Row],[LHC]]*Table13813[[#This Row],[Cars WTD (EDIT)]]</f>
        <v>28.44</v>
      </c>
      <c r="J46" s="17" cm="1">
        <f t="array" ref="J46">_xlfn.IFS(Table13813[[#This Row],[Allowed Hours]]=0,0,Table13813[[#This Row],[Allowed Hours]]&lt;25.3,25.3,Table13813[[#This Row],[Allowed Hours]]&gt;25.3,Table13813[[#This Row],[Allowed Hours]])</f>
        <v>28.44</v>
      </c>
      <c r="K46" s="18">
        <v>27.86</v>
      </c>
      <c r="L46" s="19">
        <f>K46-Table13813[[#This Row],[Adj Allowed Hrs]]</f>
        <v>-0.58000000000000185</v>
      </c>
    </row>
    <row r="47" spans="5:12" hidden="1">
      <c r="E47" s="14" t="s">
        <v>16</v>
      </c>
      <c r="F47" s="15">
        <v>283</v>
      </c>
      <c r="G47" s="16">
        <v>26</v>
      </c>
      <c r="H47" s="17">
        <v>0.79</v>
      </c>
      <c r="I47" s="17">
        <f>Table13813[[#This Row],[LHC]]*Table13813[[#This Row],[Cars WTD (EDIT)]]</f>
        <v>20.54</v>
      </c>
      <c r="J47" s="17" cm="1">
        <f t="array" ref="J47">_xlfn.IFS(Table13813[[#This Row],[Allowed Hours]]=0,0,Table13813[[#This Row],[Allowed Hours]]&lt;25.3,25.3,Table13813[[#This Row],[Allowed Hours]]&gt;25.3,Table13813[[#This Row],[Allowed Hours]])</f>
        <v>25.3</v>
      </c>
      <c r="K47" s="18">
        <v>25.07</v>
      </c>
      <c r="L47" s="19">
        <f>K47-Table13813[[#This Row],[Adj Allowed Hrs]]</f>
        <v>-0.23000000000000043</v>
      </c>
    </row>
    <row r="48" spans="5:12" hidden="1">
      <c r="E48" s="14" t="s">
        <v>16</v>
      </c>
      <c r="F48" s="15">
        <v>847</v>
      </c>
      <c r="G48" s="16">
        <v>13</v>
      </c>
      <c r="H48" s="17">
        <v>0.79</v>
      </c>
      <c r="I48" s="17">
        <f>Table13813[[#This Row],[LHC]]*Table13813[[#This Row],[Cars WTD (EDIT)]]</f>
        <v>10.27</v>
      </c>
      <c r="J48" s="17" cm="1">
        <f t="array" ref="J48">_xlfn.IFS(Table13813[[#This Row],[Allowed Hours]]=0,0,Table13813[[#This Row],[Allowed Hours]]&lt;25.3,25.3,Table13813[[#This Row],[Allowed Hours]]&gt;25.3,Table13813[[#This Row],[Allowed Hours]])</f>
        <v>25.3</v>
      </c>
      <c r="K48" s="18">
        <v>27.12</v>
      </c>
      <c r="L48" s="19">
        <f>K48-Table13813[[#This Row],[Adj Allowed Hrs]]</f>
        <v>1.8200000000000003</v>
      </c>
    </row>
    <row r="49" spans="5:12" hidden="1">
      <c r="E49" s="14" t="s">
        <v>16</v>
      </c>
      <c r="F49" s="15">
        <v>865</v>
      </c>
      <c r="G49" s="16">
        <v>30</v>
      </c>
      <c r="H49" s="17">
        <v>0.79</v>
      </c>
      <c r="I49" s="17">
        <f>Table13813[[#This Row],[LHC]]*Table13813[[#This Row],[Cars WTD (EDIT)]]</f>
        <v>23.700000000000003</v>
      </c>
      <c r="J49" s="17" cm="1">
        <f t="array" ref="J49">_xlfn.IFS(Table13813[[#This Row],[Allowed Hours]]=0,0,Table13813[[#This Row],[Allowed Hours]]&lt;25.3,25.3,Table13813[[#This Row],[Allowed Hours]]&gt;25.3,Table13813[[#This Row],[Allowed Hours]])</f>
        <v>25.3</v>
      </c>
      <c r="K49" s="18">
        <v>21.25</v>
      </c>
      <c r="L49" s="19">
        <f>K49-Table13813[[#This Row],[Adj Allowed Hrs]]</f>
        <v>-4.0500000000000007</v>
      </c>
    </row>
    <row r="50" spans="5:12" hidden="1">
      <c r="E50" s="14" t="s">
        <v>16</v>
      </c>
      <c r="F50" s="15">
        <v>919</v>
      </c>
      <c r="G50" s="16">
        <v>37</v>
      </c>
      <c r="H50" s="17">
        <v>0.79</v>
      </c>
      <c r="I50" s="17">
        <f>Table13813[[#This Row],[LHC]]*Table13813[[#This Row],[Cars WTD (EDIT)]]</f>
        <v>29.23</v>
      </c>
      <c r="J50" s="17" cm="1">
        <f t="array" ref="J50">_xlfn.IFS(Table13813[[#This Row],[Allowed Hours]]=0,0,Table13813[[#This Row],[Allowed Hours]]&lt;25.3,25.3,Table13813[[#This Row],[Allowed Hours]]&gt;25.3,Table13813[[#This Row],[Allowed Hours]])</f>
        <v>29.23</v>
      </c>
      <c r="K50" s="18">
        <v>36.56</v>
      </c>
      <c r="L50" s="19">
        <f>K50-Table13813[[#This Row],[Adj Allowed Hrs]]</f>
        <v>7.3300000000000018</v>
      </c>
    </row>
    <row r="51" spans="5:12" hidden="1">
      <c r="E51" s="14" t="s">
        <v>16</v>
      </c>
      <c r="F51" s="15">
        <v>954</v>
      </c>
      <c r="G51" s="16">
        <v>24</v>
      </c>
      <c r="H51" s="17">
        <v>0.79</v>
      </c>
      <c r="I51" s="17">
        <f>Table13813[[#This Row],[LHC]]*Table13813[[#This Row],[Cars WTD (EDIT)]]</f>
        <v>18.96</v>
      </c>
      <c r="J51" s="17" cm="1">
        <f t="array" ref="J51">_xlfn.IFS(Table13813[[#This Row],[Allowed Hours]]=0,0,Table13813[[#This Row],[Allowed Hours]]&lt;25.3,25.3,Table13813[[#This Row],[Allowed Hours]]&gt;25.3,Table13813[[#This Row],[Allowed Hours]])</f>
        <v>25.3</v>
      </c>
      <c r="K51" s="18">
        <v>19.5</v>
      </c>
      <c r="L51" s="19">
        <f>K51-Table13813[[#This Row],[Adj Allowed Hrs]]</f>
        <v>-5.8000000000000007</v>
      </c>
    </row>
    <row r="52" spans="5:12" hidden="1">
      <c r="E52" s="14" t="s">
        <v>16</v>
      </c>
      <c r="F52" s="15">
        <v>3017</v>
      </c>
      <c r="G52" s="16">
        <v>13</v>
      </c>
      <c r="H52" s="17">
        <v>0.79</v>
      </c>
      <c r="I52" s="17">
        <f>Table13813[[#This Row],[LHC]]*Table13813[[#This Row],[Cars WTD (EDIT)]]</f>
        <v>10.27</v>
      </c>
      <c r="J52" s="17" cm="1">
        <f t="array" ref="J52">_xlfn.IFS(Table13813[[#This Row],[Allowed Hours]]=0,0,Table13813[[#This Row],[Allowed Hours]]&lt;25.3,25.3,Table13813[[#This Row],[Allowed Hours]]&gt;25.3,Table13813[[#This Row],[Allowed Hours]])</f>
        <v>25.3</v>
      </c>
      <c r="K52" s="18">
        <v>20.72</v>
      </c>
      <c r="L52" s="19">
        <f>K52-Table13813[[#This Row],[Adj Allowed Hrs]]</f>
        <v>-4.5800000000000018</v>
      </c>
    </row>
    <row r="53" spans="5:12" hidden="1">
      <c r="E53" s="14" t="s">
        <v>26</v>
      </c>
      <c r="F53" s="15">
        <v>1</v>
      </c>
      <c r="G53" s="16">
        <v>23</v>
      </c>
      <c r="H53" s="17">
        <v>0.79</v>
      </c>
      <c r="I53" s="17">
        <f>Table13813[[#This Row],[LHC]]*Table13813[[#This Row],[Cars WTD (EDIT)]]</f>
        <v>18.170000000000002</v>
      </c>
      <c r="J53" s="17" cm="1">
        <f t="array" ref="J53">_xlfn.IFS(Table13813[[#This Row],[Allowed Hours]]=0,0,Table13813[[#This Row],[Allowed Hours]]&lt;25.3,25.3,Table13813[[#This Row],[Allowed Hours]]&gt;25.3,Table13813[[#This Row],[Allowed Hours]])</f>
        <v>25.3</v>
      </c>
      <c r="K53" s="18">
        <v>40.53</v>
      </c>
      <c r="L53" s="19">
        <f>K53-Table13813[[#This Row],[Adj Allowed Hrs]]</f>
        <v>15.23</v>
      </c>
    </row>
    <row r="54" spans="5:12" hidden="1">
      <c r="E54" s="14" t="s">
        <v>26</v>
      </c>
      <c r="F54" s="15">
        <v>2</v>
      </c>
      <c r="G54" s="16">
        <v>36</v>
      </c>
      <c r="H54" s="17">
        <v>0.79</v>
      </c>
      <c r="I54" s="17">
        <f>Table13813[[#This Row],[LHC]]*Table13813[[#This Row],[Cars WTD (EDIT)]]</f>
        <v>28.44</v>
      </c>
      <c r="J54" s="17" cm="1">
        <f t="array" ref="J54">_xlfn.IFS(Table13813[[#This Row],[Allowed Hours]]=0,0,Table13813[[#This Row],[Allowed Hours]]&lt;25.3,25.3,Table13813[[#This Row],[Allowed Hours]]&gt;25.3,Table13813[[#This Row],[Allowed Hours]])</f>
        <v>28.44</v>
      </c>
      <c r="K54" s="18">
        <v>28.32</v>
      </c>
      <c r="L54" s="19">
        <f>K54-Table13813[[#This Row],[Adj Allowed Hrs]]</f>
        <v>-0.12000000000000099</v>
      </c>
    </row>
    <row r="55" spans="5:12" hidden="1">
      <c r="E55" s="14" t="s">
        <v>26</v>
      </c>
      <c r="F55" s="15">
        <v>4</v>
      </c>
      <c r="G55" s="16">
        <v>47</v>
      </c>
      <c r="H55" s="17">
        <v>0.79</v>
      </c>
      <c r="I55" s="17">
        <f>Table13813[[#This Row],[LHC]]*Table13813[[#This Row],[Cars WTD (EDIT)]]</f>
        <v>37.130000000000003</v>
      </c>
      <c r="J55" s="17" cm="1">
        <f t="array" ref="J55">_xlfn.IFS(Table13813[[#This Row],[Allowed Hours]]=0,0,Table13813[[#This Row],[Allowed Hours]]&lt;25.3,25.3,Table13813[[#This Row],[Allowed Hours]]&gt;25.3,Table13813[[#This Row],[Allowed Hours]])</f>
        <v>37.130000000000003</v>
      </c>
      <c r="K55" s="18">
        <v>61.47</v>
      </c>
      <c r="L55" s="19">
        <f>K55-Table13813[[#This Row],[Adj Allowed Hrs]]</f>
        <v>24.339999999999996</v>
      </c>
    </row>
    <row r="56" spans="5:12" hidden="1">
      <c r="E56" s="14" t="s">
        <v>26</v>
      </c>
      <c r="F56" s="15">
        <v>6</v>
      </c>
      <c r="G56" s="16">
        <v>46</v>
      </c>
      <c r="H56" s="17">
        <v>0.79</v>
      </c>
      <c r="I56" s="17">
        <f>Table13813[[#This Row],[LHC]]*Table13813[[#This Row],[Cars WTD (EDIT)]]</f>
        <v>36.340000000000003</v>
      </c>
      <c r="J56" s="17" cm="1">
        <f t="array" ref="J56">_xlfn.IFS(Table13813[[#This Row],[Allowed Hours]]=0,0,Table13813[[#This Row],[Allowed Hours]]&lt;25.3,25.3,Table13813[[#This Row],[Allowed Hours]]&gt;25.3,Table13813[[#This Row],[Allowed Hours]])</f>
        <v>36.340000000000003</v>
      </c>
      <c r="K56" s="18">
        <v>18.649999999999999</v>
      </c>
      <c r="L56" s="19">
        <f>K56-Table13813[[#This Row],[Adj Allowed Hrs]]</f>
        <v>-17.690000000000005</v>
      </c>
    </row>
    <row r="57" spans="5:12" hidden="1">
      <c r="E57" s="14" t="s">
        <v>26</v>
      </c>
      <c r="F57" s="15">
        <v>15</v>
      </c>
      <c r="G57" s="16">
        <v>53</v>
      </c>
      <c r="H57" s="17">
        <v>0.79</v>
      </c>
      <c r="I57" s="17">
        <f>Table13813[[#This Row],[LHC]]*Table13813[[#This Row],[Cars WTD (EDIT)]]</f>
        <v>41.870000000000005</v>
      </c>
      <c r="J57" s="17" cm="1">
        <f t="array" ref="J57">_xlfn.IFS(Table13813[[#This Row],[Allowed Hours]]=0,0,Table13813[[#This Row],[Allowed Hours]]&lt;25.3,25.3,Table13813[[#This Row],[Allowed Hours]]&gt;25.3,Table13813[[#This Row],[Allowed Hours]])</f>
        <v>41.870000000000005</v>
      </c>
      <c r="K57" s="18">
        <v>27.51</v>
      </c>
      <c r="L57" s="19">
        <f>K57-Table13813[[#This Row],[Adj Allowed Hrs]]</f>
        <v>-14.360000000000003</v>
      </c>
    </row>
    <row r="58" spans="5:12" hidden="1">
      <c r="E58" s="14" t="s">
        <v>26</v>
      </c>
      <c r="F58" s="15">
        <v>28</v>
      </c>
      <c r="G58" s="16">
        <v>50</v>
      </c>
      <c r="H58" s="17">
        <v>0.79</v>
      </c>
      <c r="I58" s="17">
        <f>Table13813[[#This Row],[LHC]]*Table13813[[#This Row],[Cars WTD (EDIT)]]</f>
        <v>39.5</v>
      </c>
      <c r="J58" s="17" cm="1">
        <f t="array" ref="J58">_xlfn.IFS(Table13813[[#This Row],[Allowed Hours]]=0,0,Table13813[[#This Row],[Allowed Hours]]&lt;25.3,25.3,Table13813[[#This Row],[Allowed Hours]]&gt;25.3,Table13813[[#This Row],[Allowed Hours]])</f>
        <v>39.5</v>
      </c>
      <c r="K58" s="18">
        <v>37.090000000000003</v>
      </c>
      <c r="L58" s="19">
        <f>K58-Table13813[[#This Row],[Adj Allowed Hrs]]</f>
        <v>-2.4099999999999966</v>
      </c>
    </row>
    <row r="59" spans="5:12" hidden="1">
      <c r="E59" s="14" t="s">
        <v>26</v>
      </c>
      <c r="F59" s="15">
        <v>32</v>
      </c>
      <c r="G59" s="16">
        <v>38</v>
      </c>
      <c r="H59" s="17">
        <v>0.79</v>
      </c>
      <c r="I59" s="17">
        <f>Table13813[[#This Row],[LHC]]*Table13813[[#This Row],[Cars WTD (EDIT)]]</f>
        <v>30.020000000000003</v>
      </c>
      <c r="J59" s="17" cm="1">
        <f t="array" ref="J59">_xlfn.IFS(Table13813[[#This Row],[Allowed Hours]]=0,0,Table13813[[#This Row],[Allowed Hours]]&lt;25.3,25.3,Table13813[[#This Row],[Allowed Hours]]&gt;25.3,Table13813[[#This Row],[Allowed Hours]])</f>
        <v>30.020000000000003</v>
      </c>
      <c r="K59" s="18">
        <v>29.71</v>
      </c>
      <c r="L59" s="19">
        <f>K59-Table13813[[#This Row],[Adj Allowed Hrs]]</f>
        <v>-0.31000000000000227</v>
      </c>
    </row>
    <row r="60" spans="5:12" hidden="1">
      <c r="E60" s="14" t="s">
        <v>26</v>
      </c>
      <c r="F60" s="15">
        <v>606</v>
      </c>
      <c r="G60" s="16">
        <v>39</v>
      </c>
      <c r="H60" s="17">
        <v>0.79</v>
      </c>
      <c r="I60" s="17">
        <f>Table13813[[#This Row],[LHC]]*Table13813[[#This Row],[Cars WTD (EDIT)]]</f>
        <v>30.810000000000002</v>
      </c>
      <c r="J60" s="17" cm="1">
        <f t="array" ref="J60">_xlfn.IFS(Table13813[[#This Row],[Allowed Hours]]=0,0,Table13813[[#This Row],[Allowed Hours]]&lt;25.3,25.3,Table13813[[#This Row],[Allowed Hours]]&gt;25.3,Table13813[[#This Row],[Allowed Hours]])</f>
        <v>30.810000000000002</v>
      </c>
      <c r="K60" s="18">
        <v>40.869999999999997</v>
      </c>
      <c r="L60" s="19">
        <f>K60-Table13813[[#This Row],[Adj Allowed Hrs]]</f>
        <v>10.059999999999995</v>
      </c>
    </row>
    <row r="61" spans="5:12" hidden="1">
      <c r="E61" s="14" t="s">
        <v>26</v>
      </c>
      <c r="F61" s="15">
        <v>999</v>
      </c>
      <c r="G61" s="16">
        <v>36</v>
      </c>
      <c r="H61" s="17">
        <v>0.79</v>
      </c>
      <c r="I61" s="17">
        <f>Table13813[[#This Row],[LHC]]*Table13813[[#This Row],[Cars WTD (EDIT)]]</f>
        <v>28.44</v>
      </c>
      <c r="J61" s="17" cm="1">
        <f t="array" ref="J61">_xlfn.IFS(Table13813[[#This Row],[Allowed Hours]]=0,0,Table13813[[#This Row],[Allowed Hours]]&lt;25.3,25.3,Table13813[[#This Row],[Allowed Hours]]&gt;25.3,Table13813[[#This Row],[Allowed Hours]])</f>
        <v>28.44</v>
      </c>
      <c r="K61" s="18">
        <v>38.840000000000003</v>
      </c>
      <c r="L61" s="19">
        <f>K61-Table13813[[#This Row],[Adj Allowed Hrs]]</f>
        <v>10.400000000000002</v>
      </c>
    </row>
    <row r="62" spans="5:12" hidden="1">
      <c r="E62" s="14" t="s">
        <v>27</v>
      </c>
      <c r="F62" s="15">
        <v>8</v>
      </c>
      <c r="G62" s="16">
        <v>47</v>
      </c>
      <c r="H62" s="17">
        <v>0.79</v>
      </c>
      <c r="I62" s="17">
        <f>Table13813[[#This Row],[LHC]]*Table13813[[#This Row],[Cars WTD (EDIT)]]</f>
        <v>37.130000000000003</v>
      </c>
      <c r="J62" s="17" cm="1">
        <f t="array" ref="J62">_xlfn.IFS(Table13813[[#This Row],[Allowed Hours]]=0,0,Table13813[[#This Row],[Allowed Hours]]&lt;25.3,25.3,Table13813[[#This Row],[Allowed Hours]]&gt;25.3,Table13813[[#This Row],[Allowed Hours]])</f>
        <v>37.130000000000003</v>
      </c>
      <c r="K62" s="18">
        <v>37.43</v>
      </c>
      <c r="L62" s="19">
        <f>K62-Table13813[[#This Row],[Adj Allowed Hrs]]</f>
        <v>0.29999999999999716</v>
      </c>
    </row>
    <row r="63" spans="5:12" hidden="1">
      <c r="E63" s="14" t="s">
        <v>27</v>
      </c>
      <c r="F63" s="15">
        <v>10</v>
      </c>
      <c r="G63" s="16">
        <v>36</v>
      </c>
      <c r="H63" s="17">
        <v>0.79</v>
      </c>
      <c r="I63" s="17">
        <f>Table13813[[#This Row],[LHC]]*Table13813[[#This Row],[Cars WTD (EDIT)]]</f>
        <v>28.44</v>
      </c>
      <c r="J63" s="17" cm="1">
        <f t="array" ref="J63">_xlfn.IFS(Table13813[[#This Row],[Allowed Hours]]=0,0,Table13813[[#This Row],[Allowed Hours]]&lt;25.3,25.3,Table13813[[#This Row],[Allowed Hours]]&gt;25.3,Table13813[[#This Row],[Allowed Hours]])</f>
        <v>28.44</v>
      </c>
      <c r="K63" s="18">
        <v>28.56</v>
      </c>
      <c r="L63" s="19">
        <f>K63-Table13813[[#This Row],[Adj Allowed Hrs]]</f>
        <v>0.11999999999999744</v>
      </c>
    </row>
    <row r="64" spans="5:12" hidden="1">
      <c r="E64" s="14" t="s">
        <v>27</v>
      </c>
      <c r="F64" s="15">
        <v>12</v>
      </c>
      <c r="G64" s="16">
        <v>26</v>
      </c>
      <c r="H64" s="17">
        <v>0.79</v>
      </c>
      <c r="I64" s="17">
        <f>Table13813[[#This Row],[LHC]]*Table13813[[#This Row],[Cars WTD (EDIT)]]</f>
        <v>20.54</v>
      </c>
      <c r="J64" s="17" cm="1">
        <f t="array" ref="J64">_xlfn.IFS(Table13813[[#This Row],[Allowed Hours]]=0,0,Table13813[[#This Row],[Allowed Hours]]&lt;25.3,25.3,Table13813[[#This Row],[Allowed Hours]]&gt;25.3,Table13813[[#This Row],[Allowed Hours]])</f>
        <v>25.3</v>
      </c>
      <c r="K64" s="18">
        <v>36.06</v>
      </c>
      <c r="L64" s="19">
        <f>K64-Table13813[[#This Row],[Adj Allowed Hrs]]</f>
        <v>10.760000000000002</v>
      </c>
    </row>
    <row r="65" spans="5:12" hidden="1">
      <c r="E65" s="14" t="s">
        <v>27</v>
      </c>
      <c r="F65" s="15">
        <v>13</v>
      </c>
      <c r="G65" s="16">
        <v>41</v>
      </c>
      <c r="H65" s="17">
        <v>0.79</v>
      </c>
      <c r="I65" s="17">
        <f>Table13813[[#This Row],[LHC]]*Table13813[[#This Row],[Cars WTD (EDIT)]]</f>
        <v>32.39</v>
      </c>
      <c r="J65" s="17" cm="1">
        <f t="array" ref="J65">_xlfn.IFS(Table13813[[#This Row],[Allowed Hours]]=0,0,Table13813[[#This Row],[Allowed Hours]]&lt;25.3,25.3,Table13813[[#This Row],[Allowed Hours]]&gt;25.3,Table13813[[#This Row],[Allowed Hours]])</f>
        <v>32.39</v>
      </c>
      <c r="K65" s="18">
        <v>34.9</v>
      </c>
      <c r="L65" s="19">
        <f>K65-Table13813[[#This Row],[Adj Allowed Hrs]]</f>
        <v>2.509999999999998</v>
      </c>
    </row>
    <row r="66" spans="5:12" hidden="1">
      <c r="E66" s="14" t="s">
        <v>27</v>
      </c>
      <c r="F66" s="15">
        <v>31</v>
      </c>
      <c r="G66" s="16">
        <v>53</v>
      </c>
      <c r="H66" s="17">
        <v>0.79</v>
      </c>
      <c r="I66" s="17">
        <f>Table13813[[#This Row],[LHC]]*Table13813[[#This Row],[Cars WTD (EDIT)]]</f>
        <v>41.870000000000005</v>
      </c>
      <c r="J66" s="17" cm="1">
        <f t="array" ref="J66">_xlfn.IFS(Table13813[[#This Row],[Allowed Hours]]=0,0,Table13813[[#This Row],[Allowed Hours]]&lt;25.3,25.3,Table13813[[#This Row],[Allowed Hours]]&gt;25.3,Table13813[[#This Row],[Allowed Hours]])</f>
        <v>41.870000000000005</v>
      </c>
      <c r="K66" s="18">
        <v>41.73</v>
      </c>
      <c r="L66" s="19">
        <f>K66-Table13813[[#This Row],[Adj Allowed Hrs]]</f>
        <v>-0.14000000000000767</v>
      </c>
    </row>
    <row r="67" spans="5:12" hidden="1">
      <c r="E67" s="14" t="s">
        <v>27</v>
      </c>
      <c r="F67" s="15">
        <v>92</v>
      </c>
      <c r="G67" s="16">
        <v>53</v>
      </c>
      <c r="H67" s="17">
        <v>0.79</v>
      </c>
      <c r="I67" s="17">
        <f>Table13813[[#This Row],[LHC]]*Table13813[[#This Row],[Cars WTD (EDIT)]]</f>
        <v>41.870000000000005</v>
      </c>
      <c r="J67" s="17" cm="1">
        <f t="array" ref="J67">_xlfn.IFS(Table13813[[#This Row],[Allowed Hours]]=0,0,Table13813[[#This Row],[Allowed Hours]]&lt;25.3,25.3,Table13813[[#This Row],[Allowed Hours]]&gt;25.3,Table13813[[#This Row],[Allowed Hours]])</f>
        <v>41.870000000000005</v>
      </c>
      <c r="K67" s="18">
        <v>42.86</v>
      </c>
      <c r="L67" s="19">
        <f>K67-Table13813[[#This Row],[Adj Allowed Hrs]]</f>
        <v>0.98999999999999488</v>
      </c>
    </row>
    <row r="68" spans="5:12" hidden="1">
      <c r="E68" s="14" t="s">
        <v>27</v>
      </c>
      <c r="F68" s="15">
        <v>116</v>
      </c>
      <c r="G68" s="16">
        <v>45</v>
      </c>
      <c r="H68" s="17">
        <v>0.79</v>
      </c>
      <c r="I68" s="17">
        <f>Table13813[[#This Row],[LHC]]*Table13813[[#This Row],[Cars WTD (EDIT)]]</f>
        <v>35.550000000000004</v>
      </c>
      <c r="J68" s="17" cm="1">
        <f t="array" ref="J68">_xlfn.IFS(Table13813[[#This Row],[Allowed Hours]]=0,0,Table13813[[#This Row],[Allowed Hours]]&lt;25.3,25.3,Table13813[[#This Row],[Allowed Hours]]&gt;25.3,Table13813[[#This Row],[Allowed Hours]])</f>
        <v>35.550000000000004</v>
      </c>
      <c r="K68" s="18">
        <v>41.03</v>
      </c>
      <c r="L68" s="19">
        <f>K68-Table13813[[#This Row],[Adj Allowed Hrs]]</f>
        <v>5.4799999999999969</v>
      </c>
    </row>
    <row r="69" spans="5:12" hidden="1">
      <c r="E69" s="20" t="s">
        <v>27</v>
      </c>
      <c r="F69" s="21">
        <v>870</v>
      </c>
      <c r="G69" s="22">
        <v>21</v>
      </c>
      <c r="H69" s="23">
        <v>0.79</v>
      </c>
      <c r="I69" s="17">
        <f>Table13813[[#This Row],[LHC]]*Table13813[[#This Row],[Cars WTD (EDIT)]]</f>
        <v>16.59</v>
      </c>
      <c r="J69" s="23" cm="1">
        <f t="array" ref="J69">_xlfn.IFS(Table13813[[#This Row],[Allowed Hours]]=0,0,Table13813[[#This Row],[Allowed Hours]]&lt;25.3,25.3,Table13813[[#This Row],[Allowed Hours]]&gt;25.3,Table13813[[#This Row],[Allowed Hours]])</f>
        <v>25.3</v>
      </c>
      <c r="K69" s="24">
        <v>30.8</v>
      </c>
      <c r="L69" s="25">
        <f>K69-Table13813[[#This Row],[Adj Allowed Hrs]]</f>
        <v>5.5</v>
      </c>
    </row>
    <row r="70" spans="5:12" hidden="1">
      <c r="E70" s="20" t="s">
        <v>27</v>
      </c>
      <c r="F70" s="21">
        <v>3004</v>
      </c>
      <c r="G70" s="22">
        <v>7</v>
      </c>
      <c r="H70" s="23">
        <v>0.79</v>
      </c>
      <c r="I70" s="23">
        <f>Table13813[[#This Row],[LHC]]*Table13813[[#This Row],[Cars WTD (EDIT)]]</f>
        <v>5.53</v>
      </c>
      <c r="J70" s="23" cm="1">
        <f t="array" ref="J70">_xlfn.IFS(Table13813[[#This Row],[Allowed Hours]]=0,0,Table13813[[#This Row],[Allowed Hours]]&lt;25.3,25.3,Table13813[[#This Row],[Allowed Hours]]&gt;25.3,Table13813[[#This Row],[Allowed Hours]])</f>
        <v>25.3</v>
      </c>
      <c r="K70" s="24">
        <v>28.31</v>
      </c>
      <c r="L70" s="25">
        <f>K70-Table13813[[#This Row],[Adj Allowed Hrs]]</f>
        <v>3.009999999999998</v>
      </c>
    </row>
  </sheetData>
  <sheetProtection sheet="1" objects="1" scenarios="1" selectLockedCells="1" sort="0" autoFilter="0" pivotTables="0"/>
  <protectedRanges>
    <protectedRange sqref="K14:K70" name="Range1"/>
  </protectedRanges>
  <mergeCells count="1">
    <mergeCell ref="B2:C2"/>
  </mergeCells>
  <conditionalFormatting sqref="I14:J70">
    <cfRule type="cellIs" dxfId="86" priority="6" operator="lessThan">
      <formula>25.3</formula>
    </cfRule>
  </conditionalFormatting>
  <conditionalFormatting sqref="L14:L70">
    <cfRule type="cellIs" dxfId="85" priority="9" operator="greaterThan">
      <formula>0</formula>
    </cfRule>
    <cfRule type="cellIs" dxfId="84" priority="10" operator="lessThan">
      <formula>0</formula>
    </cfRule>
  </conditionalFormatting>
  <conditionalFormatting sqref="J3:J10">
    <cfRule type="cellIs" dxfId="83" priority="2" operator="greaterThan">
      <formula>0</formula>
    </cfRule>
    <cfRule type="cellIs" dxfId="82" priority="3" operator="lessThan">
      <formula>0</formula>
    </cfRule>
  </conditionalFormatting>
  <conditionalFormatting sqref="I70:J70">
    <cfRule type="cellIs" dxfId="81" priority="1" operator="lessThan">
      <formula>25.3</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D658-4FBF-4AF5-9C52-49F88BA58F8A}">
  <dimension ref="B1:L70"/>
  <sheetViews>
    <sheetView showGridLines="0" topLeftCell="C1" workbookViewId="0">
      <selection activeCell="K25" sqref="K25"/>
    </sheetView>
  </sheetViews>
  <sheetFormatPr defaultRowHeight="12.75"/>
  <cols>
    <col min="1" max="1" width="10.5703125" style="1" customWidth="1"/>
    <col min="2" max="3" width="12.140625" style="1" customWidth="1"/>
    <col min="4" max="4" width="16" style="1" customWidth="1"/>
    <col min="5" max="5" width="25.28515625" style="1" bestFit="1" customWidth="1"/>
    <col min="6" max="6" width="14.28515625" style="1" bestFit="1" customWidth="1"/>
    <col min="7" max="7" width="18.140625" style="1" bestFit="1" customWidth="1"/>
    <col min="8" max="8" width="19" style="1" bestFit="1" customWidth="1"/>
    <col min="9" max="9" width="16.7109375" style="1" bestFit="1" customWidth="1"/>
    <col min="10" max="10" width="20.85546875" style="1" bestFit="1" customWidth="1"/>
    <col min="11" max="11" width="25.140625" style="1" customWidth="1"/>
    <col min="12" max="12" width="19.5703125" style="1" customWidth="1"/>
    <col min="13" max="16384" width="9.140625" style="1"/>
  </cols>
  <sheetData>
    <row r="1" spans="2:12" ht="13.5" thickBot="1"/>
    <row r="2" spans="2:12" ht="18.75" thickBot="1">
      <c r="B2" s="42" t="s">
        <v>0</v>
      </c>
      <c r="C2" s="43"/>
      <c r="E2" s="2" t="s">
        <v>1</v>
      </c>
      <c r="F2" s="2" t="s">
        <v>2</v>
      </c>
      <c r="G2" s="2" t="s">
        <v>3</v>
      </c>
      <c r="H2" s="2" t="s">
        <v>4</v>
      </c>
      <c r="I2" s="2" t="s">
        <v>5</v>
      </c>
      <c r="J2" s="2" t="s">
        <v>6</v>
      </c>
    </row>
    <row r="3" spans="2:12" ht="18">
      <c r="B3" s="3" t="s">
        <v>7</v>
      </c>
      <c r="C3" s="4">
        <v>20</v>
      </c>
      <c r="E3" s="2" t="s">
        <v>8</v>
      </c>
      <c r="F3" s="5">
        <f>SUM(G14:G21)</f>
        <v>112</v>
      </c>
      <c r="G3" s="2">
        <v>0.79</v>
      </c>
      <c r="H3" s="2">
        <f>SUM(I14:I21)</f>
        <v>88.48</v>
      </c>
      <c r="I3" s="2">
        <f>SUM(K14:K21)</f>
        <v>153.94999999999999</v>
      </c>
      <c r="J3" s="2">
        <f>SUM(L14:L21)</f>
        <v>-23.150000000000009</v>
      </c>
    </row>
    <row r="4" spans="2:12" ht="18">
      <c r="B4" s="6" t="s">
        <v>9</v>
      </c>
      <c r="C4" s="4">
        <v>45.3</v>
      </c>
      <c r="E4" s="2" t="s">
        <v>10</v>
      </c>
      <c r="F4" s="5">
        <f>SUM(G22:G28)</f>
        <v>109</v>
      </c>
      <c r="G4" s="2">
        <v>0.79</v>
      </c>
      <c r="H4" s="2">
        <f>SUM(I22:I28)</f>
        <v>86.11</v>
      </c>
      <c r="I4" s="2">
        <f>SUM(K22:K28)</f>
        <v>188.54</v>
      </c>
      <c r="J4" s="2">
        <f>SUM(L22:L28)</f>
        <v>11.439999999999998</v>
      </c>
    </row>
    <row r="5" spans="2:12" ht="18">
      <c r="B5" s="6" t="s">
        <v>11</v>
      </c>
      <c r="C5" s="4">
        <v>70.599999999999994</v>
      </c>
      <c r="E5" s="2" t="s">
        <v>12</v>
      </c>
      <c r="F5" s="5">
        <f>SUM(G29:G37)</f>
        <v>254</v>
      </c>
      <c r="G5" s="2">
        <v>0.79</v>
      </c>
      <c r="H5" s="2">
        <f>SUM(I29:I37)</f>
        <v>200.66000000000003</v>
      </c>
      <c r="I5" s="2">
        <f>SUM(K29:K37)</f>
        <v>257</v>
      </c>
      <c r="J5" s="2">
        <f>SUM(L29:L37)</f>
        <v>1.6899999999999871</v>
      </c>
    </row>
    <row r="6" spans="2:12" ht="18">
      <c r="B6" s="6" t="s">
        <v>13</v>
      </c>
      <c r="C6" s="4">
        <v>95.93</v>
      </c>
      <c r="E6" s="2" t="s">
        <v>14</v>
      </c>
      <c r="F6" s="5">
        <f>SUM(G38:G45)</f>
        <v>154</v>
      </c>
      <c r="G6" s="2">
        <v>0.79</v>
      </c>
      <c r="H6" s="2">
        <f>SUM(I38:I45)</f>
        <v>121.66000000000003</v>
      </c>
      <c r="I6" s="2">
        <f>SUM(K38:K45)</f>
        <v>184.26000000000002</v>
      </c>
      <c r="J6" s="2">
        <f>SUM(L38:L45)</f>
        <v>-18.140000000000008</v>
      </c>
    </row>
    <row r="7" spans="2:12" ht="18">
      <c r="B7" s="6" t="s">
        <v>15</v>
      </c>
      <c r="C7" s="4">
        <v>121.23</v>
      </c>
      <c r="E7" s="2" t="s">
        <v>16</v>
      </c>
      <c r="F7" s="5">
        <f>SUM(G46:G52)</f>
        <v>175</v>
      </c>
      <c r="G7" s="2">
        <v>0.79</v>
      </c>
      <c r="H7" s="2">
        <f>SUM(I46:I52)</f>
        <v>138.25</v>
      </c>
      <c r="I7" s="2">
        <f>SUM(K46:K52)</f>
        <v>159.6</v>
      </c>
      <c r="J7" s="2">
        <f>SUM(L46:L52)</f>
        <v>-21.430000000000007</v>
      </c>
    </row>
    <row r="8" spans="2:12" ht="18">
      <c r="B8" s="6" t="s">
        <v>17</v>
      </c>
      <c r="C8" s="4">
        <v>146.53</v>
      </c>
      <c r="E8" s="2" t="s">
        <v>18</v>
      </c>
      <c r="F8" s="5">
        <f>SUM(G53:G61)</f>
        <v>296</v>
      </c>
      <c r="G8" s="2">
        <v>0.79</v>
      </c>
      <c r="H8" s="2">
        <f>SUM(I53:I61)</f>
        <v>233.84</v>
      </c>
      <c r="I8" s="2">
        <f>SUM(K53:K61)</f>
        <v>286.3</v>
      </c>
      <c r="J8" s="2">
        <f>SUM(L53:L61)</f>
        <v>20.779999999999994</v>
      </c>
    </row>
    <row r="9" spans="2:12" ht="18.75" thickBot="1">
      <c r="B9" s="7" t="s">
        <v>19</v>
      </c>
      <c r="C9" s="8">
        <v>171.8</v>
      </c>
      <c r="E9" s="2" t="s">
        <v>20</v>
      </c>
      <c r="F9" s="5">
        <f>SUM(G62:G70)</f>
        <v>270</v>
      </c>
      <c r="G9" s="2">
        <v>0.79</v>
      </c>
      <c r="H9" s="2">
        <f>SUM(I62:I70)</f>
        <v>213.30000000000004</v>
      </c>
      <c r="I9" s="2">
        <f>SUM(K62:K70)</f>
        <v>278.14</v>
      </c>
      <c r="J9" s="2">
        <f>SUM(L62:L70)</f>
        <v>34.72</v>
      </c>
    </row>
    <row r="10" spans="2:12" ht="18">
      <c r="E10" s="9" t="s">
        <v>21</v>
      </c>
      <c r="F10" s="9">
        <f>SUM(F3:F9)</f>
        <v>1370</v>
      </c>
      <c r="G10" s="9">
        <v>0.79</v>
      </c>
      <c r="H10" s="9">
        <f>SUM(H3:H9)</f>
        <v>1082.3000000000002</v>
      </c>
      <c r="I10" s="9">
        <f>SUM(I3:I9)</f>
        <v>1507.79</v>
      </c>
      <c r="J10" s="9">
        <f>SUM(J3:J9)</f>
        <v>5.909999999999954</v>
      </c>
    </row>
    <row r="13" spans="2:12">
      <c r="E13" s="10" t="s">
        <v>1</v>
      </c>
      <c r="F13" s="11" t="s">
        <v>22</v>
      </c>
      <c r="G13" s="12" t="s">
        <v>23</v>
      </c>
      <c r="H13" s="11" t="s">
        <v>3</v>
      </c>
      <c r="I13" s="11" t="s">
        <v>4</v>
      </c>
      <c r="J13" s="11" t="s">
        <v>24</v>
      </c>
      <c r="K13" s="12" t="s">
        <v>25</v>
      </c>
      <c r="L13" s="13" t="s">
        <v>6</v>
      </c>
    </row>
    <row r="14" spans="2:12" hidden="1">
      <c r="E14" s="14" t="s">
        <v>8</v>
      </c>
      <c r="F14" s="15">
        <v>17</v>
      </c>
      <c r="G14" s="16">
        <v>21</v>
      </c>
      <c r="H14" s="17">
        <v>0.79</v>
      </c>
      <c r="I14" s="17">
        <f>Table1381314[[#This Row],[LHC]]*Table1381314[[#This Row],[Cars WTD (EDIT)]]</f>
        <v>16.59</v>
      </c>
      <c r="J14" s="17" cm="1">
        <f t="array" ref="J14">_xlfn.IFS(Table1381314[[#This Row],[Allowed Hours]]=0,0,Table1381314[[#This Row],[Allowed Hours]]&lt;25.3,25.3,Table1381314[[#This Row],[Allowed Hours]]&gt;25.3,Table1381314[[#This Row],[Allowed Hours]])</f>
        <v>25.3</v>
      </c>
      <c r="K14" s="18">
        <v>22.13</v>
      </c>
      <c r="L14" s="19">
        <f>K14-Table1381314[[#This Row],[Adj Allowed Hrs]]</f>
        <v>-3.1700000000000017</v>
      </c>
    </row>
    <row r="15" spans="2:12" hidden="1">
      <c r="E15" s="14" t="s">
        <v>8</v>
      </c>
      <c r="F15" s="15">
        <v>22</v>
      </c>
      <c r="G15" s="16">
        <v>25</v>
      </c>
      <c r="H15" s="17">
        <v>0.79</v>
      </c>
      <c r="I15" s="17">
        <f>Table1381314[[#This Row],[LHC]]*Table1381314[[#This Row],[Cars WTD (EDIT)]]</f>
        <v>19.75</v>
      </c>
      <c r="J15" s="17" cm="1">
        <f t="array" ref="J15">_xlfn.IFS(Table1381314[[#This Row],[Allowed Hours]]=0,0,Table1381314[[#This Row],[Allowed Hours]]&lt;25.3,25.3,Table1381314[[#This Row],[Allowed Hours]]&gt;25.3,Table1381314[[#This Row],[Allowed Hours]])</f>
        <v>25.3</v>
      </c>
      <c r="K15" s="18">
        <v>26.76</v>
      </c>
      <c r="L15" s="19">
        <f>K15-Table1381314[[#This Row],[Adj Allowed Hrs]]</f>
        <v>1.4600000000000009</v>
      </c>
    </row>
    <row r="16" spans="2:12" hidden="1">
      <c r="E16" s="14" t="s">
        <v>8</v>
      </c>
      <c r="F16" s="15">
        <v>641</v>
      </c>
      <c r="G16" s="16">
        <v>27</v>
      </c>
      <c r="H16" s="17">
        <v>0.79</v>
      </c>
      <c r="I16" s="17">
        <f>Table1381314[[#This Row],[LHC]]*Table1381314[[#This Row],[Cars WTD (EDIT)]]</f>
        <v>21.330000000000002</v>
      </c>
      <c r="J16" s="17" cm="1">
        <f t="array" ref="J16">_xlfn.IFS(Table1381314[[#This Row],[Allowed Hours]]=0,0,Table1381314[[#This Row],[Allowed Hours]]&lt;25.3,25.3,Table1381314[[#This Row],[Allowed Hours]]&gt;25.3,Table1381314[[#This Row],[Allowed Hours]])</f>
        <v>25.3</v>
      </c>
      <c r="K16" s="18">
        <v>23.42</v>
      </c>
      <c r="L16" s="19">
        <f>K16-Table1381314[[#This Row],[Adj Allowed Hrs]]</f>
        <v>-1.879999999999999</v>
      </c>
    </row>
    <row r="17" spans="5:12" hidden="1">
      <c r="E17" s="14" t="s">
        <v>8</v>
      </c>
      <c r="F17" s="15">
        <v>717</v>
      </c>
      <c r="G17" s="16">
        <v>16</v>
      </c>
      <c r="H17" s="17">
        <v>0.79</v>
      </c>
      <c r="I17" s="17">
        <f>Table1381314[[#This Row],[LHC]]*Table1381314[[#This Row],[Cars WTD (EDIT)]]</f>
        <v>12.64</v>
      </c>
      <c r="J17" s="17" cm="1">
        <f t="array" ref="J17">_xlfn.IFS(Table1381314[[#This Row],[Allowed Hours]]=0,0,Table1381314[[#This Row],[Allowed Hours]]&lt;25.3,25.3,Table1381314[[#This Row],[Allowed Hours]]&gt;25.3,Table1381314[[#This Row],[Allowed Hours]])</f>
        <v>25.3</v>
      </c>
      <c r="K17" s="18">
        <v>24.29</v>
      </c>
      <c r="L17" s="19">
        <f>K17-Table1381314[[#This Row],[Adj Allowed Hrs]]</f>
        <v>-1.0100000000000016</v>
      </c>
    </row>
    <row r="18" spans="5:12" hidden="1">
      <c r="E18" s="14" t="s">
        <v>8</v>
      </c>
      <c r="F18" s="15">
        <v>843</v>
      </c>
      <c r="G18" s="16">
        <v>2</v>
      </c>
      <c r="H18" s="17">
        <v>0.79</v>
      </c>
      <c r="I18" s="17">
        <f>Table1381314[[#This Row],[LHC]]*Table1381314[[#This Row],[Cars WTD (EDIT)]]</f>
        <v>1.58</v>
      </c>
      <c r="J18" s="17" cm="1">
        <f t="array" ref="J18">_xlfn.IFS(Table1381314[[#This Row],[Allowed Hours]]=0,0,Table1381314[[#This Row],[Allowed Hours]]&lt;25.3,25.3,Table1381314[[#This Row],[Allowed Hours]]&gt;25.3,Table1381314[[#This Row],[Allowed Hours]])</f>
        <v>25.3</v>
      </c>
      <c r="K18" s="18">
        <v>1.46</v>
      </c>
      <c r="L18" s="19">
        <f>K18-Table1381314[[#This Row],[Adj Allowed Hrs]]</f>
        <v>-23.84</v>
      </c>
    </row>
    <row r="19" spans="5:12" hidden="1">
      <c r="E19" s="14" t="s">
        <v>8</v>
      </c>
      <c r="F19" s="15">
        <v>881</v>
      </c>
      <c r="G19" s="16">
        <v>12</v>
      </c>
      <c r="H19" s="17">
        <v>0.79</v>
      </c>
      <c r="I19" s="17">
        <f>Table1381314[[#This Row],[LHC]]*Table1381314[[#This Row],[Cars WTD (EDIT)]]</f>
        <v>9.48</v>
      </c>
      <c r="J19" s="17" cm="1">
        <f t="array" ref="J19">_xlfn.IFS(Table1381314[[#This Row],[Allowed Hours]]=0,0,Table1381314[[#This Row],[Allowed Hours]]&lt;25.3,25.3,Table1381314[[#This Row],[Allowed Hours]]&gt;25.3,Table1381314[[#This Row],[Allowed Hours]])</f>
        <v>25.3</v>
      </c>
      <c r="K19" s="18">
        <v>19.73</v>
      </c>
      <c r="L19" s="19">
        <f>K19-Table1381314[[#This Row],[Adj Allowed Hrs]]</f>
        <v>-5.57</v>
      </c>
    </row>
    <row r="20" spans="5:12" hidden="1">
      <c r="E20" s="14" t="s">
        <v>8</v>
      </c>
      <c r="F20" s="15">
        <v>953</v>
      </c>
      <c r="G20" s="16">
        <v>9</v>
      </c>
      <c r="H20" s="17">
        <v>0.79</v>
      </c>
      <c r="I20" s="17">
        <f>Table1381314[[#This Row],[LHC]]*Table1381314[[#This Row],[Cars WTD (EDIT)]]</f>
        <v>7.11</v>
      </c>
      <c r="J20" s="17" cm="1">
        <f t="array" ref="J20">_xlfn.IFS(Table1381314[[#This Row],[Allowed Hours]]=0,0,Table1381314[[#This Row],[Allowed Hours]]&lt;25.3,25.3,Table1381314[[#This Row],[Allowed Hours]]&gt;25.3,Table1381314[[#This Row],[Allowed Hours]])</f>
        <v>25.3</v>
      </c>
      <c r="K20" s="18">
        <v>20.71</v>
      </c>
      <c r="L20" s="19">
        <f>K20-Table1381314[[#This Row],[Adj Allowed Hrs]]</f>
        <v>-4.59</v>
      </c>
    </row>
    <row r="21" spans="5:12" hidden="1">
      <c r="E21" s="14" t="s">
        <v>8</v>
      </c>
      <c r="F21" s="15">
        <v>3040</v>
      </c>
      <c r="G21" s="16"/>
      <c r="H21" s="17">
        <v>0.79</v>
      </c>
      <c r="I21" s="17">
        <f>Table1381314[[#This Row],[LHC]]*Table1381314[[#This Row],[Cars WTD (EDIT)]]</f>
        <v>0</v>
      </c>
      <c r="J21" s="17" cm="1">
        <f t="array" ref="J21">_xlfn.IFS(Table1381314[[#This Row],[Allowed Hours]]=0,0,Table1381314[[#This Row],[Allowed Hours]]&lt;25.3,25.3,Table1381314[[#This Row],[Allowed Hours]]&gt;25.3,Table1381314[[#This Row],[Allowed Hours]])</f>
        <v>0</v>
      </c>
      <c r="K21" s="18">
        <v>15.45</v>
      </c>
      <c r="L21" s="19">
        <f>K21-Table1381314[[#This Row],[Adj Allowed Hrs]]</f>
        <v>15.45</v>
      </c>
    </row>
    <row r="22" spans="5:12">
      <c r="E22" s="14" t="s">
        <v>10</v>
      </c>
      <c r="F22" s="15">
        <v>18</v>
      </c>
      <c r="G22" s="16">
        <v>23</v>
      </c>
      <c r="H22" s="17">
        <v>0.79</v>
      </c>
      <c r="I22" s="17">
        <f>Table1381314[[#This Row],[LHC]]*Table1381314[[#This Row],[Cars WTD (EDIT)]]</f>
        <v>18.170000000000002</v>
      </c>
      <c r="J22" s="17" cm="1">
        <f t="array" ref="J22">_xlfn.IFS(Table1381314[[#This Row],[Allowed Hours]]=0,0,Table1381314[[#This Row],[Allowed Hours]]&lt;25.3,25.3,Table1381314[[#This Row],[Allowed Hours]]&gt;25.3,Table1381314[[#This Row],[Allowed Hours]])</f>
        <v>25.3</v>
      </c>
      <c r="K22" s="18">
        <v>24.84</v>
      </c>
      <c r="L22" s="19">
        <f>K22-Table1381314[[#This Row],[Adj Allowed Hrs]]</f>
        <v>-0.46000000000000085</v>
      </c>
    </row>
    <row r="23" spans="5:12">
      <c r="E23" s="14" t="s">
        <v>10</v>
      </c>
      <c r="F23" s="15">
        <v>19</v>
      </c>
      <c r="G23" s="16">
        <v>32</v>
      </c>
      <c r="H23" s="17">
        <v>0.79</v>
      </c>
      <c r="I23" s="17">
        <f>Table1381314[[#This Row],[LHC]]*Table1381314[[#This Row],[Cars WTD (EDIT)]]</f>
        <v>25.28</v>
      </c>
      <c r="J23" s="17" cm="1">
        <f t="array" ref="J23">_xlfn.IFS(Table1381314[[#This Row],[Allowed Hours]]=0,0,Table1381314[[#This Row],[Allowed Hours]]&lt;25.3,25.3,Table1381314[[#This Row],[Allowed Hours]]&gt;25.3,Table1381314[[#This Row],[Allowed Hours]])</f>
        <v>25.3</v>
      </c>
      <c r="K23" s="18">
        <v>33.43</v>
      </c>
      <c r="L23" s="19">
        <f>K23-Table1381314[[#This Row],[Adj Allowed Hrs]]</f>
        <v>8.129999999999999</v>
      </c>
    </row>
    <row r="24" spans="5:12">
      <c r="E24" s="14" t="s">
        <v>10</v>
      </c>
      <c r="F24" s="15">
        <v>282</v>
      </c>
      <c r="G24" s="16">
        <v>3</v>
      </c>
      <c r="H24" s="17">
        <v>0.79</v>
      </c>
      <c r="I24" s="17">
        <f>Table1381314[[#This Row],[LHC]]*Table1381314[[#This Row],[Cars WTD (EDIT)]]</f>
        <v>2.37</v>
      </c>
      <c r="J24" s="17" cm="1">
        <f t="array" ref="J24">_xlfn.IFS(Table1381314[[#This Row],[Allowed Hours]]=0,0,Table1381314[[#This Row],[Allowed Hours]]&lt;25.3,25.3,Table1381314[[#This Row],[Allowed Hours]]&gt;25.3,Table1381314[[#This Row],[Allowed Hours]])</f>
        <v>25.3</v>
      </c>
      <c r="K24" s="18">
        <v>10.89</v>
      </c>
      <c r="L24" s="19">
        <f>K24-Table1381314[[#This Row],[Adj Allowed Hrs]]</f>
        <v>-14.41</v>
      </c>
    </row>
    <row r="25" spans="5:12">
      <c r="E25" s="14" t="s">
        <v>10</v>
      </c>
      <c r="F25" s="15">
        <v>447</v>
      </c>
      <c r="G25" s="16">
        <v>13</v>
      </c>
      <c r="H25" s="17">
        <v>0.79</v>
      </c>
      <c r="I25" s="17">
        <f>Table1381314[[#This Row],[LHC]]*Table1381314[[#This Row],[Cars WTD (EDIT)]]</f>
        <v>10.27</v>
      </c>
      <c r="J25" s="17" cm="1">
        <f t="array" ref="J25">_xlfn.IFS(Table1381314[[#This Row],[Allowed Hours]]=0,0,Table1381314[[#This Row],[Allowed Hours]]&lt;25.3,25.3,Table1381314[[#This Row],[Allowed Hours]]&gt;25.3,Table1381314[[#This Row],[Allowed Hours]])</f>
        <v>25.3</v>
      </c>
      <c r="K25" s="18">
        <v>32.880000000000003</v>
      </c>
      <c r="L25" s="19">
        <f>K25-Table1381314[[#This Row],[Adj Allowed Hrs]]</f>
        <v>7.5800000000000018</v>
      </c>
    </row>
    <row r="26" spans="5:12">
      <c r="E26" s="14" t="s">
        <v>10</v>
      </c>
      <c r="F26" s="15">
        <v>448</v>
      </c>
      <c r="G26" s="16">
        <v>14</v>
      </c>
      <c r="H26" s="17">
        <v>0.79</v>
      </c>
      <c r="I26" s="17">
        <f>Table1381314[[#This Row],[LHC]]*Table1381314[[#This Row],[Cars WTD (EDIT)]]</f>
        <v>11.06</v>
      </c>
      <c r="J26" s="17" cm="1">
        <f t="array" ref="J26">_xlfn.IFS(Table1381314[[#This Row],[Allowed Hours]]=0,0,Table1381314[[#This Row],[Allowed Hours]]&lt;25.3,25.3,Table1381314[[#This Row],[Allowed Hours]]&gt;25.3,Table1381314[[#This Row],[Allowed Hours]])</f>
        <v>25.3</v>
      </c>
      <c r="K26" s="18">
        <v>35.14</v>
      </c>
      <c r="L26" s="19">
        <f>K26-Table1381314[[#This Row],[Adj Allowed Hrs]]</f>
        <v>9.84</v>
      </c>
    </row>
    <row r="27" spans="5:12">
      <c r="E27" s="14" t="s">
        <v>10</v>
      </c>
      <c r="F27" s="15">
        <v>531</v>
      </c>
      <c r="G27" s="16">
        <v>13</v>
      </c>
      <c r="H27" s="17">
        <v>0.79</v>
      </c>
      <c r="I27" s="17">
        <f>Table1381314[[#This Row],[LHC]]*Table1381314[[#This Row],[Cars WTD (EDIT)]]</f>
        <v>10.27</v>
      </c>
      <c r="J27" s="17" cm="1">
        <f t="array" ref="J27">_xlfn.IFS(Table1381314[[#This Row],[Allowed Hours]]=0,0,Table1381314[[#This Row],[Allowed Hours]]&lt;25.3,25.3,Table1381314[[#This Row],[Allowed Hours]]&gt;25.3,Table1381314[[#This Row],[Allowed Hours]])</f>
        <v>25.3</v>
      </c>
      <c r="K27" s="18">
        <v>23.39</v>
      </c>
      <c r="L27" s="19">
        <f>K27-Table1381314[[#This Row],[Adj Allowed Hrs]]</f>
        <v>-1.9100000000000001</v>
      </c>
    </row>
    <row r="28" spans="5:12">
      <c r="E28" s="14" t="s">
        <v>10</v>
      </c>
      <c r="F28" s="15">
        <v>832</v>
      </c>
      <c r="G28" s="16">
        <v>11</v>
      </c>
      <c r="H28" s="17">
        <v>0.79</v>
      </c>
      <c r="I28" s="17">
        <f>Table1381314[[#This Row],[LHC]]*Table1381314[[#This Row],[Cars WTD (EDIT)]]</f>
        <v>8.6900000000000013</v>
      </c>
      <c r="J28" s="17" cm="1">
        <f t="array" ref="J28">_xlfn.IFS(Table1381314[[#This Row],[Allowed Hours]]=0,0,Table1381314[[#This Row],[Allowed Hours]]&lt;25.3,25.3,Table1381314[[#This Row],[Allowed Hours]]&gt;25.3,Table1381314[[#This Row],[Allowed Hours]])</f>
        <v>25.3</v>
      </c>
      <c r="K28" s="18">
        <v>27.97</v>
      </c>
      <c r="L28" s="19">
        <f>K28-Table1381314[[#This Row],[Adj Allowed Hrs]]</f>
        <v>2.6699999999999982</v>
      </c>
    </row>
    <row r="29" spans="5:12" hidden="1">
      <c r="E29" s="14" t="s">
        <v>12</v>
      </c>
      <c r="F29" s="15">
        <v>3</v>
      </c>
      <c r="G29" s="16">
        <v>16</v>
      </c>
      <c r="H29" s="17">
        <v>0.79</v>
      </c>
      <c r="I29" s="17">
        <f>Table1381314[[#This Row],[LHC]]*Table1381314[[#This Row],[Cars WTD (EDIT)]]</f>
        <v>12.64</v>
      </c>
      <c r="J29" s="17" cm="1">
        <f t="array" ref="J29">_xlfn.IFS(Table1381314[[#This Row],[Allowed Hours]]=0,0,Table1381314[[#This Row],[Allowed Hours]]&lt;25.3,25.3,Table1381314[[#This Row],[Allowed Hours]]&gt;25.3,Table1381314[[#This Row],[Allowed Hours]])</f>
        <v>25.3</v>
      </c>
      <c r="K29" s="18">
        <v>15</v>
      </c>
      <c r="L29" s="19">
        <f>K29-Table1381314[[#This Row],[Adj Allowed Hrs]]</f>
        <v>-10.3</v>
      </c>
    </row>
    <row r="30" spans="5:12" hidden="1">
      <c r="E30" s="14" t="s">
        <v>12</v>
      </c>
      <c r="F30" s="15">
        <v>5</v>
      </c>
      <c r="G30" s="16">
        <v>24</v>
      </c>
      <c r="H30" s="17">
        <v>0.79</v>
      </c>
      <c r="I30" s="17">
        <f>Table1381314[[#This Row],[LHC]]*Table1381314[[#This Row],[Cars WTD (EDIT)]]</f>
        <v>18.96</v>
      </c>
      <c r="J30" s="17" cm="1">
        <f t="array" ref="J30">_xlfn.IFS(Table1381314[[#This Row],[Allowed Hours]]=0,0,Table1381314[[#This Row],[Allowed Hours]]&lt;25.3,25.3,Table1381314[[#This Row],[Allowed Hours]]&gt;25.3,Table1381314[[#This Row],[Allowed Hours]])</f>
        <v>25.3</v>
      </c>
      <c r="K30" s="18">
        <v>35</v>
      </c>
      <c r="L30" s="19">
        <f>K30-Table1381314[[#This Row],[Adj Allowed Hrs]]</f>
        <v>9.6999999999999993</v>
      </c>
    </row>
    <row r="31" spans="5:12" hidden="1">
      <c r="E31" s="14" t="s">
        <v>12</v>
      </c>
      <c r="F31" s="15">
        <v>11</v>
      </c>
      <c r="G31" s="16">
        <v>16</v>
      </c>
      <c r="H31" s="17">
        <v>0.79</v>
      </c>
      <c r="I31" s="17">
        <f>Table1381314[[#This Row],[LHC]]*Table1381314[[#This Row],[Cars WTD (EDIT)]]</f>
        <v>12.64</v>
      </c>
      <c r="J31" s="17" cm="1">
        <f t="array" ref="J31">_xlfn.IFS(Table1381314[[#This Row],[Allowed Hours]]=0,0,Table1381314[[#This Row],[Allowed Hours]]&lt;25.3,25.3,Table1381314[[#This Row],[Allowed Hours]]&gt;25.3,Table1381314[[#This Row],[Allowed Hours]])</f>
        <v>25.3</v>
      </c>
      <c r="K31" s="18">
        <v>26</v>
      </c>
      <c r="L31" s="19">
        <f>K31-Table1381314[[#This Row],[Adj Allowed Hrs]]</f>
        <v>0.69999999999999929</v>
      </c>
    </row>
    <row r="32" spans="5:12" hidden="1">
      <c r="E32" s="14" t="s">
        <v>12</v>
      </c>
      <c r="F32" s="15">
        <v>14</v>
      </c>
      <c r="G32" s="16">
        <v>24</v>
      </c>
      <c r="H32" s="17">
        <v>0.79</v>
      </c>
      <c r="I32" s="17">
        <f>Table1381314[[#This Row],[LHC]]*Table1381314[[#This Row],[Cars WTD (EDIT)]]</f>
        <v>18.96</v>
      </c>
      <c r="J32" s="17" cm="1">
        <f t="array" ref="J32">_xlfn.IFS(Table1381314[[#This Row],[Allowed Hours]]=0,0,Table1381314[[#This Row],[Allowed Hours]]&lt;25.3,25.3,Table1381314[[#This Row],[Allowed Hours]]&gt;25.3,Table1381314[[#This Row],[Allowed Hours]])</f>
        <v>25.3</v>
      </c>
      <c r="K32" s="18">
        <v>32</v>
      </c>
      <c r="L32" s="19">
        <f>K32-Table1381314[[#This Row],[Adj Allowed Hrs]]</f>
        <v>6.6999999999999993</v>
      </c>
    </row>
    <row r="33" spans="5:12" hidden="1">
      <c r="E33" s="14" t="s">
        <v>12</v>
      </c>
      <c r="F33" s="15">
        <v>20</v>
      </c>
      <c r="G33" s="16">
        <v>25</v>
      </c>
      <c r="H33" s="17">
        <v>0.79</v>
      </c>
      <c r="I33" s="17">
        <f>Table1381314[[#This Row],[LHC]]*Table1381314[[#This Row],[Cars WTD (EDIT)]]</f>
        <v>19.75</v>
      </c>
      <c r="J33" s="17" cm="1">
        <f t="array" ref="J33">_xlfn.IFS(Table1381314[[#This Row],[Allowed Hours]]=0,0,Table1381314[[#This Row],[Allowed Hours]]&lt;25.3,25.3,Table1381314[[#This Row],[Allowed Hours]]&gt;25.3,Table1381314[[#This Row],[Allowed Hours]])</f>
        <v>25.3</v>
      </c>
      <c r="K33" s="18">
        <v>25</v>
      </c>
      <c r="L33" s="19">
        <f>K33-Table1381314[[#This Row],[Adj Allowed Hrs]]</f>
        <v>-0.30000000000000071</v>
      </c>
    </row>
    <row r="34" spans="5:12" hidden="1">
      <c r="E34" s="14" t="s">
        <v>12</v>
      </c>
      <c r="F34" s="15">
        <v>21</v>
      </c>
      <c r="G34" s="16">
        <v>55</v>
      </c>
      <c r="H34" s="17">
        <v>0.79</v>
      </c>
      <c r="I34" s="17">
        <f>Table1381314[[#This Row],[LHC]]*Table1381314[[#This Row],[Cars WTD (EDIT)]]</f>
        <v>43.45</v>
      </c>
      <c r="J34" s="17" cm="1">
        <f t="array" ref="J34">_xlfn.IFS(Table1381314[[#This Row],[Allowed Hours]]=0,0,Table1381314[[#This Row],[Allowed Hours]]&lt;25.3,25.3,Table1381314[[#This Row],[Allowed Hours]]&gt;25.3,Table1381314[[#This Row],[Allowed Hours]])</f>
        <v>43.45</v>
      </c>
      <c r="K34" s="18">
        <v>34</v>
      </c>
      <c r="L34" s="19">
        <f>K34-Table1381314[[#This Row],[Adj Allowed Hrs]]</f>
        <v>-9.4500000000000028</v>
      </c>
    </row>
    <row r="35" spans="5:12" hidden="1">
      <c r="E35" s="14" t="s">
        <v>12</v>
      </c>
      <c r="F35" s="15">
        <v>23</v>
      </c>
      <c r="G35" s="16">
        <v>28</v>
      </c>
      <c r="H35" s="17">
        <v>0.79</v>
      </c>
      <c r="I35" s="17">
        <f>Table1381314[[#This Row],[LHC]]*Table1381314[[#This Row],[Cars WTD (EDIT)]]</f>
        <v>22.12</v>
      </c>
      <c r="J35" s="17" cm="1">
        <f t="array" ref="J35">_xlfn.IFS(Table1381314[[#This Row],[Allowed Hours]]=0,0,Table1381314[[#This Row],[Allowed Hours]]&lt;25.3,25.3,Table1381314[[#This Row],[Allowed Hours]]&gt;25.3,Table1381314[[#This Row],[Allowed Hours]])</f>
        <v>25.3</v>
      </c>
      <c r="K35" s="18">
        <v>29</v>
      </c>
      <c r="L35" s="19">
        <f>K35-Table1381314[[#This Row],[Adj Allowed Hrs]]</f>
        <v>3.6999999999999993</v>
      </c>
    </row>
    <row r="36" spans="5:12" hidden="1">
      <c r="E36" s="14" t="s">
        <v>12</v>
      </c>
      <c r="F36" s="15">
        <v>24</v>
      </c>
      <c r="G36" s="16">
        <v>44</v>
      </c>
      <c r="H36" s="17">
        <v>0.79</v>
      </c>
      <c r="I36" s="17">
        <f>Table1381314[[#This Row],[LHC]]*Table1381314[[#This Row],[Cars WTD (EDIT)]]</f>
        <v>34.760000000000005</v>
      </c>
      <c r="J36" s="17" cm="1">
        <f t="array" ref="J36">_xlfn.IFS(Table1381314[[#This Row],[Allowed Hours]]=0,0,Table1381314[[#This Row],[Allowed Hours]]&lt;25.3,25.3,Table1381314[[#This Row],[Allowed Hours]]&gt;25.3,Table1381314[[#This Row],[Allowed Hours]])</f>
        <v>34.760000000000005</v>
      </c>
      <c r="K36" s="18">
        <v>35</v>
      </c>
      <c r="L36" s="19">
        <f>K36-Table1381314[[#This Row],[Adj Allowed Hrs]]</f>
        <v>0.23999999999999488</v>
      </c>
    </row>
    <row r="37" spans="5:12" hidden="1">
      <c r="E37" s="14" t="s">
        <v>12</v>
      </c>
      <c r="F37" s="15">
        <v>26</v>
      </c>
      <c r="G37" s="16">
        <v>22</v>
      </c>
      <c r="H37" s="17">
        <v>0.79</v>
      </c>
      <c r="I37" s="17">
        <f>Table1381314[[#This Row],[LHC]]*Table1381314[[#This Row],[Cars WTD (EDIT)]]</f>
        <v>17.380000000000003</v>
      </c>
      <c r="J37" s="17" cm="1">
        <f t="array" ref="J37">_xlfn.IFS(Table1381314[[#This Row],[Allowed Hours]]=0,0,Table1381314[[#This Row],[Allowed Hours]]&lt;25.3,25.3,Table1381314[[#This Row],[Allowed Hours]]&gt;25.3,Table1381314[[#This Row],[Allowed Hours]])</f>
        <v>25.3</v>
      </c>
      <c r="K37" s="18">
        <v>26</v>
      </c>
      <c r="L37" s="19">
        <f>K37-Table1381314[[#This Row],[Adj Allowed Hrs]]</f>
        <v>0.69999999999999929</v>
      </c>
    </row>
    <row r="38" spans="5:12" hidden="1">
      <c r="E38" s="14" t="s">
        <v>14</v>
      </c>
      <c r="F38" s="15">
        <v>29</v>
      </c>
      <c r="G38" s="16">
        <v>27</v>
      </c>
      <c r="H38" s="17">
        <v>0.79</v>
      </c>
      <c r="I38" s="17">
        <f>Table1381314[[#This Row],[LHC]]*Table1381314[[#This Row],[Cars WTD (EDIT)]]</f>
        <v>21.330000000000002</v>
      </c>
      <c r="J38" s="17" cm="1">
        <f t="array" ref="J38">_xlfn.IFS(Table1381314[[#This Row],[Allowed Hours]]=0,0,Table1381314[[#This Row],[Allowed Hours]]&lt;25.3,25.3,Table1381314[[#This Row],[Allowed Hours]]&gt;25.3,Table1381314[[#This Row],[Allowed Hours]])</f>
        <v>25.3</v>
      </c>
      <c r="K38" s="18">
        <v>37.22</v>
      </c>
      <c r="L38" s="19">
        <f>K38-Table1381314[[#This Row],[Adj Allowed Hrs]]</f>
        <v>11.919999999999998</v>
      </c>
    </row>
    <row r="39" spans="5:12" hidden="1">
      <c r="E39" s="14" t="s">
        <v>14</v>
      </c>
      <c r="F39" s="15">
        <v>40</v>
      </c>
      <c r="G39" s="16">
        <v>26</v>
      </c>
      <c r="H39" s="17">
        <v>0.79</v>
      </c>
      <c r="I39" s="17">
        <f>Table1381314[[#This Row],[LHC]]*Table1381314[[#This Row],[Cars WTD (EDIT)]]</f>
        <v>20.54</v>
      </c>
      <c r="J39" s="17" cm="1">
        <f t="array" ref="J39">_xlfn.IFS(Table1381314[[#This Row],[Allowed Hours]]=0,0,Table1381314[[#This Row],[Allowed Hours]]&lt;25.3,25.3,Table1381314[[#This Row],[Allowed Hours]]&gt;25.3,Table1381314[[#This Row],[Allowed Hours]])</f>
        <v>25.3</v>
      </c>
      <c r="K39" s="18">
        <v>21.83</v>
      </c>
      <c r="L39" s="19">
        <f>K39-Table1381314[[#This Row],[Adj Allowed Hrs]]</f>
        <v>-3.4700000000000024</v>
      </c>
    </row>
    <row r="40" spans="5:12" hidden="1">
      <c r="E40" s="14" t="s">
        <v>14</v>
      </c>
      <c r="F40" s="15">
        <v>280</v>
      </c>
      <c r="G40" s="16">
        <v>19</v>
      </c>
      <c r="H40" s="17">
        <v>0.79</v>
      </c>
      <c r="I40" s="17">
        <f>Table1381314[[#This Row],[LHC]]*Table1381314[[#This Row],[Cars WTD (EDIT)]]</f>
        <v>15.010000000000002</v>
      </c>
      <c r="J40" s="17" cm="1">
        <f t="array" ref="J40">_xlfn.IFS(Table1381314[[#This Row],[Allowed Hours]]=0,0,Table1381314[[#This Row],[Allowed Hours]]&lt;25.3,25.3,Table1381314[[#This Row],[Allowed Hours]]&gt;25.3,Table1381314[[#This Row],[Allowed Hours]])</f>
        <v>25.3</v>
      </c>
      <c r="K40" s="18">
        <v>20.38</v>
      </c>
      <c r="L40" s="19">
        <f>K40-Table1381314[[#This Row],[Adj Allowed Hrs]]</f>
        <v>-4.9200000000000017</v>
      </c>
    </row>
    <row r="41" spans="5:12" hidden="1">
      <c r="E41" s="14" t="s">
        <v>14</v>
      </c>
      <c r="F41" s="15">
        <v>599</v>
      </c>
      <c r="G41" s="16">
        <v>23</v>
      </c>
      <c r="H41" s="17">
        <v>0.79</v>
      </c>
      <c r="I41" s="17">
        <f>Table1381314[[#This Row],[LHC]]*Table1381314[[#This Row],[Cars WTD (EDIT)]]</f>
        <v>18.170000000000002</v>
      </c>
      <c r="J41" s="17" cm="1">
        <f t="array" ref="J41">_xlfn.IFS(Table1381314[[#This Row],[Allowed Hours]]=0,0,Table1381314[[#This Row],[Allowed Hours]]&lt;25.3,25.3,Table1381314[[#This Row],[Allowed Hours]]&gt;25.3,Table1381314[[#This Row],[Allowed Hours]])</f>
        <v>25.3</v>
      </c>
      <c r="K41" s="18">
        <v>28.26</v>
      </c>
      <c r="L41" s="19">
        <f>K41-Table1381314[[#This Row],[Adj Allowed Hrs]]</f>
        <v>2.9600000000000009</v>
      </c>
    </row>
    <row r="42" spans="5:12" hidden="1">
      <c r="E42" s="14" t="s">
        <v>14</v>
      </c>
      <c r="F42" s="15">
        <v>720</v>
      </c>
      <c r="G42" s="16">
        <v>21</v>
      </c>
      <c r="H42" s="17">
        <v>0.79</v>
      </c>
      <c r="I42" s="17">
        <f>Table1381314[[#This Row],[LHC]]*Table1381314[[#This Row],[Cars WTD (EDIT)]]</f>
        <v>16.59</v>
      </c>
      <c r="J42" s="17" cm="1">
        <f t="array" ref="J42">_xlfn.IFS(Table1381314[[#This Row],[Allowed Hours]]=0,0,Table1381314[[#This Row],[Allowed Hours]]&lt;25.3,25.3,Table1381314[[#This Row],[Allowed Hours]]&gt;25.3,Table1381314[[#This Row],[Allowed Hours]])</f>
        <v>25.3</v>
      </c>
      <c r="K42" s="18">
        <v>28.8</v>
      </c>
      <c r="L42" s="19">
        <f>K42-Table1381314[[#This Row],[Adj Allowed Hrs]]</f>
        <v>3.5</v>
      </c>
    </row>
    <row r="43" spans="5:12" hidden="1">
      <c r="E43" s="14" t="s">
        <v>14</v>
      </c>
      <c r="F43" s="15">
        <v>728</v>
      </c>
      <c r="G43" s="16">
        <v>17</v>
      </c>
      <c r="H43" s="17">
        <v>0.79</v>
      </c>
      <c r="I43" s="17">
        <f>Table1381314[[#This Row],[LHC]]*Table1381314[[#This Row],[Cars WTD (EDIT)]]</f>
        <v>13.43</v>
      </c>
      <c r="J43" s="17" cm="1">
        <f t="array" ref="J43">_xlfn.IFS(Table1381314[[#This Row],[Allowed Hours]]=0,0,Table1381314[[#This Row],[Allowed Hours]]&lt;25.3,25.3,Table1381314[[#This Row],[Allowed Hours]]&gt;25.3,Table1381314[[#This Row],[Allowed Hours]])</f>
        <v>25.3</v>
      </c>
      <c r="K43" s="18">
        <v>20.78</v>
      </c>
      <c r="L43" s="19">
        <f>K43-Table1381314[[#This Row],[Adj Allowed Hrs]]</f>
        <v>-4.5199999999999996</v>
      </c>
    </row>
    <row r="44" spans="5:12" hidden="1">
      <c r="E44" s="14" t="s">
        <v>14</v>
      </c>
      <c r="F44" s="15">
        <v>830</v>
      </c>
      <c r="G44" s="16">
        <v>13</v>
      </c>
      <c r="H44" s="17">
        <v>0.79</v>
      </c>
      <c r="I44" s="17">
        <f>Table1381314[[#This Row],[LHC]]*Table1381314[[#This Row],[Cars WTD (EDIT)]]</f>
        <v>10.27</v>
      </c>
      <c r="J44" s="17" cm="1">
        <f t="array" ref="J44">_xlfn.IFS(Table1381314[[#This Row],[Allowed Hours]]=0,0,Table1381314[[#This Row],[Allowed Hours]]&lt;25.3,25.3,Table1381314[[#This Row],[Allowed Hours]]&gt;25.3,Table1381314[[#This Row],[Allowed Hours]])</f>
        <v>25.3</v>
      </c>
      <c r="K44" s="18">
        <v>0</v>
      </c>
      <c r="L44" s="19">
        <f>K44-Table1381314[[#This Row],[Adj Allowed Hrs]]</f>
        <v>-25.3</v>
      </c>
    </row>
    <row r="45" spans="5:12" hidden="1">
      <c r="E45" s="14" t="s">
        <v>14</v>
      </c>
      <c r="F45" s="15">
        <v>975</v>
      </c>
      <c r="G45" s="16">
        <v>8</v>
      </c>
      <c r="H45" s="17">
        <v>0.79</v>
      </c>
      <c r="I45" s="17">
        <f>Table1381314[[#This Row],[LHC]]*Table1381314[[#This Row],[Cars WTD (EDIT)]]</f>
        <v>6.32</v>
      </c>
      <c r="J45" s="17" cm="1">
        <f t="array" ref="J45">_xlfn.IFS(Table1381314[[#This Row],[Allowed Hours]]=0,0,Table1381314[[#This Row],[Allowed Hours]]&lt;25.3,25.3,Table1381314[[#This Row],[Allowed Hours]]&gt;25.3,Table1381314[[#This Row],[Allowed Hours]])</f>
        <v>25.3</v>
      </c>
      <c r="K45" s="18">
        <v>26.99</v>
      </c>
      <c r="L45" s="19">
        <f>K45-Table1381314[[#This Row],[Adj Allowed Hrs]]</f>
        <v>1.6899999999999977</v>
      </c>
    </row>
    <row r="46" spans="5:12" hidden="1">
      <c r="E46" s="14" t="s">
        <v>16</v>
      </c>
      <c r="F46" s="15">
        <v>46</v>
      </c>
      <c r="G46" s="16">
        <v>37</v>
      </c>
      <c r="H46" s="17">
        <v>0.79</v>
      </c>
      <c r="I46" s="17">
        <f>Table1381314[[#This Row],[LHC]]*Table1381314[[#This Row],[Cars WTD (EDIT)]]</f>
        <v>29.23</v>
      </c>
      <c r="J46" s="17" cm="1">
        <f t="array" ref="J46">_xlfn.IFS(Table1381314[[#This Row],[Allowed Hours]]=0,0,Table1381314[[#This Row],[Allowed Hours]]&lt;25.3,25.3,Table1381314[[#This Row],[Allowed Hours]]&gt;25.3,Table1381314[[#This Row],[Allowed Hours]])</f>
        <v>29.23</v>
      </c>
      <c r="K46" s="18">
        <v>37.229999999999997</v>
      </c>
      <c r="L46" s="19">
        <f>K46-Table1381314[[#This Row],[Adj Allowed Hrs]]</f>
        <v>7.9999999999999964</v>
      </c>
    </row>
    <row r="47" spans="5:12" hidden="1">
      <c r="E47" s="14" t="s">
        <v>16</v>
      </c>
      <c r="F47" s="15">
        <v>283</v>
      </c>
      <c r="G47" s="16">
        <v>30</v>
      </c>
      <c r="H47" s="17">
        <v>0.79</v>
      </c>
      <c r="I47" s="17">
        <f>Table1381314[[#This Row],[LHC]]*Table1381314[[#This Row],[Cars WTD (EDIT)]]</f>
        <v>23.700000000000003</v>
      </c>
      <c r="J47" s="17" cm="1">
        <f t="array" ref="J47">_xlfn.IFS(Table1381314[[#This Row],[Allowed Hours]]=0,0,Table1381314[[#This Row],[Allowed Hours]]&lt;25.3,25.3,Table1381314[[#This Row],[Allowed Hours]]&gt;25.3,Table1381314[[#This Row],[Allowed Hours]])</f>
        <v>25.3</v>
      </c>
      <c r="K47" s="18">
        <v>27.44</v>
      </c>
      <c r="L47" s="19">
        <f>K47-Table1381314[[#This Row],[Adj Allowed Hrs]]</f>
        <v>2.1400000000000006</v>
      </c>
    </row>
    <row r="48" spans="5:12" hidden="1">
      <c r="E48" s="14" t="s">
        <v>16</v>
      </c>
      <c r="F48" s="15">
        <v>847</v>
      </c>
      <c r="G48" s="16">
        <v>27</v>
      </c>
      <c r="H48" s="17">
        <v>0.79</v>
      </c>
      <c r="I48" s="17">
        <f>Table1381314[[#This Row],[LHC]]*Table1381314[[#This Row],[Cars WTD (EDIT)]]</f>
        <v>21.330000000000002</v>
      </c>
      <c r="J48" s="17" cm="1">
        <f t="array" ref="J48">_xlfn.IFS(Table1381314[[#This Row],[Allowed Hours]]=0,0,Table1381314[[#This Row],[Allowed Hours]]&lt;25.3,25.3,Table1381314[[#This Row],[Allowed Hours]]&gt;25.3,Table1381314[[#This Row],[Allowed Hours]])</f>
        <v>25.3</v>
      </c>
      <c r="K48" s="18">
        <v>28.56</v>
      </c>
      <c r="L48" s="19">
        <f>K48-Table1381314[[#This Row],[Adj Allowed Hrs]]</f>
        <v>3.259999999999998</v>
      </c>
    </row>
    <row r="49" spans="5:12" hidden="1">
      <c r="E49" s="14" t="s">
        <v>16</v>
      </c>
      <c r="F49" s="15">
        <v>865</v>
      </c>
      <c r="G49" s="16">
        <v>25</v>
      </c>
      <c r="H49" s="17">
        <v>0.79</v>
      </c>
      <c r="I49" s="17">
        <f>Table1381314[[#This Row],[LHC]]*Table1381314[[#This Row],[Cars WTD (EDIT)]]</f>
        <v>19.75</v>
      </c>
      <c r="J49" s="17" cm="1">
        <f t="array" ref="J49">_xlfn.IFS(Table1381314[[#This Row],[Allowed Hours]]=0,0,Table1381314[[#This Row],[Allowed Hours]]&lt;25.3,25.3,Table1381314[[#This Row],[Allowed Hours]]&gt;25.3,Table1381314[[#This Row],[Allowed Hours]])</f>
        <v>25.3</v>
      </c>
      <c r="K49" s="18">
        <v>28.74</v>
      </c>
      <c r="L49" s="19">
        <f>K49-Table1381314[[#This Row],[Adj Allowed Hrs]]</f>
        <v>3.4399999999999977</v>
      </c>
    </row>
    <row r="50" spans="5:12" hidden="1">
      <c r="E50" s="14" t="s">
        <v>16</v>
      </c>
      <c r="F50" s="15">
        <v>919</v>
      </c>
      <c r="G50" s="16">
        <v>25</v>
      </c>
      <c r="H50" s="17">
        <v>0.79</v>
      </c>
      <c r="I50" s="17">
        <f>Table1381314[[#This Row],[LHC]]*Table1381314[[#This Row],[Cars WTD (EDIT)]]</f>
        <v>19.75</v>
      </c>
      <c r="J50" s="17" cm="1">
        <f t="array" ref="J50">_xlfn.IFS(Table1381314[[#This Row],[Allowed Hours]]=0,0,Table1381314[[#This Row],[Allowed Hours]]&lt;25.3,25.3,Table1381314[[#This Row],[Allowed Hours]]&gt;25.3,Table1381314[[#This Row],[Allowed Hours]])</f>
        <v>25.3</v>
      </c>
      <c r="K50" s="18">
        <v>0</v>
      </c>
      <c r="L50" s="19">
        <f>K50-Table1381314[[#This Row],[Adj Allowed Hrs]]</f>
        <v>-25.3</v>
      </c>
    </row>
    <row r="51" spans="5:12" hidden="1">
      <c r="E51" s="14" t="s">
        <v>16</v>
      </c>
      <c r="F51" s="15">
        <v>954</v>
      </c>
      <c r="G51" s="16">
        <v>20</v>
      </c>
      <c r="H51" s="17">
        <v>0.79</v>
      </c>
      <c r="I51" s="17">
        <f>Table1381314[[#This Row],[LHC]]*Table1381314[[#This Row],[Cars WTD (EDIT)]]</f>
        <v>15.8</v>
      </c>
      <c r="J51" s="17" cm="1">
        <f t="array" ref="J51">_xlfn.IFS(Table1381314[[#This Row],[Allowed Hours]]=0,0,Table1381314[[#This Row],[Allowed Hours]]&lt;25.3,25.3,Table1381314[[#This Row],[Allowed Hours]]&gt;25.3,Table1381314[[#This Row],[Allowed Hours]])</f>
        <v>25.3</v>
      </c>
      <c r="K51" s="18">
        <v>18.100000000000001</v>
      </c>
      <c r="L51" s="19">
        <f>K51-Table1381314[[#This Row],[Adj Allowed Hrs]]</f>
        <v>-7.1999999999999993</v>
      </c>
    </row>
    <row r="52" spans="5:12" hidden="1">
      <c r="E52" s="14" t="s">
        <v>16</v>
      </c>
      <c r="F52" s="15">
        <v>3017</v>
      </c>
      <c r="G52" s="16">
        <v>11</v>
      </c>
      <c r="H52" s="17">
        <v>0.79</v>
      </c>
      <c r="I52" s="17">
        <f>Table1381314[[#This Row],[LHC]]*Table1381314[[#This Row],[Cars WTD (EDIT)]]</f>
        <v>8.6900000000000013</v>
      </c>
      <c r="J52" s="17" cm="1">
        <f t="array" ref="J52">_xlfn.IFS(Table1381314[[#This Row],[Allowed Hours]]=0,0,Table1381314[[#This Row],[Allowed Hours]]&lt;25.3,25.3,Table1381314[[#This Row],[Allowed Hours]]&gt;25.3,Table1381314[[#This Row],[Allowed Hours]])</f>
        <v>25.3</v>
      </c>
      <c r="K52" s="18">
        <v>19.53</v>
      </c>
      <c r="L52" s="19">
        <f>K52-Table1381314[[#This Row],[Adj Allowed Hrs]]</f>
        <v>-5.77</v>
      </c>
    </row>
    <row r="53" spans="5:12" hidden="1">
      <c r="E53" s="14" t="s">
        <v>26</v>
      </c>
      <c r="F53" s="15">
        <v>1</v>
      </c>
      <c r="G53" s="16">
        <v>21</v>
      </c>
      <c r="H53" s="17">
        <v>0.79</v>
      </c>
      <c r="I53" s="17">
        <f>Table1381314[[#This Row],[LHC]]*Table1381314[[#This Row],[Cars WTD (EDIT)]]</f>
        <v>16.59</v>
      </c>
      <c r="J53" s="17" cm="1">
        <f t="array" ref="J53">_xlfn.IFS(Table1381314[[#This Row],[Allowed Hours]]=0,0,Table1381314[[#This Row],[Allowed Hours]]&lt;25.3,25.3,Table1381314[[#This Row],[Allowed Hours]]&gt;25.3,Table1381314[[#This Row],[Allowed Hours]])</f>
        <v>25.3</v>
      </c>
      <c r="K53" s="18">
        <v>28.79</v>
      </c>
      <c r="L53" s="19">
        <f>K53-Table1381314[[#This Row],[Adj Allowed Hrs]]</f>
        <v>3.4899999999999984</v>
      </c>
    </row>
    <row r="54" spans="5:12" hidden="1">
      <c r="E54" s="14" t="s">
        <v>26</v>
      </c>
      <c r="F54" s="15">
        <v>2</v>
      </c>
      <c r="G54" s="16">
        <v>21</v>
      </c>
      <c r="H54" s="17">
        <v>0.79</v>
      </c>
      <c r="I54" s="17">
        <f>Table1381314[[#This Row],[LHC]]*Table1381314[[#This Row],[Cars WTD (EDIT)]]</f>
        <v>16.59</v>
      </c>
      <c r="J54" s="17" cm="1">
        <f t="array" ref="J54">_xlfn.IFS(Table1381314[[#This Row],[Allowed Hours]]=0,0,Table1381314[[#This Row],[Allowed Hours]]&lt;25.3,25.3,Table1381314[[#This Row],[Allowed Hours]]&gt;25.3,Table1381314[[#This Row],[Allowed Hours]])</f>
        <v>25.3</v>
      </c>
      <c r="K54" s="18">
        <v>24.8</v>
      </c>
      <c r="L54" s="19">
        <f>K54-Table1381314[[#This Row],[Adj Allowed Hrs]]</f>
        <v>-0.5</v>
      </c>
    </row>
    <row r="55" spans="5:12" hidden="1">
      <c r="E55" s="14" t="s">
        <v>26</v>
      </c>
      <c r="F55" s="15">
        <v>4</v>
      </c>
      <c r="G55" s="16">
        <v>47</v>
      </c>
      <c r="H55" s="17">
        <v>0.79</v>
      </c>
      <c r="I55" s="17">
        <f>Table1381314[[#This Row],[LHC]]*Table1381314[[#This Row],[Cars WTD (EDIT)]]</f>
        <v>37.130000000000003</v>
      </c>
      <c r="J55" s="17" cm="1">
        <f t="array" ref="J55">_xlfn.IFS(Table1381314[[#This Row],[Allowed Hours]]=0,0,Table1381314[[#This Row],[Allowed Hours]]&lt;25.3,25.3,Table1381314[[#This Row],[Allowed Hours]]&gt;25.3,Table1381314[[#This Row],[Allowed Hours]])</f>
        <v>37.130000000000003</v>
      </c>
      <c r="K55" s="18">
        <v>44.12</v>
      </c>
      <c r="L55" s="19">
        <f>K55-Table1381314[[#This Row],[Adj Allowed Hrs]]</f>
        <v>6.9899999999999949</v>
      </c>
    </row>
    <row r="56" spans="5:12" hidden="1">
      <c r="E56" s="14" t="s">
        <v>26</v>
      </c>
      <c r="F56" s="15">
        <v>6</v>
      </c>
      <c r="G56" s="16">
        <v>39</v>
      </c>
      <c r="H56" s="17">
        <v>0.79</v>
      </c>
      <c r="I56" s="17">
        <f>Table1381314[[#This Row],[LHC]]*Table1381314[[#This Row],[Cars WTD (EDIT)]]</f>
        <v>30.810000000000002</v>
      </c>
      <c r="J56" s="17" cm="1">
        <f t="array" ref="J56">_xlfn.IFS(Table1381314[[#This Row],[Allowed Hours]]=0,0,Table1381314[[#This Row],[Allowed Hours]]&lt;25.3,25.3,Table1381314[[#This Row],[Allowed Hours]]&gt;25.3,Table1381314[[#This Row],[Allowed Hours]])</f>
        <v>30.810000000000002</v>
      </c>
      <c r="K56" s="18">
        <v>31.73</v>
      </c>
      <c r="L56" s="19">
        <f>K56-Table1381314[[#This Row],[Adj Allowed Hrs]]</f>
        <v>0.91999999999999815</v>
      </c>
    </row>
    <row r="57" spans="5:12" hidden="1">
      <c r="E57" s="14" t="s">
        <v>26</v>
      </c>
      <c r="F57" s="15">
        <v>15</v>
      </c>
      <c r="G57" s="16">
        <v>42</v>
      </c>
      <c r="H57" s="17">
        <v>0.79</v>
      </c>
      <c r="I57" s="17">
        <f>Table1381314[[#This Row],[LHC]]*Table1381314[[#This Row],[Cars WTD (EDIT)]]</f>
        <v>33.18</v>
      </c>
      <c r="J57" s="17" cm="1">
        <f t="array" ref="J57">_xlfn.IFS(Table1381314[[#This Row],[Allowed Hours]]=0,0,Table1381314[[#This Row],[Allowed Hours]]&lt;25.3,25.3,Table1381314[[#This Row],[Allowed Hours]]&gt;25.3,Table1381314[[#This Row],[Allowed Hours]])</f>
        <v>33.18</v>
      </c>
      <c r="K57" s="18">
        <v>35.85</v>
      </c>
      <c r="L57" s="19">
        <f>K57-Table1381314[[#This Row],[Adj Allowed Hrs]]</f>
        <v>2.6700000000000017</v>
      </c>
    </row>
    <row r="58" spans="5:12" hidden="1">
      <c r="E58" s="14" t="s">
        <v>26</v>
      </c>
      <c r="F58" s="15">
        <v>28</v>
      </c>
      <c r="G58" s="16">
        <v>43</v>
      </c>
      <c r="H58" s="17">
        <v>0.79</v>
      </c>
      <c r="I58" s="17">
        <f>Table1381314[[#This Row],[LHC]]*Table1381314[[#This Row],[Cars WTD (EDIT)]]</f>
        <v>33.97</v>
      </c>
      <c r="J58" s="17" cm="1">
        <f t="array" ref="J58">_xlfn.IFS(Table1381314[[#This Row],[Allowed Hours]]=0,0,Table1381314[[#This Row],[Allowed Hours]]&lt;25.3,25.3,Table1381314[[#This Row],[Allowed Hours]]&gt;25.3,Table1381314[[#This Row],[Allowed Hours]])</f>
        <v>33.97</v>
      </c>
      <c r="K58" s="18">
        <v>32.96</v>
      </c>
      <c r="L58" s="19">
        <f>K58-Table1381314[[#This Row],[Adj Allowed Hrs]]</f>
        <v>-1.009999999999998</v>
      </c>
    </row>
    <row r="59" spans="5:12" hidden="1">
      <c r="E59" s="14" t="s">
        <v>26</v>
      </c>
      <c r="F59" s="15">
        <v>32</v>
      </c>
      <c r="G59" s="16">
        <v>26</v>
      </c>
      <c r="H59" s="17">
        <v>0.79</v>
      </c>
      <c r="I59" s="17">
        <f>Table1381314[[#This Row],[LHC]]*Table1381314[[#This Row],[Cars WTD (EDIT)]]</f>
        <v>20.54</v>
      </c>
      <c r="J59" s="17" cm="1">
        <f t="array" ref="J59">_xlfn.IFS(Table1381314[[#This Row],[Allowed Hours]]=0,0,Table1381314[[#This Row],[Allowed Hours]]&lt;25.3,25.3,Table1381314[[#This Row],[Allowed Hours]]&gt;25.3,Table1381314[[#This Row],[Allowed Hours]])</f>
        <v>25.3</v>
      </c>
      <c r="K59" s="18">
        <v>27.44</v>
      </c>
      <c r="L59" s="19">
        <f>K59-Table1381314[[#This Row],[Adj Allowed Hrs]]</f>
        <v>2.1400000000000006</v>
      </c>
    </row>
    <row r="60" spans="5:12" hidden="1">
      <c r="E60" s="14" t="s">
        <v>26</v>
      </c>
      <c r="F60" s="15">
        <v>606</v>
      </c>
      <c r="G60" s="16">
        <v>37</v>
      </c>
      <c r="H60" s="17">
        <v>0.79</v>
      </c>
      <c r="I60" s="17">
        <f>Table1381314[[#This Row],[LHC]]*Table1381314[[#This Row],[Cars WTD (EDIT)]]</f>
        <v>29.23</v>
      </c>
      <c r="J60" s="17" cm="1">
        <f t="array" ref="J60">_xlfn.IFS(Table1381314[[#This Row],[Allowed Hours]]=0,0,Table1381314[[#This Row],[Allowed Hours]]&lt;25.3,25.3,Table1381314[[#This Row],[Allowed Hours]]&gt;25.3,Table1381314[[#This Row],[Allowed Hours]])</f>
        <v>29.23</v>
      </c>
      <c r="K60" s="18">
        <v>29.59</v>
      </c>
      <c r="L60" s="19">
        <f>K60-Table1381314[[#This Row],[Adj Allowed Hrs]]</f>
        <v>0.35999999999999943</v>
      </c>
    </row>
    <row r="61" spans="5:12" hidden="1">
      <c r="E61" s="14" t="s">
        <v>26</v>
      </c>
      <c r="F61" s="15">
        <v>999</v>
      </c>
      <c r="G61" s="16">
        <v>20</v>
      </c>
      <c r="H61" s="17">
        <v>0.79</v>
      </c>
      <c r="I61" s="17">
        <f>Table1381314[[#This Row],[LHC]]*Table1381314[[#This Row],[Cars WTD (EDIT)]]</f>
        <v>15.8</v>
      </c>
      <c r="J61" s="17" cm="1">
        <f t="array" ref="J61">_xlfn.IFS(Table1381314[[#This Row],[Allowed Hours]]=0,0,Table1381314[[#This Row],[Allowed Hours]]&lt;25.3,25.3,Table1381314[[#This Row],[Allowed Hours]]&gt;25.3,Table1381314[[#This Row],[Allowed Hours]])</f>
        <v>25.3</v>
      </c>
      <c r="K61" s="18">
        <v>31.02</v>
      </c>
      <c r="L61" s="19">
        <f>K61-Table1381314[[#This Row],[Adj Allowed Hrs]]</f>
        <v>5.7199999999999989</v>
      </c>
    </row>
    <row r="62" spans="5:12" hidden="1">
      <c r="E62" s="14" t="s">
        <v>27</v>
      </c>
      <c r="F62" s="15">
        <v>8</v>
      </c>
      <c r="G62" s="16">
        <v>31</v>
      </c>
      <c r="H62" s="17">
        <v>0.79</v>
      </c>
      <c r="I62" s="17">
        <f>Table1381314[[#This Row],[LHC]]*Table1381314[[#This Row],[Cars WTD (EDIT)]]</f>
        <v>24.490000000000002</v>
      </c>
      <c r="J62" s="17" cm="1">
        <f t="array" ref="J62">_xlfn.IFS(Table1381314[[#This Row],[Allowed Hours]]=0,0,Table1381314[[#This Row],[Allowed Hours]]&lt;25.3,25.3,Table1381314[[#This Row],[Allowed Hours]]&gt;25.3,Table1381314[[#This Row],[Allowed Hours]])</f>
        <v>25.3</v>
      </c>
      <c r="K62" s="18">
        <v>34.97</v>
      </c>
      <c r="L62" s="19">
        <f>K62-Table1381314[[#This Row],[Adj Allowed Hrs]]</f>
        <v>9.6699999999999982</v>
      </c>
    </row>
    <row r="63" spans="5:12" hidden="1">
      <c r="E63" s="14" t="s">
        <v>27</v>
      </c>
      <c r="F63" s="15">
        <v>10</v>
      </c>
      <c r="G63" s="16">
        <v>37</v>
      </c>
      <c r="H63" s="17">
        <v>0.79</v>
      </c>
      <c r="I63" s="17">
        <f>Table1381314[[#This Row],[LHC]]*Table1381314[[#This Row],[Cars WTD (EDIT)]]</f>
        <v>29.23</v>
      </c>
      <c r="J63" s="17" cm="1">
        <f t="array" ref="J63">_xlfn.IFS(Table1381314[[#This Row],[Allowed Hours]]=0,0,Table1381314[[#This Row],[Allowed Hours]]&lt;25.3,25.3,Table1381314[[#This Row],[Allowed Hours]]&gt;25.3,Table1381314[[#This Row],[Allowed Hours]])</f>
        <v>29.23</v>
      </c>
      <c r="K63" s="18">
        <v>30.48</v>
      </c>
      <c r="L63" s="19">
        <f>K63-Table1381314[[#This Row],[Adj Allowed Hrs]]</f>
        <v>1.25</v>
      </c>
    </row>
    <row r="64" spans="5:12" hidden="1">
      <c r="E64" s="14" t="s">
        <v>27</v>
      </c>
      <c r="F64" s="15">
        <v>12</v>
      </c>
      <c r="G64" s="16">
        <v>29</v>
      </c>
      <c r="H64" s="17">
        <v>0.79</v>
      </c>
      <c r="I64" s="17">
        <f>Table1381314[[#This Row],[LHC]]*Table1381314[[#This Row],[Cars WTD (EDIT)]]</f>
        <v>22.91</v>
      </c>
      <c r="J64" s="17" cm="1">
        <f t="array" ref="J64">_xlfn.IFS(Table1381314[[#This Row],[Allowed Hours]]=0,0,Table1381314[[#This Row],[Allowed Hours]]&lt;25.3,25.3,Table1381314[[#This Row],[Allowed Hours]]&gt;25.3,Table1381314[[#This Row],[Allowed Hours]])</f>
        <v>25.3</v>
      </c>
      <c r="K64" s="18">
        <v>30.19</v>
      </c>
      <c r="L64" s="19">
        <f>K64-Table1381314[[#This Row],[Adj Allowed Hrs]]</f>
        <v>4.8900000000000006</v>
      </c>
    </row>
    <row r="65" spans="5:12" hidden="1">
      <c r="E65" s="14" t="s">
        <v>27</v>
      </c>
      <c r="F65" s="15">
        <v>13</v>
      </c>
      <c r="G65" s="16">
        <v>38</v>
      </c>
      <c r="H65" s="17">
        <v>0.79</v>
      </c>
      <c r="I65" s="17">
        <f>Table1381314[[#This Row],[LHC]]*Table1381314[[#This Row],[Cars WTD (EDIT)]]</f>
        <v>30.020000000000003</v>
      </c>
      <c r="J65" s="17" cm="1">
        <f t="array" ref="J65">_xlfn.IFS(Table1381314[[#This Row],[Allowed Hours]]=0,0,Table1381314[[#This Row],[Allowed Hours]]&lt;25.3,25.3,Table1381314[[#This Row],[Allowed Hours]]&gt;25.3,Table1381314[[#This Row],[Allowed Hours]])</f>
        <v>30.020000000000003</v>
      </c>
      <c r="K65" s="18">
        <v>32.78</v>
      </c>
      <c r="L65" s="19">
        <f>K65-Table1381314[[#This Row],[Adj Allowed Hrs]]</f>
        <v>2.759999999999998</v>
      </c>
    </row>
    <row r="66" spans="5:12" hidden="1">
      <c r="E66" s="14" t="s">
        <v>27</v>
      </c>
      <c r="F66" s="15">
        <v>31</v>
      </c>
      <c r="G66" s="16">
        <v>28</v>
      </c>
      <c r="H66" s="17">
        <v>0.79</v>
      </c>
      <c r="I66" s="17">
        <f>Table1381314[[#This Row],[LHC]]*Table1381314[[#This Row],[Cars WTD (EDIT)]]</f>
        <v>22.12</v>
      </c>
      <c r="J66" s="17" cm="1">
        <f t="array" ref="J66">_xlfn.IFS(Table1381314[[#This Row],[Allowed Hours]]=0,0,Table1381314[[#This Row],[Allowed Hours]]&lt;25.3,25.3,Table1381314[[#This Row],[Allowed Hours]]&gt;25.3,Table1381314[[#This Row],[Allowed Hours]])</f>
        <v>25.3</v>
      </c>
      <c r="K66" s="18">
        <v>41.97</v>
      </c>
      <c r="L66" s="19">
        <f>K66-Table1381314[[#This Row],[Adj Allowed Hrs]]</f>
        <v>16.669999999999998</v>
      </c>
    </row>
    <row r="67" spans="5:12" hidden="1">
      <c r="E67" s="14" t="s">
        <v>27</v>
      </c>
      <c r="F67" s="15">
        <v>92</v>
      </c>
      <c r="G67" s="16">
        <v>38</v>
      </c>
      <c r="H67" s="17">
        <v>0.79</v>
      </c>
      <c r="I67" s="17">
        <f>Table1381314[[#This Row],[LHC]]*Table1381314[[#This Row],[Cars WTD (EDIT)]]</f>
        <v>30.020000000000003</v>
      </c>
      <c r="J67" s="17" cm="1">
        <f t="array" ref="J67">_xlfn.IFS(Table1381314[[#This Row],[Allowed Hours]]=0,0,Table1381314[[#This Row],[Allowed Hours]]&lt;25.3,25.3,Table1381314[[#This Row],[Allowed Hours]]&gt;25.3,Table1381314[[#This Row],[Allowed Hours]])</f>
        <v>30.020000000000003</v>
      </c>
      <c r="K67" s="18">
        <v>32.42</v>
      </c>
      <c r="L67" s="19">
        <f>K67-Table1381314[[#This Row],[Adj Allowed Hrs]]</f>
        <v>2.3999999999999986</v>
      </c>
    </row>
    <row r="68" spans="5:12" hidden="1">
      <c r="E68" s="14" t="s">
        <v>27</v>
      </c>
      <c r="F68" s="15">
        <v>116</v>
      </c>
      <c r="G68" s="16">
        <v>35</v>
      </c>
      <c r="H68" s="17">
        <v>0.79</v>
      </c>
      <c r="I68" s="17">
        <f>Table1381314[[#This Row],[LHC]]*Table1381314[[#This Row],[Cars WTD (EDIT)]]</f>
        <v>27.650000000000002</v>
      </c>
      <c r="J68" s="17" cm="1">
        <f t="array" ref="J68">_xlfn.IFS(Table1381314[[#This Row],[Allowed Hours]]=0,0,Table1381314[[#This Row],[Allowed Hours]]&lt;25.3,25.3,Table1381314[[#This Row],[Allowed Hours]]&gt;25.3,Table1381314[[#This Row],[Allowed Hours]])</f>
        <v>27.650000000000002</v>
      </c>
      <c r="K68" s="18">
        <v>32.56</v>
      </c>
      <c r="L68" s="19">
        <f>K68-Table1381314[[#This Row],[Adj Allowed Hrs]]</f>
        <v>4.91</v>
      </c>
    </row>
    <row r="69" spans="5:12" hidden="1">
      <c r="E69" s="20" t="s">
        <v>27</v>
      </c>
      <c r="F69" s="21">
        <v>870</v>
      </c>
      <c r="G69" s="22">
        <v>17</v>
      </c>
      <c r="H69" s="23">
        <v>0.79</v>
      </c>
      <c r="I69" s="17">
        <f>Table1381314[[#This Row],[LHC]]*Table1381314[[#This Row],[Cars WTD (EDIT)]]</f>
        <v>13.43</v>
      </c>
      <c r="J69" s="23" cm="1">
        <f t="array" ref="J69">_xlfn.IFS(Table1381314[[#This Row],[Allowed Hours]]=0,0,Table1381314[[#This Row],[Allowed Hours]]&lt;25.3,25.3,Table1381314[[#This Row],[Allowed Hours]]&gt;25.3,Table1381314[[#This Row],[Allowed Hours]])</f>
        <v>25.3</v>
      </c>
      <c r="K69" s="24">
        <v>21.28</v>
      </c>
      <c r="L69" s="25">
        <f>K69-Table1381314[[#This Row],[Adj Allowed Hrs]]</f>
        <v>-4.0199999999999996</v>
      </c>
    </row>
    <row r="70" spans="5:12" hidden="1">
      <c r="E70" s="20" t="s">
        <v>27</v>
      </c>
      <c r="F70" s="21">
        <v>3004</v>
      </c>
      <c r="G70" s="22">
        <v>17</v>
      </c>
      <c r="H70" s="23">
        <v>0.79</v>
      </c>
      <c r="I70" s="23">
        <f>Table1381314[[#This Row],[LHC]]*Table1381314[[#This Row],[Cars WTD (EDIT)]]</f>
        <v>13.43</v>
      </c>
      <c r="J70" s="23" cm="1">
        <f t="array" ref="J70">_xlfn.IFS(Table1381314[[#This Row],[Allowed Hours]]=0,0,Table1381314[[#This Row],[Allowed Hours]]&lt;25.3,25.3,Table1381314[[#This Row],[Allowed Hours]]&gt;25.3,Table1381314[[#This Row],[Allowed Hours]])</f>
        <v>25.3</v>
      </c>
      <c r="K70" s="24">
        <v>21.49</v>
      </c>
      <c r="L70" s="25">
        <f>K70-Table1381314[[#This Row],[Adj Allowed Hrs]]</f>
        <v>-3.8100000000000023</v>
      </c>
    </row>
  </sheetData>
  <sheetProtection sheet="1" objects="1" scenarios="1" selectLockedCells="1" sort="0" autoFilter="0" pivotTables="0"/>
  <protectedRanges>
    <protectedRange sqref="K14:K70" name="Range1"/>
  </protectedRanges>
  <mergeCells count="1">
    <mergeCell ref="B2:C2"/>
  </mergeCells>
  <conditionalFormatting sqref="I14:J70">
    <cfRule type="cellIs" dxfId="67" priority="6" operator="lessThan">
      <formula>25.3</formula>
    </cfRule>
  </conditionalFormatting>
  <conditionalFormatting sqref="L14:L70">
    <cfRule type="cellIs" dxfId="66" priority="9" operator="greaterThan">
      <formula>0</formula>
    </cfRule>
    <cfRule type="cellIs" dxfId="65" priority="10" operator="lessThan">
      <formula>0</formula>
    </cfRule>
  </conditionalFormatting>
  <conditionalFormatting sqref="J3:J10">
    <cfRule type="cellIs" dxfId="64" priority="2" operator="greaterThan">
      <formula>0</formula>
    </cfRule>
    <cfRule type="cellIs" dxfId="63" priority="3" operator="lessThan">
      <formula>0</formula>
    </cfRule>
  </conditionalFormatting>
  <conditionalFormatting sqref="I70:J70">
    <cfRule type="cellIs" dxfId="62" priority="1" operator="lessThan">
      <formula>25.3</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58C9-C1D4-44B6-BA39-F8015628EC05}">
  <dimension ref="B1:L70"/>
  <sheetViews>
    <sheetView showGridLines="0" workbookViewId="0">
      <selection activeCell="G28" sqref="G28"/>
    </sheetView>
  </sheetViews>
  <sheetFormatPr defaultRowHeight="12.75"/>
  <cols>
    <col min="1" max="1" width="10.5703125" style="1" customWidth="1"/>
    <col min="2" max="3" width="12.140625" style="1" customWidth="1"/>
    <col min="4" max="4" width="16" style="1" customWidth="1"/>
    <col min="5" max="5" width="25.28515625" style="1" bestFit="1" customWidth="1"/>
    <col min="6" max="6" width="14.28515625" style="1" bestFit="1" customWidth="1"/>
    <col min="7" max="7" width="18.140625" style="1" bestFit="1" customWidth="1"/>
    <col min="8" max="8" width="19" style="1" bestFit="1" customWidth="1"/>
    <col min="9" max="9" width="16.7109375" style="1" bestFit="1" customWidth="1"/>
    <col min="10" max="10" width="20.85546875" style="1" bestFit="1" customWidth="1"/>
    <col min="11" max="11" width="25.140625" style="1" customWidth="1"/>
    <col min="12" max="12" width="19.5703125" style="1" customWidth="1"/>
    <col min="13" max="16384" width="9.140625" style="1"/>
  </cols>
  <sheetData>
    <row r="1" spans="2:12" ht="13.5" thickBot="1"/>
    <row r="2" spans="2:12" ht="18.75" thickBot="1">
      <c r="B2" s="42" t="s">
        <v>0</v>
      </c>
      <c r="C2" s="43"/>
      <c r="E2" s="2" t="s">
        <v>1</v>
      </c>
      <c r="F2" s="2" t="s">
        <v>2</v>
      </c>
      <c r="G2" s="2" t="s">
        <v>3</v>
      </c>
      <c r="H2" s="2" t="s">
        <v>4</v>
      </c>
      <c r="I2" s="2" t="s">
        <v>5</v>
      </c>
      <c r="J2" s="2" t="s">
        <v>6</v>
      </c>
    </row>
    <row r="3" spans="2:12" ht="18">
      <c r="B3" s="3" t="s">
        <v>7</v>
      </c>
      <c r="C3" s="4">
        <v>20</v>
      </c>
      <c r="E3" s="2" t="s">
        <v>8</v>
      </c>
      <c r="F3" s="5">
        <f>SUM(G14:G21)</f>
        <v>0</v>
      </c>
      <c r="G3" s="2">
        <v>0.79</v>
      </c>
      <c r="H3" s="2">
        <f>SUM(I14:I21)</f>
        <v>0</v>
      </c>
      <c r="I3" s="2">
        <f>SUM(K14:K21)</f>
        <v>0</v>
      </c>
      <c r="J3" s="2">
        <f>SUM(L14:L21)</f>
        <v>0</v>
      </c>
    </row>
    <row r="4" spans="2:12" ht="18">
      <c r="B4" s="6" t="s">
        <v>9</v>
      </c>
      <c r="C4" s="4">
        <v>45.3</v>
      </c>
      <c r="E4" s="2" t="s">
        <v>10</v>
      </c>
      <c r="F4" s="5">
        <f>SUM(G22:G28)</f>
        <v>188</v>
      </c>
      <c r="G4" s="2">
        <v>0.79</v>
      </c>
      <c r="H4" s="2">
        <f>SUM(I22:I28)</f>
        <v>148.52000000000001</v>
      </c>
      <c r="I4" s="2">
        <f>SUM(K22:K28)</f>
        <v>211.5</v>
      </c>
      <c r="J4" s="2">
        <f>SUM(L22:L28)</f>
        <v>29.7</v>
      </c>
    </row>
    <row r="5" spans="2:12" ht="18">
      <c r="B5" s="6" t="s">
        <v>11</v>
      </c>
      <c r="C5" s="4">
        <v>70.599999999999994</v>
      </c>
      <c r="E5" s="2" t="s">
        <v>12</v>
      </c>
      <c r="F5" s="5">
        <f>SUM(G29:G37)</f>
        <v>365</v>
      </c>
      <c r="G5" s="2">
        <v>0.79</v>
      </c>
      <c r="H5" s="2">
        <f>SUM(I29:I37)</f>
        <v>288.35000000000002</v>
      </c>
      <c r="I5" s="2">
        <f>SUM(K29:K37)</f>
        <v>295</v>
      </c>
      <c r="J5" s="2">
        <f>SUM(L29:L37)</f>
        <v>-12.390000000000008</v>
      </c>
    </row>
    <row r="6" spans="2:12" ht="18">
      <c r="B6" s="6" t="s">
        <v>13</v>
      </c>
      <c r="C6" s="4">
        <v>95.93</v>
      </c>
      <c r="E6" s="2" t="s">
        <v>14</v>
      </c>
      <c r="F6" s="5">
        <f>SUM(G38:G45)</f>
        <v>236</v>
      </c>
      <c r="G6" s="2">
        <v>0.79</v>
      </c>
      <c r="H6" s="2">
        <f>SUM(I38:I45)</f>
        <v>186.44</v>
      </c>
      <c r="I6" s="2">
        <f>SUM(K38:K45)</f>
        <v>177.95000000000002</v>
      </c>
      <c r="J6" s="2">
        <f>SUM(L38:L45)</f>
        <v>-44.93</v>
      </c>
    </row>
    <row r="7" spans="2:12" ht="18">
      <c r="B7" s="6" t="s">
        <v>15</v>
      </c>
      <c r="C7" s="4">
        <v>121.23</v>
      </c>
      <c r="E7" s="2" t="s">
        <v>16</v>
      </c>
      <c r="F7" s="5">
        <f>SUM(G46:G52)</f>
        <v>0</v>
      </c>
      <c r="G7" s="2">
        <v>0.79</v>
      </c>
      <c r="H7" s="2">
        <f>SUM(I46:I52)</f>
        <v>0</v>
      </c>
      <c r="I7" s="2">
        <f>SUM(K46:K52)</f>
        <v>0</v>
      </c>
      <c r="J7" s="2">
        <f>SUM(L46:L52)</f>
        <v>0</v>
      </c>
    </row>
    <row r="8" spans="2:12" ht="18">
      <c r="B8" s="6" t="s">
        <v>17</v>
      </c>
      <c r="C8" s="4">
        <v>146.53</v>
      </c>
      <c r="E8" s="2" t="s">
        <v>18</v>
      </c>
      <c r="F8" s="5">
        <f>SUM(G53:G61)</f>
        <v>415</v>
      </c>
      <c r="G8" s="2">
        <v>0.79</v>
      </c>
      <c r="H8" s="2">
        <f>SUM(I53:I61)</f>
        <v>327.85</v>
      </c>
      <c r="I8" s="2">
        <f>SUM(K53:K61)</f>
        <v>319.80000000000007</v>
      </c>
      <c r="J8" s="2">
        <f>SUM(L53:L61)</f>
        <v>-12.830000000000023</v>
      </c>
    </row>
    <row r="9" spans="2:12" ht="18.75" thickBot="1">
      <c r="B9" s="7" t="s">
        <v>19</v>
      </c>
      <c r="C9" s="8">
        <v>171.8</v>
      </c>
      <c r="E9" s="2" t="s">
        <v>20</v>
      </c>
      <c r="F9" s="5">
        <f>SUM(G62:G70)</f>
        <v>0</v>
      </c>
      <c r="G9" s="2">
        <v>0.79</v>
      </c>
      <c r="H9" s="2">
        <f>SUM(I62:I70)</f>
        <v>0</v>
      </c>
      <c r="I9" s="2">
        <f>SUM(K62:K70)</f>
        <v>0</v>
      </c>
      <c r="J9" s="2">
        <f>SUM(L62:L70)</f>
        <v>0</v>
      </c>
    </row>
    <row r="10" spans="2:12" ht="18">
      <c r="E10" s="9" t="s">
        <v>21</v>
      </c>
      <c r="F10" s="9">
        <f>SUM(F3:F9)</f>
        <v>1204</v>
      </c>
      <c r="G10" s="9">
        <v>0.79</v>
      </c>
      <c r="H10" s="9">
        <f>SUM(H3:H9)</f>
        <v>951.16</v>
      </c>
      <c r="I10" s="9">
        <f>SUM(I3:I9)</f>
        <v>1004.2500000000001</v>
      </c>
      <c r="J10" s="9">
        <f>SUM(J3:J9)</f>
        <v>-40.450000000000031</v>
      </c>
    </row>
    <row r="13" spans="2:12">
      <c r="E13" s="10" t="s">
        <v>1</v>
      </c>
      <c r="F13" s="11" t="s">
        <v>22</v>
      </c>
      <c r="G13" s="12" t="s">
        <v>23</v>
      </c>
      <c r="H13" s="11" t="s">
        <v>3</v>
      </c>
      <c r="I13" s="11" t="s">
        <v>4</v>
      </c>
      <c r="J13" s="11" t="s">
        <v>24</v>
      </c>
      <c r="K13" s="12" t="s">
        <v>25</v>
      </c>
      <c r="L13" s="13" t="s">
        <v>6</v>
      </c>
    </row>
    <row r="14" spans="2:12" hidden="1">
      <c r="E14" s="14" t="s">
        <v>8</v>
      </c>
      <c r="F14" s="15">
        <v>17</v>
      </c>
      <c r="G14" s="16"/>
      <c r="H14" s="17">
        <v>0.79</v>
      </c>
      <c r="I14" s="17">
        <f>Table13813141516[[#This Row],[LHC]]*Table13813141516[[#This Row],[Cars WTD (EDIT)]]</f>
        <v>0</v>
      </c>
      <c r="J14" s="17" cm="1">
        <f t="array" ref="J14">_xlfn.IFS(Table13813141516[[#This Row],[Allowed Hours]]=0,0,Table13813141516[[#This Row],[Allowed Hours]]&lt;25.3,25.3,Table13813141516[[#This Row],[Allowed Hours]]&gt;25.3,Table13813141516[[#This Row],[Allowed Hours]])</f>
        <v>0</v>
      </c>
      <c r="K14" s="18"/>
      <c r="L14" s="19">
        <f>K14-Table13813141516[[#This Row],[Adj Allowed Hrs]]</f>
        <v>0</v>
      </c>
    </row>
    <row r="15" spans="2:12" hidden="1">
      <c r="E15" s="14" t="s">
        <v>8</v>
      </c>
      <c r="F15" s="15">
        <v>22</v>
      </c>
      <c r="G15" s="16"/>
      <c r="H15" s="17">
        <v>0.79</v>
      </c>
      <c r="I15" s="17">
        <f>Table13813141516[[#This Row],[LHC]]*Table13813141516[[#This Row],[Cars WTD (EDIT)]]</f>
        <v>0</v>
      </c>
      <c r="J15" s="17" cm="1">
        <f t="array" ref="J15">_xlfn.IFS(Table13813141516[[#This Row],[Allowed Hours]]=0,0,Table13813141516[[#This Row],[Allowed Hours]]&lt;25.3,25.3,Table13813141516[[#This Row],[Allowed Hours]]&gt;25.3,Table13813141516[[#This Row],[Allowed Hours]])</f>
        <v>0</v>
      </c>
      <c r="K15" s="18"/>
      <c r="L15" s="19">
        <f>K15-Table13813141516[[#This Row],[Adj Allowed Hrs]]</f>
        <v>0</v>
      </c>
    </row>
    <row r="16" spans="2:12" hidden="1">
      <c r="E16" s="14" t="s">
        <v>8</v>
      </c>
      <c r="F16" s="15">
        <v>641</v>
      </c>
      <c r="G16" s="16"/>
      <c r="H16" s="17">
        <v>0.79</v>
      </c>
      <c r="I16" s="17">
        <f>Table13813141516[[#This Row],[LHC]]*Table13813141516[[#This Row],[Cars WTD (EDIT)]]</f>
        <v>0</v>
      </c>
      <c r="J16" s="17" cm="1">
        <f t="array" ref="J16">_xlfn.IFS(Table13813141516[[#This Row],[Allowed Hours]]=0,0,Table13813141516[[#This Row],[Allowed Hours]]&lt;25.3,25.3,Table13813141516[[#This Row],[Allowed Hours]]&gt;25.3,Table13813141516[[#This Row],[Allowed Hours]])</f>
        <v>0</v>
      </c>
      <c r="K16" s="18"/>
      <c r="L16" s="19">
        <f>K16-Table13813141516[[#This Row],[Adj Allowed Hrs]]</f>
        <v>0</v>
      </c>
    </row>
    <row r="17" spans="5:12" hidden="1">
      <c r="E17" s="14" t="s">
        <v>8</v>
      </c>
      <c r="F17" s="15">
        <v>717</v>
      </c>
      <c r="G17" s="16"/>
      <c r="H17" s="17">
        <v>0.79</v>
      </c>
      <c r="I17" s="17">
        <f>Table13813141516[[#This Row],[LHC]]*Table13813141516[[#This Row],[Cars WTD (EDIT)]]</f>
        <v>0</v>
      </c>
      <c r="J17" s="17" cm="1">
        <f t="array" ref="J17">_xlfn.IFS(Table13813141516[[#This Row],[Allowed Hours]]=0,0,Table13813141516[[#This Row],[Allowed Hours]]&lt;25.3,25.3,Table13813141516[[#This Row],[Allowed Hours]]&gt;25.3,Table13813141516[[#This Row],[Allowed Hours]])</f>
        <v>0</v>
      </c>
      <c r="K17" s="18"/>
      <c r="L17" s="19">
        <f>K17-Table13813141516[[#This Row],[Adj Allowed Hrs]]</f>
        <v>0</v>
      </c>
    </row>
    <row r="18" spans="5:12" hidden="1">
      <c r="E18" s="14" t="s">
        <v>8</v>
      </c>
      <c r="F18" s="15">
        <v>843</v>
      </c>
      <c r="G18" s="16"/>
      <c r="H18" s="17">
        <v>0.79</v>
      </c>
      <c r="I18" s="17">
        <f>Table13813141516[[#This Row],[LHC]]*Table13813141516[[#This Row],[Cars WTD (EDIT)]]</f>
        <v>0</v>
      </c>
      <c r="J18" s="17" cm="1">
        <f t="array" ref="J18">_xlfn.IFS(Table13813141516[[#This Row],[Allowed Hours]]=0,0,Table13813141516[[#This Row],[Allowed Hours]]&lt;25.3,25.3,Table13813141516[[#This Row],[Allowed Hours]]&gt;25.3,Table13813141516[[#This Row],[Allowed Hours]])</f>
        <v>0</v>
      </c>
      <c r="K18" s="18"/>
      <c r="L18" s="19">
        <f>K18-Table13813141516[[#This Row],[Adj Allowed Hrs]]</f>
        <v>0</v>
      </c>
    </row>
    <row r="19" spans="5:12" hidden="1">
      <c r="E19" s="14" t="s">
        <v>8</v>
      </c>
      <c r="F19" s="15">
        <v>881</v>
      </c>
      <c r="G19" s="16"/>
      <c r="H19" s="17">
        <v>0.79</v>
      </c>
      <c r="I19" s="17">
        <f>Table13813141516[[#This Row],[LHC]]*Table13813141516[[#This Row],[Cars WTD (EDIT)]]</f>
        <v>0</v>
      </c>
      <c r="J19" s="17" cm="1">
        <f t="array" ref="J19">_xlfn.IFS(Table13813141516[[#This Row],[Allowed Hours]]=0,0,Table13813141516[[#This Row],[Allowed Hours]]&lt;25.3,25.3,Table13813141516[[#This Row],[Allowed Hours]]&gt;25.3,Table13813141516[[#This Row],[Allowed Hours]])</f>
        <v>0</v>
      </c>
      <c r="K19" s="18"/>
      <c r="L19" s="19">
        <f>K19-Table13813141516[[#This Row],[Adj Allowed Hrs]]</f>
        <v>0</v>
      </c>
    </row>
    <row r="20" spans="5:12" hidden="1">
      <c r="E20" s="14" t="s">
        <v>8</v>
      </c>
      <c r="F20" s="15">
        <v>953</v>
      </c>
      <c r="G20" s="16"/>
      <c r="H20" s="17">
        <v>0.79</v>
      </c>
      <c r="I20" s="17">
        <f>Table13813141516[[#This Row],[LHC]]*Table13813141516[[#This Row],[Cars WTD (EDIT)]]</f>
        <v>0</v>
      </c>
      <c r="J20" s="17" cm="1">
        <f t="array" ref="J20">_xlfn.IFS(Table13813141516[[#This Row],[Allowed Hours]]=0,0,Table13813141516[[#This Row],[Allowed Hours]]&lt;25.3,25.3,Table13813141516[[#This Row],[Allowed Hours]]&gt;25.3,Table13813141516[[#This Row],[Allowed Hours]])</f>
        <v>0</v>
      </c>
      <c r="K20" s="18"/>
      <c r="L20" s="19">
        <f>K20-Table13813141516[[#This Row],[Adj Allowed Hrs]]</f>
        <v>0</v>
      </c>
    </row>
    <row r="21" spans="5:12" hidden="1">
      <c r="E21" s="14" t="s">
        <v>8</v>
      </c>
      <c r="F21" s="15">
        <v>3040</v>
      </c>
      <c r="G21" s="16"/>
      <c r="H21" s="17">
        <v>0.79</v>
      </c>
      <c r="I21" s="17">
        <f>Table13813141516[[#This Row],[LHC]]*Table13813141516[[#This Row],[Cars WTD (EDIT)]]</f>
        <v>0</v>
      </c>
      <c r="J21" s="17" cm="1">
        <f t="array" ref="J21">_xlfn.IFS(Table13813141516[[#This Row],[Allowed Hours]]=0,0,Table13813141516[[#This Row],[Allowed Hours]]&lt;25.3,25.3,Table13813141516[[#This Row],[Allowed Hours]]&gt;25.3,Table13813141516[[#This Row],[Allowed Hours]])</f>
        <v>0</v>
      </c>
      <c r="K21" s="18"/>
      <c r="L21" s="19">
        <f>K21-Table13813141516[[#This Row],[Adj Allowed Hrs]]</f>
        <v>0</v>
      </c>
    </row>
    <row r="22" spans="5:12">
      <c r="E22" s="14" t="s">
        <v>10</v>
      </c>
      <c r="F22" s="15">
        <v>18</v>
      </c>
      <c r="G22" s="16">
        <v>36</v>
      </c>
      <c r="H22" s="17">
        <v>0.79</v>
      </c>
      <c r="I22" s="17">
        <f>Table13813141516[[#This Row],[LHC]]*Table13813141516[[#This Row],[Cars WTD (EDIT)]]</f>
        <v>28.44</v>
      </c>
      <c r="J22" s="17" cm="1">
        <f t="array" ref="J22">_xlfn.IFS(Table13813141516[[#This Row],[Allowed Hours]]=0,0,Table13813141516[[#This Row],[Allowed Hours]]&lt;25.3,25.3,Table13813141516[[#This Row],[Allowed Hours]]&gt;25.3,Table13813141516[[#This Row],[Allowed Hours]])</f>
        <v>28.44</v>
      </c>
      <c r="K22" s="18">
        <v>30.93</v>
      </c>
      <c r="L22" s="19">
        <f>K22-Table13813141516[[#This Row],[Adj Allowed Hrs]]</f>
        <v>2.4899999999999984</v>
      </c>
    </row>
    <row r="23" spans="5:12">
      <c r="E23" s="14" t="s">
        <v>10</v>
      </c>
      <c r="F23" s="15">
        <v>19</v>
      </c>
      <c r="G23" s="16">
        <v>24</v>
      </c>
      <c r="H23" s="17">
        <v>0.79</v>
      </c>
      <c r="I23" s="17">
        <f>Table13813141516[[#This Row],[LHC]]*Table13813141516[[#This Row],[Cars WTD (EDIT)]]</f>
        <v>18.96</v>
      </c>
      <c r="J23" s="17" cm="1">
        <f t="array" ref="J23">_xlfn.IFS(Table13813141516[[#This Row],[Allowed Hours]]=0,0,Table13813141516[[#This Row],[Allowed Hours]]&lt;25.3,25.3,Table13813141516[[#This Row],[Allowed Hours]]&gt;25.3,Table13813141516[[#This Row],[Allowed Hours]])</f>
        <v>25.3</v>
      </c>
      <c r="K23" s="18">
        <v>33.07</v>
      </c>
      <c r="L23" s="19">
        <f>K23-Table13813141516[[#This Row],[Adj Allowed Hrs]]</f>
        <v>7.77</v>
      </c>
    </row>
    <row r="24" spans="5:12">
      <c r="E24" s="14" t="s">
        <v>10</v>
      </c>
      <c r="F24" s="15">
        <v>282</v>
      </c>
      <c r="G24" s="16">
        <v>12</v>
      </c>
      <c r="H24" s="17">
        <v>0.79</v>
      </c>
      <c r="I24" s="17">
        <f>Table13813141516[[#This Row],[LHC]]*Table13813141516[[#This Row],[Cars WTD (EDIT)]]</f>
        <v>9.48</v>
      </c>
      <c r="J24" s="17" cm="1">
        <f t="array" ref="J24">_xlfn.IFS(Table13813141516[[#This Row],[Allowed Hours]]=0,0,Table13813141516[[#This Row],[Allowed Hours]]&lt;25.3,25.3,Table13813141516[[#This Row],[Allowed Hours]]&gt;25.3,Table13813141516[[#This Row],[Allowed Hours]])</f>
        <v>25.3</v>
      </c>
      <c r="K24" s="18">
        <v>13.3</v>
      </c>
      <c r="L24" s="19">
        <f>K24-Table13813141516[[#This Row],[Adj Allowed Hrs]]</f>
        <v>-12</v>
      </c>
    </row>
    <row r="25" spans="5:12">
      <c r="E25" s="14" t="s">
        <v>10</v>
      </c>
      <c r="F25" s="15">
        <v>447</v>
      </c>
      <c r="G25" s="16">
        <v>27</v>
      </c>
      <c r="H25" s="17">
        <v>0.79</v>
      </c>
      <c r="I25" s="17">
        <f>Table13813141516[[#This Row],[LHC]]*Table13813141516[[#This Row],[Cars WTD (EDIT)]]</f>
        <v>21.330000000000002</v>
      </c>
      <c r="J25" s="17" cm="1">
        <f t="array" ref="J25">_xlfn.IFS(Table13813141516[[#This Row],[Allowed Hours]]=0,0,Table13813141516[[#This Row],[Allowed Hours]]&lt;25.3,25.3,Table13813141516[[#This Row],[Allowed Hours]]&gt;25.3,Table13813141516[[#This Row],[Allowed Hours]])</f>
        <v>25.3</v>
      </c>
      <c r="K25" s="18">
        <v>28.39</v>
      </c>
      <c r="L25" s="19">
        <f>K25-Table13813141516[[#This Row],[Adj Allowed Hrs]]</f>
        <v>3.09</v>
      </c>
    </row>
    <row r="26" spans="5:12">
      <c r="E26" s="14" t="s">
        <v>10</v>
      </c>
      <c r="F26" s="15">
        <v>448</v>
      </c>
      <c r="G26" s="16">
        <v>34</v>
      </c>
      <c r="H26" s="17">
        <v>0.79</v>
      </c>
      <c r="I26" s="17">
        <f>Table13813141516[[#This Row],[LHC]]*Table13813141516[[#This Row],[Cars WTD (EDIT)]]</f>
        <v>26.86</v>
      </c>
      <c r="J26" s="17" cm="1">
        <f t="array" ref="J26">_xlfn.IFS(Table13813141516[[#This Row],[Allowed Hours]]=0,0,Table13813141516[[#This Row],[Allowed Hours]]&lt;25.3,25.3,Table13813141516[[#This Row],[Allowed Hours]]&gt;25.3,Table13813141516[[#This Row],[Allowed Hours]])</f>
        <v>26.86</v>
      </c>
      <c r="K26" s="18">
        <v>48.79</v>
      </c>
      <c r="L26" s="19">
        <f>K26-Table13813141516[[#This Row],[Adj Allowed Hrs]]</f>
        <v>21.93</v>
      </c>
    </row>
    <row r="27" spans="5:12">
      <c r="E27" s="14" t="s">
        <v>10</v>
      </c>
      <c r="F27" s="15">
        <v>531</v>
      </c>
      <c r="G27" s="16">
        <v>24</v>
      </c>
      <c r="H27" s="17">
        <v>0.79</v>
      </c>
      <c r="I27" s="17">
        <f>Table13813141516[[#This Row],[LHC]]*Table13813141516[[#This Row],[Cars WTD (EDIT)]]</f>
        <v>18.96</v>
      </c>
      <c r="J27" s="17" cm="1">
        <f t="array" ref="J27">_xlfn.IFS(Table13813141516[[#This Row],[Allowed Hours]]=0,0,Table13813141516[[#This Row],[Allowed Hours]]&lt;25.3,25.3,Table13813141516[[#This Row],[Allowed Hours]]&gt;25.3,Table13813141516[[#This Row],[Allowed Hours]])</f>
        <v>25.3</v>
      </c>
      <c r="K27" s="18">
        <v>24.18</v>
      </c>
      <c r="L27" s="19">
        <f>K27-Table13813141516[[#This Row],[Adj Allowed Hrs]]</f>
        <v>-1.120000000000001</v>
      </c>
    </row>
    <row r="28" spans="5:12">
      <c r="E28" s="14" t="s">
        <v>10</v>
      </c>
      <c r="F28" s="15">
        <v>832</v>
      </c>
      <c r="G28" s="16">
        <v>31</v>
      </c>
      <c r="H28" s="17">
        <v>0.79</v>
      </c>
      <c r="I28" s="17">
        <f>Table13813141516[[#This Row],[LHC]]*Table13813141516[[#This Row],[Cars WTD (EDIT)]]</f>
        <v>24.490000000000002</v>
      </c>
      <c r="J28" s="17" cm="1">
        <f t="array" ref="J28">_xlfn.IFS(Table13813141516[[#This Row],[Allowed Hours]]=0,0,Table13813141516[[#This Row],[Allowed Hours]]&lt;25.3,25.3,Table13813141516[[#This Row],[Allowed Hours]]&gt;25.3,Table13813141516[[#This Row],[Allowed Hours]])</f>
        <v>25.3</v>
      </c>
      <c r="K28" s="18">
        <v>32.840000000000003</v>
      </c>
      <c r="L28" s="19">
        <f>K28-Table13813141516[[#This Row],[Adj Allowed Hrs]]</f>
        <v>7.5400000000000027</v>
      </c>
    </row>
    <row r="29" spans="5:12" hidden="1">
      <c r="E29" s="14" t="s">
        <v>12</v>
      </c>
      <c r="F29" s="15">
        <v>3</v>
      </c>
      <c r="G29" s="16">
        <v>24</v>
      </c>
      <c r="H29" s="17">
        <v>0.79</v>
      </c>
      <c r="I29" s="17">
        <f>Table13813141516[[#This Row],[LHC]]*Table13813141516[[#This Row],[Cars WTD (EDIT)]]</f>
        <v>18.96</v>
      </c>
      <c r="J29" s="17" cm="1">
        <f t="array" ref="J29">_xlfn.IFS(Table13813141516[[#This Row],[Allowed Hours]]=0,0,Table13813141516[[#This Row],[Allowed Hours]]&lt;25.3,25.3,Table13813141516[[#This Row],[Allowed Hours]]&gt;25.3,Table13813141516[[#This Row],[Allowed Hours]])</f>
        <v>25.3</v>
      </c>
      <c r="K29" s="18">
        <v>7</v>
      </c>
      <c r="L29" s="19">
        <f>K29-Table13813141516[[#This Row],[Adj Allowed Hrs]]</f>
        <v>-18.3</v>
      </c>
    </row>
    <row r="30" spans="5:12" hidden="1">
      <c r="E30" s="14" t="s">
        <v>12</v>
      </c>
      <c r="F30" s="15">
        <v>5</v>
      </c>
      <c r="G30" s="16">
        <v>40</v>
      </c>
      <c r="H30" s="17">
        <v>0.79</v>
      </c>
      <c r="I30" s="17">
        <f>Table13813141516[[#This Row],[LHC]]*Table13813141516[[#This Row],[Cars WTD (EDIT)]]</f>
        <v>31.6</v>
      </c>
      <c r="J30" s="17" cm="1">
        <f t="array" ref="J30">_xlfn.IFS(Table13813141516[[#This Row],[Allowed Hours]]=0,0,Table13813141516[[#This Row],[Allowed Hours]]&lt;25.3,25.3,Table13813141516[[#This Row],[Allowed Hours]]&gt;25.3,Table13813141516[[#This Row],[Allowed Hours]])</f>
        <v>31.6</v>
      </c>
      <c r="K30" s="18">
        <v>30</v>
      </c>
      <c r="L30" s="19">
        <f>K30-Table13813141516[[#This Row],[Adj Allowed Hrs]]</f>
        <v>-1.6000000000000014</v>
      </c>
    </row>
    <row r="31" spans="5:12" hidden="1">
      <c r="E31" s="14" t="s">
        <v>12</v>
      </c>
      <c r="F31" s="15">
        <v>11</v>
      </c>
      <c r="G31" s="16">
        <v>17</v>
      </c>
      <c r="H31" s="17">
        <v>0.79</v>
      </c>
      <c r="I31" s="17">
        <f>Table13813141516[[#This Row],[LHC]]*Table13813141516[[#This Row],[Cars WTD (EDIT)]]</f>
        <v>13.43</v>
      </c>
      <c r="J31" s="17" cm="1">
        <f t="array" ref="J31">_xlfn.IFS(Table13813141516[[#This Row],[Allowed Hours]]=0,0,Table13813141516[[#This Row],[Allowed Hours]]&lt;25.3,25.3,Table13813141516[[#This Row],[Allowed Hours]]&gt;25.3,Table13813141516[[#This Row],[Allowed Hours]])</f>
        <v>25.3</v>
      </c>
      <c r="K31" s="18">
        <v>28</v>
      </c>
      <c r="L31" s="19">
        <f>K31-Table13813141516[[#This Row],[Adj Allowed Hrs]]</f>
        <v>2.6999999999999993</v>
      </c>
    </row>
    <row r="32" spans="5:12" hidden="1">
      <c r="E32" s="14" t="s">
        <v>12</v>
      </c>
      <c r="F32" s="15">
        <v>14</v>
      </c>
      <c r="G32" s="16">
        <v>32</v>
      </c>
      <c r="H32" s="17">
        <v>0.79</v>
      </c>
      <c r="I32" s="17">
        <f>Table13813141516[[#This Row],[LHC]]*Table13813141516[[#This Row],[Cars WTD (EDIT)]]</f>
        <v>25.28</v>
      </c>
      <c r="J32" s="17" cm="1">
        <f t="array" ref="J32">_xlfn.IFS(Table13813141516[[#This Row],[Allowed Hours]]=0,0,Table13813141516[[#This Row],[Allowed Hours]]&lt;25.3,25.3,Table13813141516[[#This Row],[Allowed Hours]]&gt;25.3,Table13813141516[[#This Row],[Allowed Hours]])</f>
        <v>25.3</v>
      </c>
      <c r="K32" s="18">
        <v>26</v>
      </c>
      <c r="L32" s="19">
        <f>K32-Table13813141516[[#This Row],[Adj Allowed Hrs]]</f>
        <v>0.69999999999999929</v>
      </c>
    </row>
    <row r="33" spans="5:12" hidden="1">
      <c r="E33" s="14" t="s">
        <v>12</v>
      </c>
      <c r="F33" s="15">
        <v>20</v>
      </c>
      <c r="G33" s="16">
        <v>40</v>
      </c>
      <c r="H33" s="17">
        <v>0.79</v>
      </c>
      <c r="I33" s="17">
        <f>Table13813141516[[#This Row],[LHC]]*Table13813141516[[#This Row],[Cars WTD (EDIT)]]</f>
        <v>31.6</v>
      </c>
      <c r="J33" s="17" cm="1">
        <f t="array" ref="J33">_xlfn.IFS(Table13813141516[[#This Row],[Allowed Hours]]=0,0,Table13813141516[[#This Row],[Allowed Hours]]&lt;25.3,25.3,Table13813141516[[#This Row],[Allowed Hours]]&gt;25.3,Table13813141516[[#This Row],[Allowed Hours]])</f>
        <v>31.6</v>
      </c>
      <c r="K33" s="18">
        <v>32</v>
      </c>
      <c r="L33" s="19">
        <f>K33-Table13813141516[[#This Row],[Adj Allowed Hrs]]</f>
        <v>0.39999999999999858</v>
      </c>
    </row>
    <row r="34" spans="5:12" hidden="1">
      <c r="E34" s="14" t="s">
        <v>12</v>
      </c>
      <c r="F34" s="15">
        <v>21</v>
      </c>
      <c r="G34" s="16">
        <v>66</v>
      </c>
      <c r="H34" s="17">
        <v>0.79</v>
      </c>
      <c r="I34" s="17">
        <f>Table13813141516[[#This Row],[LHC]]*Table13813141516[[#This Row],[Cars WTD (EDIT)]]</f>
        <v>52.14</v>
      </c>
      <c r="J34" s="17" cm="1">
        <f t="array" ref="J34">_xlfn.IFS(Table13813141516[[#This Row],[Allowed Hours]]=0,0,Table13813141516[[#This Row],[Allowed Hours]]&lt;25.3,25.3,Table13813141516[[#This Row],[Allowed Hours]]&gt;25.3,Table13813141516[[#This Row],[Allowed Hours]])</f>
        <v>52.14</v>
      </c>
      <c r="K34" s="18">
        <v>59</v>
      </c>
      <c r="L34" s="19">
        <f>K34-Table13813141516[[#This Row],[Adj Allowed Hrs]]</f>
        <v>6.8599999999999994</v>
      </c>
    </row>
    <row r="35" spans="5:12" hidden="1">
      <c r="E35" s="14" t="s">
        <v>12</v>
      </c>
      <c r="F35" s="15">
        <v>23</v>
      </c>
      <c r="G35" s="16">
        <v>42</v>
      </c>
      <c r="H35" s="17">
        <v>0.79</v>
      </c>
      <c r="I35" s="17">
        <f>Table13813141516[[#This Row],[LHC]]*Table13813141516[[#This Row],[Cars WTD (EDIT)]]</f>
        <v>33.18</v>
      </c>
      <c r="J35" s="17" cm="1">
        <f t="array" ref="J35">_xlfn.IFS(Table13813141516[[#This Row],[Allowed Hours]]=0,0,Table13813141516[[#This Row],[Allowed Hours]]&lt;25.3,25.3,Table13813141516[[#This Row],[Allowed Hours]]&gt;25.3,Table13813141516[[#This Row],[Allowed Hours]])</f>
        <v>33.18</v>
      </c>
      <c r="K35" s="18">
        <v>34</v>
      </c>
      <c r="L35" s="19">
        <f>K35-Table13813141516[[#This Row],[Adj Allowed Hrs]]</f>
        <v>0.82000000000000028</v>
      </c>
    </row>
    <row r="36" spans="5:12" hidden="1">
      <c r="E36" s="14" t="s">
        <v>12</v>
      </c>
      <c r="F36" s="15">
        <v>24</v>
      </c>
      <c r="G36" s="16">
        <v>73</v>
      </c>
      <c r="H36" s="17">
        <v>0.79</v>
      </c>
      <c r="I36" s="17">
        <f>Table13813141516[[#This Row],[LHC]]*Table13813141516[[#This Row],[Cars WTD (EDIT)]]</f>
        <v>57.67</v>
      </c>
      <c r="J36" s="17" cm="1">
        <f t="array" ref="J36">_xlfn.IFS(Table13813141516[[#This Row],[Allowed Hours]]=0,0,Table13813141516[[#This Row],[Allowed Hours]]&lt;25.3,25.3,Table13813141516[[#This Row],[Allowed Hours]]&gt;25.3,Table13813141516[[#This Row],[Allowed Hours]])</f>
        <v>57.67</v>
      </c>
      <c r="K36" s="18">
        <v>52</v>
      </c>
      <c r="L36" s="19">
        <f>K36-Table13813141516[[#This Row],[Adj Allowed Hrs]]</f>
        <v>-5.6700000000000017</v>
      </c>
    </row>
    <row r="37" spans="5:12" hidden="1">
      <c r="E37" s="14" t="s">
        <v>12</v>
      </c>
      <c r="F37" s="15">
        <v>26</v>
      </c>
      <c r="G37" s="16">
        <v>31</v>
      </c>
      <c r="H37" s="17">
        <v>0.79</v>
      </c>
      <c r="I37" s="17">
        <f>Table13813141516[[#This Row],[LHC]]*Table13813141516[[#This Row],[Cars WTD (EDIT)]]</f>
        <v>24.490000000000002</v>
      </c>
      <c r="J37" s="17" cm="1">
        <f t="array" ref="J37">_xlfn.IFS(Table13813141516[[#This Row],[Allowed Hours]]=0,0,Table13813141516[[#This Row],[Allowed Hours]]&lt;25.3,25.3,Table13813141516[[#This Row],[Allowed Hours]]&gt;25.3,Table13813141516[[#This Row],[Allowed Hours]])</f>
        <v>25.3</v>
      </c>
      <c r="K37" s="18">
        <v>27</v>
      </c>
      <c r="L37" s="19">
        <f>K37-Table13813141516[[#This Row],[Adj Allowed Hrs]]</f>
        <v>1.6999999999999993</v>
      </c>
    </row>
    <row r="38" spans="5:12" hidden="1">
      <c r="E38" s="14" t="s">
        <v>14</v>
      </c>
      <c r="F38" s="15">
        <v>29</v>
      </c>
      <c r="G38" s="16">
        <v>43</v>
      </c>
      <c r="H38" s="17">
        <v>0.79</v>
      </c>
      <c r="I38" s="17">
        <f>Table13813141516[[#This Row],[LHC]]*Table13813141516[[#This Row],[Cars WTD (EDIT)]]</f>
        <v>33.97</v>
      </c>
      <c r="J38" s="17" cm="1">
        <f t="array" ref="J38">_xlfn.IFS(Table13813141516[[#This Row],[Allowed Hours]]=0,0,Table13813141516[[#This Row],[Allowed Hours]]&lt;25.3,25.3,Table13813141516[[#This Row],[Allowed Hours]]&gt;25.3,Table13813141516[[#This Row],[Allowed Hours]])</f>
        <v>33.97</v>
      </c>
      <c r="K38" s="18">
        <v>39.76</v>
      </c>
      <c r="L38" s="19">
        <f>K38-Table13813141516[[#This Row],[Adj Allowed Hrs]]</f>
        <v>5.7899999999999991</v>
      </c>
    </row>
    <row r="39" spans="5:12" hidden="1">
      <c r="E39" s="14" t="s">
        <v>14</v>
      </c>
      <c r="F39" s="15">
        <v>40</v>
      </c>
      <c r="G39" s="16">
        <v>42</v>
      </c>
      <c r="H39" s="17">
        <v>0.79</v>
      </c>
      <c r="I39" s="17">
        <f>Table13813141516[[#This Row],[LHC]]*Table13813141516[[#This Row],[Cars WTD (EDIT)]]</f>
        <v>33.18</v>
      </c>
      <c r="J39" s="17" cm="1">
        <f t="array" ref="J39">_xlfn.IFS(Table13813141516[[#This Row],[Allowed Hours]]=0,0,Table13813141516[[#This Row],[Allowed Hours]]&lt;25.3,25.3,Table13813141516[[#This Row],[Allowed Hours]]&gt;25.3,Table13813141516[[#This Row],[Allowed Hours]])</f>
        <v>33.18</v>
      </c>
      <c r="K39" s="18">
        <v>26.67</v>
      </c>
      <c r="L39" s="19">
        <f>K39-Table13813141516[[#This Row],[Adj Allowed Hrs]]</f>
        <v>-6.509999999999998</v>
      </c>
    </row>
    <row r="40" spans="5:12" hidden="1">
      <c r="E40" s="14" t="s">
        <v>14</v>
      </c>
      <c r="F40" s="15">
        <v>280</v>
      </c>
      <c r="G40" s="16">
        <v>24</v>
      </c>
      <c r="H40" s="17">
        <v>0.79</v>
      </c>
      <c r="I40" s="17">
        <f>Table13813141516[[#This Row],[LHC]]*Table13813141516[[#This Row],[Cars WTD (EDIT)]]</f>
        <v>18.96</v>
      </c>
      <c r="J40" s="17" cm="1">
        <f t="array" ref="J40">_xlfn.IFS(Table13813141516[[#This Row],[Allowed Hours]]=0,0,Table13813141516[[#This Row],[Allowed Hours]]&lt;25.3,25.3,Table13813141516[[#This Row],[Allowed Hours]]&gt;25.3,Table13813141516[[#This Row],[Allowed Hours]])</f>
        <v>25.3</v>
      </c>
      <c r="K40" s="18">
        <v>16.52</v>
      </c>
      <c r="L40" s="19">
        <f>K40-Table13813141516[[#This Row],[Adj Allowed Hrs]]</f>
        <v>-8.7800000000000011</v>
      </c>
    </row>
    <row r="41" spans="5:12" hidden="1">
      <c r="E41" s="14" t="s">
        <v>14</v>
      </c>
      <c r="F41" s="15">
        <v>599</v>
      </c>
      <c r="G41" s="16">
        <v>37</v>
      </c>
      <c r="H41" s="17">
        <v>0.79</v>
      </c>
      <c r="I41" s="17">
        <f>Table13813141516[[#This Row],[LHC]]*Table13813141516[[#This Row],[Cars WTD (EDIT)]]</f>
        <v>29.23</v>
      </c>
      <c r="J41" s="17" cm="1">
        <f t="array" ref="J41">_xlfn.IFS(Table13813141516[[#This Row],[Allowed Hours]]=0,0,Table13813141516[[#This Row],[Allowed Hours]]&lt;25.3,25.3,Table13813141516[[#This Row],[Allowed Hours]]&gt;25.3,Table13813141516[[#This Row],[Allowed Hours]])</f>
        <v>29.23</v>
      </c>
      <c r="K41" s="18">
        <v>23.85</v>
      </c>
      <c r="L41" s="19">
        <f>K41-Table13813141516[[#This Row],[Adj Allowed Hrs]]</f>
        <v>-5.379999999999999</v>
      </c>
    </row>
    <row r="42" spans="5:12" hidden="1">
      <c r="E42" s="14" t="s">
        <v>14</v>
      </c>
      <c r="F42" s="15">
        <v>720</v>
      </c>
      <c r="G42" s="16">
        <v>31</v>
      </c>
      <c r="H42" s="17">
        <v>0.79</v>
      </c>
      <c r="I42" s="17">
        <f>Table13813141516[[#This Row],[LHC]]*Table13813141516[[#This Row],[Cars WTD (EDIT)]]</f>
        <v>24.490000000000002</v>
      </c>
      <c r="J42" s="17" cm="1">
        <f t="array" ref="J42">_xlfn.IFS(Table13813141516[[#This Row],[Allowed Hours]]=0,0,Table13813141516[[#This Row],[Allowed Hours]]&lt;25.3,25.3,Table13813141516[[#This Row],[Allowed Hours]]&gt;25.3,Table13813141516[[#This Row],[Allowed Hours]])</f>
        <v>25.3</v>
      </c>
      <c r="K42" s="18">
        <v>28.3</v>
      </c>
      <c r="L42" s="19">
        <f>K42-Table13813141516[[#This Row],[Adj Allowed Hrs]]</f>
        <v>3</v>
      </c>
    </row>
    <row r="43" spans="5:12" hidden="1">
      <c r="E43" s="14" t="s">
        <v>14</v>
      </c>
      <c r="F43" s="15">
        <v>728</v>
      </c>
      <c r="G43" s="16">
        <v>23</v>
      </c>
      <c r="H43" s="17">
        <v>0.79</v>
      </c>
      <c r="I43" s="17">
        <f>Table13813141516[[#This Row],[LHC]]*Table13813141516[[#This Row],[Cars WTD (EDIT)]]</f>
        <v>18.170000000000002</v>
      </c>
      <c r="J43" s="17" cm="1">
        <f t="array" ref="J43">_xlfn.IFS(Table13813141516[[#This Row],[Allowed Hours]]=0,0,Table13813141516[[#This Row],[Allowed Hours]]&lt;25.3,25.3,Table13813141516[[#This Row],[Allowed Hours]]&gt;25.3,Table13813141516[[#This Row],[Allowed Hours]])</f>
        <v>25.3</v>
      </c>
      <c r="K43" s="18"/>
      <c r="L43" s="19">
        <f>K43-Table13813141516[[#This Row],[Adj Allowed Hrs]]</f>
        <v>-25.3</v>
      </c>
    </row>
    <row r="44" spans="5:12" hidden="1">
      <c r="E44" s="14" t="s">
        <v>14</v>
      </c>
      <c r="F44" s="15">
        <v>830</v>
      </c>
      <c r="G44" s="16">
        <v>24</v>
      </c>
      <c r="H44" s="17">
        <v>0.79</v>
      </c>
      <c r="I44" s="17">
        <f>Table13813141516[[#This Row],[LHC]]*Table13813141516[[#This Row],[Cars WTD (EDIT)]]</f>
        <v>18.96</v>
      </c>
      <c r="J44" s="17" cm="1">
        <f t="array" ref="J44">_xlfn.IFS(Table13813141516[[#This Row],[Allowed Hours]]=0,0,Table13813141516[[#This Row],[Allowed Hours]]&lt;25.3,25.3,Table13813141516[[#This Row],[Allowed Hours]]&gt;25.3,Table13813141516[[#This Row],[Allowed Hours]])</f>
        <v>25.3</v>
      </c>
      <c r="K44" s="18">
        <v>28.2</v>
      </c>
      <c r="L44" s="19">
        <f>K44-Table13813141516[[#This Row],[Adj Allowed Hrs]]</f>
        <v>2.8999999999999986</v>
      </c>
    </row>
    <row r="45" spans="5:12" hidden="1">
      <c r="E45" s="14" t="s">
        <v>14</v>
      </c>
      <c r="F45" s="15">
        <v>975</v>
      </c>
      <c r="G45" s="16">
        <v>12</v>
      </c>
      <c r="H45" s="17">
        <v>0.79</v>
      </c>
      <c r="I45" s="17">
        <f>Table13813141516[[#This Row],[LHC]]*Table13813141516[[#This Row],[Cars WTD (EDIT)]]</f>
        <v>9.48</v>
      </c>
      <c r="J45" s="17" cm="1">
        <f t="array" ref="J45">_xlfn.IFS(Table13813141516[[#This Row],[Allowed Hours]]=0,0,Table13813141516[[#This Row],[Allowed Hours]]&lt;25.3,25.3,Table13813141516[[#This Row],[Allowed Hours]]&gt;25.3,Table13813141516[[#This Row],[Allowed Hours]])</f>
        <v>25.3</v>
      </c>
      <c r="K45" s="18">
        <v>14.65</v>
      </c>
      <c r="L45" s="19">
        <f>K45-Table13813141516[[#This Row],[Adj Allowed Hrs]]</f>
        <v>-10.65</v>
      </c>
    </row>
    <row r="46" spans="5:12" hidden="1">
      <c r="E46" s="14" t="s">
        <v>16</v>
      </c>
      <c r="F46" s="15">
        <v>46</v>
      </c>
      <c r="G46" s="16"/>
      <c r="H46" s="17">
        <v>0.79</v>
      </c>
      <c r="I46" s="17">
        <f>Table13813141516[[#This Row],[LHC]]*Table13813141516[[#This Row],[Cars WTD (EDIT)]]</f>
        <v>0</v>
      </c>
      <c r="J46" s="17" cm="1">
        <f t="array" ref="J46">_xlfn.IFS(Table13813141516[[#This Row],[Allowed Hours]]=0,0,Table13813141516[[#This Row],[Allowed Hours]]&lt;25.3,25.3,Table13813141516[[#This Row],[Allowed Hours]]&gt;25.3,Table13813141516[[#This Row],[Allowed Hours]])</f>
        <v>0</v>
      </c>
      <c r="K46" s="18"/>
      <c r="L46" s="19">
        <f>K46-Table13813141516[[#This Row],[Adj Allowed Hrs]]</f>
        <v>0</v>
      </c>
    </row>
    <row r="47" spans="5:12" hidden="1">
      <c r="E47" s="14" t="s">
        <v>16</v>
      </c>
      <c r="F47" s="15">
        <v>283</v>
      </c>
      <c r="G47" s="16"/>
      <c r="H47" s="17">
        <v>0.79</v>
      </c>
      <c r="I47" s="17">
        <f>Table13813141516[[#This Row],[LHC]]*Table13813141516[[#This Row],[Cars WTD (EDIT)]]</f>
        <v>0</v>
      </c>
      <c r="J47" s="17" cm="1">
        <f t="array" ref="J47">_xlfn.IFS(Table13813141516[[#This Row],[Allowed Hours]]=0,0,Table13813141516[[#This Row],[Allowed Hours]]&lt;25.3,25.3,Table13813141516[[#This Row],[Allowed Hours]]&gt;25.3,Table13813141516[[#This Row],[Allowed Hours]])</f>
        <v>0</v>
      </c>
      <c r="K47" s="18"/>
      <c r="L47" s="19">
        <f>K47-Table13813141516[[#This Row],[Adj Allowed Hrs]]</f>
        <v>0</v>
      </c>
    </row>
    <row r="48" spans="5:12" hidden="1">
      <c r="E48" s="14" t="s">
        <v>16</v>
      </c>
      <c r="F48" s="15">
        <v>847</v>
      </c>
      <c r="G48" s="16"/>
      <c r="H48" s="17">
        <v>0.79</v>
      </c>
      <c r="I48" s="17">
        <f>Table13813141516[[#This Row],[LHC]]*Table13813141516[[#This Row],[Cars WTD (EDIT)]]</f>
        <v>0</v>
      </c>
      <c r="J48" s="17" cm="1">
        <f t="array" ref="J48">_xlfn.IFS(Table13813141516[[#This Row],[Allowed Hours]]=0,0,Table13813141516[[#This Row],[Allowed Hours]]&lt;25.3,25.3,Table13813141516[[#This Row],[Allowed Hours]]&gt;25.3,Table13813141516[[#This Row],[Allowed Hours]])</f>
        <v>0</v>
      </c>
      <c r="K48" s="18"/>
      <c r="L48" s="19">
        <f>K48-Table13813141516[[#This Row],[Adj Allowed Hrs]]</f>
        <v>0</v>
      </c>
    </row>
    <row r="49" spans="5:12" hidden="1">
      <c r="E49" s="14" t="s">
        <v>16</v>
      </c>
      <c r="F49" s="15">
        <v>865</v>
      </c>
      <c r="G49" s="16"/>
      <c r="H49" s="17">
        <v>0.79</v>
      </c>
      <c r="I49" s="17">
        <f>Table13813141516[[#This Row],[LHC]]*Table13813141516[[#This Row],[Cars WTD (EDIT)]]</f>
        <v>0</v>
      </c>
      <c r="J49" s="17" cm="1">
        <f t="array" ref="J49">_xlfn.IFS(Table13813141516[[#This Row],[Allowed Hours]]=0,0,Table13813141516[[#This Row],[Allowed Hours]]&lt;25.3,25.3,Table13813141516[[#This Row],[Allowed Hours]]&gt;25.3,Table13813141516[[#This Row],[Allowed Hours]])</f>
        <v>0</v>
      </c>
      <c r="K49" s="18"/>
      <c r="L49" s="19">
        <f>K49-Table13813141516[[#This Row],[Adj Allowed Hrs]]</f>
        <v>0</v>
      </c>
    </row>
    <row r="50" spans="5:12" hidden="1">
      <c r="E50" s="14" t="s">
        <v>16</v>
      </c>
      <c r="F50" s="15">
        <v>919</v>
      </c>
      <c r="G50" s="16"/>
      <c r="H50" s="17">
        <v>0.79</v>
      </c>
      <c r="I50" s="17">
        <f>Table13813141516[[#This Row],[LHC]]*Table13813141516[[#This Row],[Cars WTD (EDIT)]]</f>
        <v>0</v>
      </c>
      <c r="J50" s="17" cm="1">
        <f t="array" ref="J50">_xlfn.IFS(Table13813141516[[#This Row],[Allowed Hours]]=0,0,Table13813141516[[#This Row],[Allowed Hours]]&lt;25.3,25.3,Table13813141516[[#This Row],[Allowed Hours]]&gt;25.3,Table13813141516[[#This Row],[Allowed Hours]])</f>
        <v>0</v>
      </c>
      <c r="K50" s="18"/>
      <c r="L50" s="19">
        <f>K50-Table13813141516[[#This Row],[Adj Allowed Hrs]]</f>
        <v>0</v>
      </c>
    </row>
    <row r="51" spans="5:12" hidden="1">
      <c r="E51" s="14" t="s">
        <v>16</v>
      </c>
      <c r="F51" s="15">
        <v>954</v>
      </c>
      <c r="G51" s="16"/>
      <c r="H51" s="17">
        <v>0.79</v>
      </c>
      <c r="I51" s="17">
        <f>Table13813141516[[#This Row],[LHC]]*Table13813141516[[#This Row],[Cars WTD (EDIT)]]</f>
        <v>0</v>
      </c>
      <c r="J51" s="17" cm="1">
        <f t="array" ref="J51">_xlfn.IFS(Table13813141516[[#This Row],[Allowed Hours]]=0,0,Table13813141516[[#This Row],[Allowed Hours]]&lt;25.3,25.3,Table13813141516[[#This Row],[Allowed Hours]]&gt;25.3,Table13813141516[[#This Row],[Allowed Hours]])</f>
        <v>0</v>
      </c>
      <c r="K51" s="18"/>
      <c r="L51" s="19">
        <f>K51-Table13813141516[[#This Row],[Adj Allowed Hrs]]</f>
        <v>0</v>
      </c>
    </row>
    <row r="52" spans="5:12" hidden="1">
      <c r="E52" s="14" t="s">
        <v>16</v>
      </c>
      <c r="F52" s="15">
        <v>3017</v>
      </c>
      <c r="G52" s="16">
        <v>0</v>
      </c>
      <c r="H52" s="17">
        <v>0.79</v>
      </c>
      <c r="I52" s="17">
        <f>Table13813141516[[#This Row],[LHC]]*Table13813141516[[#This Row],[Cars WTD (EDIT)]]</f>
        <v>0</v>
      </c>
      <c r="J52" s="17" cm="1">
        <f t="array" ref="J52">_xlfn.IFS(Table13813141516[[#This Row],[Allowed Hours]]=0,0,Table13813141516[[#This Row],[Allowed Hours]]&lt;25.3,25.3,Table13813141516[[#This Row],[Allowed Hours]]&gt;25.3,Table13813141516[[#This Row],[Allowed Hours]])</f>
        <v>0</v>
      </c>
      <c r="K52" s="18">
        <v>0</v>
      </c>
      <c r="L52" s="19">
        <f>K52-Table13813141516[[#This Row],[Adj Allowed Hrs]]</f>
        <v>0</v>
      </c>
    </row>
    <row r="53" spans="5:12" hidden="1">
      <c r="E53" s="14" t="s">
        <v>26</v>
      </c>
      <c r="F53" s="15">
        <v>1</v>
      </c>
      <c r="G53" s="16">
        <v>28</v>
      </c>
      <c r="H53" s="17">
        <v>0.79</v>
      </c>
      <c r="I53" s="17">
        <f>Table13813141516[[#This Row],[LHC]]*Table13813141516[[#This Row],[Cars WTD (EDIT)]]</f>
        <v>22.12</v>
      </c>
      <c r="J53" s="17" cm="1">
        <f t="array" ref="J53">_xlfn.IFS(Table13813141516[[#This Row],[Allowed Hours]]=0,0,Table13813141516[[#This Row],[Allowed Hours]]&lt;25.3,25.3,Table13813141516[[#This Row],[Allowed Hours]]&gt;25.3,Table13813141516[[#This Row],[Allowed Hours]])</f>
        <v>25.3</v>
      </c>
      <c r="K53" s="18">
        <v>22.47</v>
      </c>
      <c r="L53" s="19">
        <f>K53-Table13813141516[[#This Row],[Adj Allowed Hrs]]</f>
        <v>-2.8300000000000018</v>
      </c>
    </row>
    <row r="54" spans="5:12" hidden="1">
      <c r="E54" s="14" t="s">
        <v>26</v>
      </c>
      <c r="F54" s="15">
        <v>2</v>
      </c>
      <c r="G54" s="16">
        <v>46</v>
      </c>
      <c r="H54" s="17">
        <v>0.79</v>
      </c>
      <c r="I54" s="17">
        <f>Table13813141516[[#This Row],[LHC]]*Table13813141516[[#This Row],[Cars WTD (EDIT)]]</f>
        <v>36.340000000000003</v>
      </c>
      <c r="J54" s="17" cm="1">
        <f t="array" ref="J54">_xlfn.IFS(Table13813141516[[#This Row],[Allowed Hours]]=0,0,Table13813141516[[#This Row],[Allowed Hours]]&lt;25.3,25.3,Table13813141516[[#This Row],[Allowed Hours]]&gt;25.3,Table13813141516[[#This Row],[Allowed Hours]])</f>
        <v>36.340000000000003</v>
      </c>
      <c r="K54" s="18">
        <v>24.74</v>
      </c>
      <c r="L54" s="19">
        <f>K54-Table13813141516[[#This Row],[Adj Allowed Hrs]]</f>
        <v>-11.600000000000005</v>
      </c>
    </row>
    <row r="55" spans="5:12" hidden="1">
      <c r="E55" s="14" t="s">
        <v>26</v>
      </c>
      <c r="F55" s="15">
        <v>4</v>
      </c>
      <c r="G55" s="16">
        <v>60</v>
      </c>
      <c r="H55" s="17">
        <v>0.79</v>
      </c>
      <c r="I55" s="17">
        <f>Table13813141516[[#This Row],[LHC]]*Table13813141516[[#This Row],[Cars WTD (EDIT)]]</f>
        <v>47.400000000000006</v>
      </c>
      <c r="J55" s="17" cm="1">
        <f t="array" ref="J55">_xlfn.IFS(Table13813141516[[#This Row],[Allowed Hours]]=0,0,Table13813141516[[#This Row],[Allowed Hours]]&lt;25.3,25.3,Table13813141516[[#This Row],[Allowed Hours]]&gt;25.3,Table13813141516[[#This Row],[Allowed Hours]])</f>
        <v>47.400000000000006</v>
      </c>
      <c r="K55" s="18">
        <v>55.79</v>
      </c>
      <c r="L55" s="19">
        <f>K55-Table13813141516[[#This Row],[Adj Allowed Hrs]]</f>
        <v>8.3899999999999935</v>
      </c>
    </row>
    <row r="56" spans="5:12" hidden="1">
      <c r="E56" s="14" t="s">
        <v>26</v>
      </c>
      <c r="F56" s="15">
        <v>6</v>
      </c>
      <c r="G56" s="16">
        <v>47</v>
      </c>
      <c r="H56" s="17">
        <v>0.79</v>
      </c>
      <c r="I56" s="17">
        <f>Table13813141516[[#This Row],[LHC]]*Table13813141516[[#This Row],[Cars WTD (EDIT)]]</f>
        <v>37.130000000000003</v>
      </c>
      <c r="J56" s="17" cm="1">
        <f t="array" ref="J56">_xlfn.IFS(Table13813141516[[#This Row],[Allowed Hours]]=0,0,Table13813141516[[#This Row],[Allowed Hours]]&lt;25.3,25.3,Table13813141516[[#This Row],[Allowed Hours]]&gt;25.3,Table13813141516[[#This Row],[Allowed Hours]])</f>
        <v>37.130000000000003</v>
      </c>
      <c r="K56" s="18">
        <v>33.840000000000003</v>
      </c>
      <c r="L56" s="19">
        <f>K56-Table13813141516[[#This Row],[Adj Allowed Hrs]]</f>
        <v>-3.2899999999999991</v>
      </c>
    </row>
    <row r="57" spans="5:12" hidden="1">
      <c r="E57" s="14" t="s">
        <v>26</v>
      </c>
      <c r="F57" s="15">
        <v>15</v>
      </c>
      <c r="G57" s="16">
        <v>61</v>
      </c>
      <c r="H57" s="17">
        <v>0.79</v>
      </c>
      <c r="I57" s="17">
        <f>Table13813141516[[#This Row],[LHC]]*Table13813141516[[#This Row],[Cars WTD (EDIT)]]</f>
        <v>48.190000000000005</v>
      </c>
      <c r="J57" s="17" cm="1">
        <f t="array" ref="J57">_xlfn.IFS(Table13813141516[[#This Row],[Allowed Hours]]=0,0,Table13813141516[[#This Row],[Allowed Hours]]&lt;25.3,25.3,Table13813141516[[#This Row],[Allowed Hours]]&gt;25.3,Table13813141516[[#This Row],[Allowed Hours]])</f>
        <v>48.190000000000005</v>
      </c>
      <c r="K57" s="18">
        <v>54</v>
      </c>
      <c r="L57" s="19">
        <f>K57-Table13813141516[[#This Row],[Adj Allowed Hrs]]</f>
        <v>5.8099999999999952</v>
      </c>
    </row>
    <row r="58" spans="5:12" hidden="1">
      <c r="E58" s="14" t="s">
        <v>26</v>
      </c>
      <c r="F58" s="15">
        <v>28</v>
      </c>
      <c r="G58" s="16">
        <v>45</v>
      </c>
      <c r="H58" s="17">
        <v>0.79</v>
      </c>
      <c r="I58" s="17">
        <f>Table13813141516[[#This Row],[LHC]]*Table13813141516[[#This Row],[Cars WTD (EDIT)]]</f>
        <v>35.550000000000004</v>
      </c>
      <c r="J58" s="17" cm="1">
        <f t="array" ref="J58">_xlfn.IFS(Table13813141516[[#This Row],[Allowed Hours]]=0,0,Table13813141516[[#This Row],[Allowed Hours]]&lt;25.3,25.3,Table13813141516[[#This Row],[Allowed Hours]]&gt;25.3,Table13813141516[[#This Row],[Allowed Hours]])</f>
        <v>35.550000000000004</v>
      </c>
      <c r="K58" s="18">
        <v>39.590000000000003</v>
      </c>
      <c r="L58" s="19">
        <f>K58-Table13813141516[[#This Row],[Adj Allowed Hrs]]</f>
        <v>4.0399999999999991</v>
      </c>
    </row>
    <row r="59" spans="5:12" hidden="1">
      <c r="E59" s="14" t="s">
        <v>26</v>
      </c>
      <c r="F59" s="15">
        <v>32</v>
      </c>
      <c r="G59" s="16">
        <v>47</v>
      </c>
      <c r="H59" s="17">
        <v>0.79</v>
      </c>
      <c r="I59" s="17">
        <f>Table13813141516[[#This Row],[LHC]]*Table13813141516[[#This Row],[Cars WTD (EDIT)]]</f>
        <v>37.130000000000003</v>
      </c>
      <c r="J59" s="17" cm="1">
        <f t="array" ref="J59">_xlfn.IFS(Table13813141516[[#This Row],[Allowed Hours]]=0,0,Table13813141516[[#This Row],[Allowed Hours]]&lt;25.3,25.3,Table13813141516[[#This Row],[Allowed Hours]]&gt;25.3,Table13813141516[[#This Row],[Allowed Hours]])</f>
        <v>37.130000000000003</v>
      </c>
      <c r="K59" s="18">
        <v>25.73</v>
      </c>
      <c r="L59" s="19">
        <f>K59-Table13813141516[[#This Row],[Adj Allowed Hrs]]</f>
        <v>-11.400000000000002</v>
      </c>
    </row>
    <row r="60" spans="5:12" hidden="1">
      <c r="E60" s="14" t="s">
        <v>26</v>
      </c>
      <c r="F60" s="15">
        <v>606</v>
      </c>
      <c r="G60" s="16">
        <v>51</v>
      </c>
      <c r="H60" s="17">
        <v>0.79</v>
      </c>
      <c r="I60" s="17">
        <f>Table13813141516[[#This Row],[LHC]]*Table13813141516[[#This Row],[Cars WTD (EDIT)]]</f>
        <v>40.29</v>
      </c>
      <c r="J60" s="17" cm="1">
        <f t="array" ref="J60">_xlfn.IFS(Table13813141516[[#This Row],[Allowed Hours]]=0,0,Table13813141516[[#This Row],[Allowed Hours]]&lt;25.3,25.3,Table13813141516[[#This Row],[Allowed Hours]]&gt;25.3,Table13813141516[[#This Row],[Allowed Hours]])</f>
        <v>40.29</v>
      </c>
      <c r="K60" s="18">
        <v>37.229999999999997</v>
      </c>
      <c r="L60" s="19">
        <f>K60-Table13813141516[[#This Row],[Adj Allowed Hrs]]</f>
        <v>-3.0600000000000023</v>
      </c>
    </row>
    <row r="61" spans="5:12" hidden="1">
      <c r="E61" s="14" t="s">
        <v>26</v>
      </c>
      <c r="F61" s="15">
        <v>999</v>
      </c>
      <c r="G61" s="16">
        <v>30</v>
      </c>
      <c r="H61" s="17">
        <v>0.79</v>
      </c>
      <c r="I61" s="17">
        <f>Table13813141516[[#This Row],[LHC]]*Table13813141516[[#This Row],[Cars WTD (EDIT)]]</f>
        <v>23.700000000000003</v>
      </c>
      <c r="J61" s="17" cm="1">
        <f t="array" ref="J61">_xlfn.IFS(Table13813141516[[#This Row],[Allowed Hours]]=0,0,Table13813141516[[#This Row],[Allowed Hours]]&lt;25.3,25.3,Table13813141516[[#This Row],[Allowed Hours]]&gt;25.3,Table13813141516[[#This Row],[Allowed Hours]])</f>
        <v>25.3</v>
      </c>
      <c r="K61" s="18">
        <v>26.41</v>
      </c>
      <c r="L61" s="19">
        <f>K61-Table13813141516[[#This Row],[Adj Allowed Hrs]]</f>
        <v>1.1099999999999994</v>
      </c>
    </row>
    <row r="62" spans="5:12" hidden="1">
      <c r="E62" s="14" t="s">
        <v>27</v>
      </c>
      <c r="F62" s="15">
        <v>8</v>
      </c>
      <c r="G62" s="16"/>
      <c r="H62" s="17">
        <v>0.79</v>
      </c>
      <c r="I62" s="17">
        <f>Table13813141516[[#This Row],[LHC]]*Table13813141516[[#This Row],[Cars WTD (EDIT)]]</f>
        <v>0</v>
      </c>
      <c r="J62" s="17" cm="1">
        <f t="array" ref="J62">_xlfn.IFS(Table13813141516[[#This Row],[Allowed Hours]]=0,0,Table13813141516[[#This Row],[Allowed Hours]]&lt;25.3,25.3,Table13813141516[[#This Row],[Allowed Hours]]&gt;25.3,Table13813141516[[#This Row],[Allowed Hours]])</f>
        <v>0</v>
      </c>
      <c r="K62" s="18"/>
      <c r="L62" s="19">
        <f>K62-Table13813141516[[#This Row],[Adj Allowed Hrs]]</f>
        <v>0</v>
      </c>
    </row>
    <row r="63" spans="5:12" hidden="1">
      <c r="E63" s="14" t="s">
        <v>27</v>
      </c>
      <c r="F63" s="15">
        <v>10</v>
      </c>
      <c r="G63" s="16"/>
      <c r="H63" s="17">
        <v>0.79</v>
      </c>
      <c r="I63" s="17">
        <f>Table13813141516[[#This Row],[LHC]]*Table13813141516[[#This Row],[Cars WTD (EDIT)]]</f>
        <v>0</v>
      </c>
      <c r="J63" s="17" cm="1">
        <f t="array" ref="J63">_xlfn.IFS(Table13813141516[[#This Row],[Allowed Hours]]=0,0,Table13813141516[[#This Row],[Allowed Hours]]&lt;25.3,25.3,Table13813141516[[#This Row],[Allowed Hours]]&gt;25.3,Table13813141516[[#This Row],[Allowed Hours]])</f>
        <v>0</v>
      </c>
      <c r="K63" s="18"/>
      <c r="L63" s="19">
        <f>K63-Table13813141516[[#This Row],[Adj Allowed Hrs]]</f>
        <v>0</v>
      </c>
    </row>
    <row r="64" spans="5:12" hidden="1">
      <c r="E64" s="14" t="s">
        <v>27</v>
      </c>
      <c r="F64" s="15">
        <v>12</v>
      </c>
      <c r="G64" s="16"/>
      <c r="H64" s="17">
        <v>0.79</v>
      </c>
      <c r="I64" s="17">
        <f>Table13813141516[[#This Row],[LHC]]*Table13813141516[[#This Row],[Cars WTD (EDIT)]]</f>
        <v>0</v>
      </c>
      <c r="J64" s="17" cm="1">
        <f t="array" ref="J64">_xlfn.IFS(Table13813141516[[#This Row],[Allowed Hours]]=0,0,Table13813141516[[#This Row],[Allowed Hours]]&lt;25.3,25.3,Table13813141516[[#This Row],[Allowed Hours]]&gt;25.3,Table13813141516[[#This Row],[Allowed Hours]])</f>
        <v>0</v>
      </c>
      <c r="K64" s="18"/>
      <c r="L64" s="19">
        <f>K64-Table13813141516[[#This Row],[Adj Allowed Hrs]]</f>
        <v>0</v>
      </c>
    </row>
    <row r="65" spans="5:12" hidden="1">
      <c r="E65" s="14" t="s">
        <v>27</v>
      </c>
      <c r="F65" s="15">
        <v>13</v>
      </c>
      <c r="G65" s="16"/>
      <c r="H65" s="17">
        <v>0.79</v>
      </c>
      <c r="I65" s="17">
        <f>Table13813141516[[#This Row],[LHC]]*Table13813141516[[#This Row],[Cars WTD (EDIT)]]</f>
        <v>0</v>
      </c>
      <c r="J65" s="17" cm="1">
        <f t="array" ref="J65">_xlfn.IFS(Table13813141516[[#This Row],[Allowed Hours]]=0,0,Table13813141516[[#This Row],[Allowed Hours]]&lt;25.3,25.3,Table13813141516[[#This Row],[Allowed Hours]]&gt;25.3,Table13813141516[[#This Row],[Allowed Hours]])</f>
        <v>0</v>
      </c>
      <c r="K65" s="18"/>
      <c r="L65" s="19">
        <f>K65-Table13813141516[[#This Row],[Adj Allowed Hrs]]</f>
        <v>0</v>
      </c>
    </row>
    <row r="66" spans="5:12" hidden="1">
      <c r="E66" s="14" t="s">
        <v>27</v>
      </c>
      <c r="F66" s="15">
        <v>31</v>
      </c>
      <c r="G66" s="16"/>
      <c r="H66" s="17">
        <v>0.79</v>
      </c>
      <c r="I66" s="17">
        <f>Table13813141516[[#This Row],[LHC]]*Table13813141516[[#This Row],[Cars WTD (EDIT)]]</f>
        <v>0</v>
      </c>
      <c r="J66" s="17" cm="1">
        <f t="array" ref="J66">_xlfn.IFS(Table13813141516[[#This Row],[Allowed Hours]]=0,0,Table13813141516[[#This Row],[Allowed Hours]]&lt;25.3,25.3,Table13813141516[[#This Row],[Allowed Hours]]&gt;25.3,Table13813141516[[#This Row],[Allowed Hours]])</f>
        <v>0</v>
      </c>
      <c r="K66" s="18"/>
      <c r="L66" s="19">
        <f>K66-Table13813141516[[#This Row],[Adj Allowed Hrs]]</f>
        <v>0</v>
      </c>
    </row>
    <row r="67" spans="5:12" hidden="1">
      <c r="E67" s="14" t="s">
        <v>27</v>
      </c>
      <c r="F67" s="15">
        <v>92</v>
      </c>
      <c r="G67" s="16"/>
      <c r="H67" s="17">
        <v>0.79</v>
      </c>
      <c r="I67" s="17">
        <f>Table13813141516[[#This Row],[LHC]]*Table13813141516[[#This Row],[Cars WTD (EDIT)]]</f>
        <v>0</v>
      </c>
      <c r="J67" s="17" cm="1">
        <f t="array" ref="J67">_xlfn.IFS(Table13813141516[[#This Row],[Allowed Hours]]=0,0,Table13813141516[[#This Row],[Allowed Hours]]&lt;25.3,25.3,Table13813141516[[#This Row],[Allowed Hours]]&gt;25.3,Table13813141516[[#This Row],[Allowed Hours]])</f>
        <v>0</v>
      </c>
      <c r="K67" s="18"/>
      <c r="L67" s="19">
        <f>K67-Table13813141516[[#This Row],[Adj Allowed Hrs]]</f>
        <v>0</v>
      </c>
    </row>
    <row r="68" spans="5:12" hidden="1">
      <c r="E68" s="14" t="s">
        <v>27</v>
      </c>
      <c r="F68" s="15">
        <v>116</v>
      </c>
      <c r="G68" s="16"/>
      <c r="H68" s="17">
        <v>0.79</v>
      </c>
      <c r="I68" s="17">
        <f>Table13813141516[[#This Row],[LHC]]*Table13813141516[[#This Row],[Cars WTD (EDIT)]]</f>
        <v>0</v>
      </c>
      <c r="J68" s="17" cm="1">
        <f t="array" ref="J68">_xlfn.IFS(Table13813141516[[#This Row],[Allowed Hours]]=0,0,Table13813141516[[#This Row],[Allowed Hours]]&lt;25.3,25.3,Table13813141516[[#This Row],[Allowed Hours]]&gt;25.3,Table13813141516[[#This Row],[Allowed Hours]])</f>
        <v>0</v>
      </c>
      <c r="K68" s="18"/>
      <c r="L68" s="19">
        <f>K68-Table13813141516[[#This Row],[Adj Allowed Hrs]]</f>
        <v>0</v>
      </c>
    </row>
    <row r="69" spans="5:12" hidden="1">
      <c r="E69" s="20" t="s">
        <v>27</v>
      </c>
      <c r="F69" s="21">
        <v>870</v>
      </c>
      <c r="G69" s="22"/>
      <c r="H69" s="23">
        <v>0.79</v>
      </c>
      <c r="I69" s="17">
        <f>Table13813141516[[#This Row],[LHC]]*Table13813141516[[#This Row],[Cars WTD (EDIT)]]</f>
        <v>0</v>
      </c>
      <c r="J69" s="23" cm="1">
        <f t="array" ref="J69">_xlfn.IFS(Table13813141516[[#This Row],[Allowed Hours]]=0,0,Table13813141516[[#This Row],[Allowed Hours]]&lt;25.3,25.3,Table13813141516[[#This Row],[Allowed Hours]]&gt;25.3,Table13813141516[[#This Row],[Allowed Hours]])</f>
        <v>0</v>
      </c>
      <c r="K69" s="24"/>
      <c r="L69" s="25">
        <f>K69-Table13813141516[[#This Row],[Adj Allowed Hrs]]</f>
        <v>0</v>
      </c>
    </row>
    <row r="70" spans="5:12" hidden="1">
      <c r="E70" s="20" t="s">
        <v>27</v>
      </c>
      <c r="F70" s="21">
        <v>3004</v>
      </c>
      <c r="G70" s="22"/>
      <c r="H70" s="23">
        <v>0.79</v>
      </c>
      <c r="I70" s="23">
        <f>Table13813141516[[#This Row],[LHC]]*Table13813141516[[#This Row],[Cars WTD (EDIT)]]</f>
        <v>0</v>
      </c>
      <c r="J70" s="23" cm="1">
        <f t="array" ref="J70">_xlfn.IFS(Table13813141516[[#This Row],[Allowed Hours]]=0,0,Table13813141516[[#This Row],[Allowed Hours]]&lt;25.3,25.3,Table13813141516[[#This Row],[Allowed Hours]]&gt;25.3,Table13813141516[[#This Row],[Allowed Hours]])</f>
        <v>0</v>
      </c>
      <c r="K70" s="24"/>
      <c r="L70" s="25">
        <f>K70-Table13813141516[[#This Row],[Adj Allowed Hrs]]</f>
        <v>0</v>
      </c>
    </row>
  </sheetData>
  <sheetProtection sheet="1" objects="1" scenarios="1" selectLockedCells="1" sort="0" autoFilter="0" pivotTables="0"/>
  <protectedRanges>
    <protectedRange sqref="K14:K70" name="Range1"/>
  </protectedRanges>
  <mergeCells count="1">
    <mergeCell ref="B2:C2"/>
  </mergeCells>
  <conditionalFormatting sqref="I14:J70">
    <cfRule type="cellIs" dxfId="48" priority="6" operator="lessThan">
      <formula>25.3</formula>
    </cfRule>
  </conditionalFormatting>
  <conditionalFormatting sqref="L14:L70">
    <cfRule type="cellIs" dxfId="47" priority="9" operator="greaterThan">
      <formula>0</formula>
    </cfRule>
    <cfRule type="cellIs" dxfId="46" priority="10" operator="lessThan">
      <formula>0</formula>
    </cfRule>
  </conditionalFormatting>
  <conditionalFormatting sqref="J3:J10">
    <cfRule type="cellIs" dxfId="45" priority="2" operator="greaterThan">
      <formula>0</formula>
    </cfRule>
    <cfRule type="cellIs" dxfId="44" priority="3" operator="lessThan">
      <formula>0</formula>
    </cfRule>
  </conditionalFormatting>
  <conditionalFormatting sqref="I70:J70">
    <cfRule type="cellIs" dxfId="43" priority="1" operator="lessThan">
      <formula>25.3</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806E-161A-4C4A-A79D-F737E03C3F65}">
  <dimension ref="B1:L70"/>
  <sheetViews>
    <sheetView showGridLines="0" workbookViewId="0">
      <selection activeCell="H61" sqref="H61"/>
    </sheetView>
  </sheetViews>
  <sheetFormatPr defaultRowHeight="12.75"/>
  <cols>
    <col min="1" max="1" width="10.5703125" style="1" customWidth="1"/>
    <col min="2" max="3" width="12.140625" style="1" customWidth="1"/>
    <col min="4" max="4" width="16" style="1" customWidth="1"/>
    <col min="5" max="5" width="25.28515625" style="1" bestFit="1" customWidth="1"/>
    <col min="6" max="6" width="14.28515625" style="1" bestFit="1" customWidth="1"/>
    <col min="7" max="7" width="18.140625" style="1" bestFit="1" customWidth="1"/>
    <col min="8" max="8" width="19" style="1" bestFit="1" customWidth="1"/>
    <col min="9" max="9" width="16.7109375" style="1" bestFit="1" customWidth="1"/>
    <col min="10" max="10" width="20.85546875" style="1" bestFit="1" customWidth="1"/>
    <col min="11" max="11" width="25.140625" style="1" customWidth="1"/>
    <col min="12" max="12" width="19.5703125" style="1" customWidth="1"/>
    <col min="13" max="16384" width="9.140625" style="1"/>
  </cols>
  <sheetData>
    <row r="1" spans="2:12" ht="13.5" thickBot="1"/>
    <row r="2" spans="2:12" ht="18.75" thickBot="1">
      <c r="B2" s="42" t="s">
        <v>0</v>
      </c>
      <c r="C2" s="43"/>
      <c r="E2" s="2" t="s">
        <v>1</v>
      </c>
      <c r="F2" s="2" t="s">
        <v>2</v>
      </c>
      <c r="G2" s="2" t="s">
        <v>3</v>
      </c>
      <c r="H2" s="2" t="s">
        <v>4</v>
      </c>
      <c r="I2" s="2" t="s">
        <v>5</v>
      </c>
      <c r="J2" s="2" t="s">
        <v>6</v>
      </c>
    </row>
    <row r="3" spans="2:12" ht="18">
      <c r="B3" s="3" t="s">
        <v>7</v>
      </c>
      <c r="C3" s="4">
        <v>20</v>
      </c>
      <c r="E3" s="2" t="s">
        <v>8</v>
      </c>
      <c r="F3" s="5">
        <f>SUM(G14:G21)</f>
        <v>0</v>
      </c>
      <c r="G3" s="2">
        <v>0.79</v>
      </c>
      <c r="H3" s="2">
        <f>SUM(I14:I21)</f>
        <v>0</v>
      </c>
      <c r="I3" s="2">
        <f>SUM(K14:K21)</f>
        <v>0</v>
      </c>
      <c r="J3" s="2">
        <f>SUM(L14:L21)</f>
        <v>0</v>
      </c>
    </row>
    <row r="4" spans="2:12" ht="18">
      <c r="B4" s="6" t="s">
        <v>9</v>
      </c>
      <c r="C4" s="4">
        <v>45.3</v>
      </c>
      <c r="E4" s="2" t="s">
        <v>10</v>
      </c>
      <c r="F4" s="5">
        <f>SUM(G22:G28)</f>
        <v>0</v>
      </c>
      <c r="G4" s="2">
        <v>0.79</v>
      </c>
      <c r="H4" s="2">
        <f>SUM(I22:I28)</f>
        <v>0</v>
      </c>
      <c r="I4" s="2">
        <f>SUM(K22:K28)</f>
        <v>0</v>
      </c>
      <c r="J4" s="2">
        <f>SUM(L22:L28)</f>
        <v>0</v>
      </c>
    </row>
    <row r="5" spans="2:12" ht="18">
      <c r="B5" s="6" t="s">
        <v>11</v>
      </c>
      <c r="C5" s="4">
        <v>70.599999999999994</v>
      </c>
      <c r="E5" s="2" t="s">
        <v>12</v>
      </c>
      <c r="F5" s="5">
        <f>SUM(G29:G37)</f>
        <v>0</v>
      </c>
      <c r="G5" s="2">
        <v>0.79</v>
      </c>
      <c r="H5" s="2">
        <f>SUM(I29:I37)</f>
        <v>0</v>
      </c>
      <c r="I5" s="2">
        <f>SUM(K29:K37)</f>
        <v>0</v>
      </c>
      <c r="J5" s="2">
        <f>SUM(L29:L37)</f>
        <v>0</v>
      </c>
    </row>
    <row r="6" spans="2:12" ht="18">
      <c r="B6" s="6" t="s">
        <v>13</v>
      </c>
      <c r="C6" s="4">
        <v>95.93</v>
      </c>
      <c r="E6" s="2" t="s">
        <v>14</v>
      </c>
      <c r="F6" s="5">
        <f>SUM(G38:G45)</f>
        <v>0</v>
      </c>
      <c r="G6" s="2">
        <v>0.79</v>
      </c>
      <c r="H6" s="2">
        <f>SUM(I38:I45)</f>
        <v>0</v>
      </c>
      <c r="I6" s="2">
        <f>SUM(K38:K45)</f>
        <v>0</v>
      </c>
      <c r="J6" s="2">
        <f>SUM(L38:L45)</f>
        <v>0</v>
      </c>
    </row>
    <row r="7" spans="2:12" ht="18">
      <c r="B7" s="6" t="s">
        <v>15</v>
      </c>
      <c r="C7" s="4">
        <v>121.23</v>
      </c>
      <c r="E7" s="2" t="s">
        <v>16</v>
      </c>
      <c r="F7" s="5">
        <f>SUM(G46:G52)</f>
        <v>0</v>
      </c>
      <c r="G7" s="2">
        <v>0.79</v>
      </c>
      <c r="H7" s="2">
        <f>SUM(I46:I52)</f>
        <v>0</v>
      </c>
      <c r="I7" s="2">
        <f>SUM(K46:K52)</f>
        <v>0</v>
      </c>
      <c r="J7" s="2">
        <f>SUM(L46:L52)</f>
        <v>0</v>
      </c>
    </row>
    <row r="8" spans="2:12" ht="18">
      <c r="B8" s="6" t="s">
        <v>17</v>
      </c>
      <c r="C8" s="4">
        <v>146.53</v>
      </c>
      <c r="E8" s="2" t="s">
        <v>18</v>
      </c>
      <c r="F8" s="5">
        <f>SUM(G53:G61)</f>
        <v>0</v>
      </c>
      <c r="G8" s="2">
        <v>0.79</v>
      </c>
      <c r="H8" s="2">
        <f>SUM(I53:I61)</f>
        <v>0</v>
      </c>
      <c r="I8" s="2">
        <f>SUM(K53:K61)</f>
        <v>0</v>
      </c>
      <c r="J8" s="2">
        <f>SUM(L53:L61)</f>
        <v>0</v>
      </c>
    </row>
    <row r="9" spans="2:12" ht="18.75" thickBot="1">
      <c r="B9" s="7" t="s">
        <v>19</v>
      </c>
      <c r="C9" s="8">
        <v>171.8</v>
      </c>
      <c r="E9" s="2" t="s">
        <v>20</v>
      </c>
      <c r="F9" s="5">
        <f>SUM(G62:G70)</f>
        <v>0</v>
      </c>
      <c r="G9" s="2">
        <v>0.79</v>
      </c>
      <c r="H9" s="2">
        <f>SUM(I62:I70)</f>
        <v>0</v>
      </c>
      <c r="I9" s="2">
        <f>SUM(K62:K70)</f>
        <v>0</v>
      </c>
      <c r="J9" s="2">
        <f>SUM(L62:L70)</f>
        <v>0</v>
      </c>
    </row>
    <row r="10" spans="2:12" ht="18">
      <c r="E10" s="9" t="s">
        <v>21</v>
      </c>
      <c r="F10" s="9">
        <f>SUM(F3:F9)</f>
        <v>0</v>
      </c>
      <c r="G10" s="9">
        <v>0.79</v>
      </c>
      <c r="H10" s="9">
        <f>SUM(H3:H9)</f>
        <v>0</v>
      </c>
      <c r="I10" s="9">
        <f>SUM(I3:I9)</f>
        <v>0</v>
      </c>
      <c r="J10" s="9">
        <f>SUM(J3:J9)</f>
        <v>0</v>
      </c>
    </row>
    <row r="13" spans="2:12">
      <c r="E13" s="10" t="s">
        <v>1</v>
      </c>
      <c r="F13" s="11" t="s">
        <v>22</v>
      </c>
      <c r="G13" s="12" t="s">
        <v>23</v>
      </c>
      <c r="H13" s="11" t="s">
        <v>3</v>
      </c>
      <c r="I13" s="11" t="s">
        <v>4</v>
      </c>
      <c r="J13" s="11" t="s">
        <v>24</v>
      </c>
      <c r="K13" s="12" t="s">
        <v>25</v>
      </c>
      <c r="L13" s="13" t="s">
        <v>6</v>
      </c>
    </row>
    <row r="14" spans="2:12">
      <c r="E14" s="14" t="s">
        <v>8</v>
      </c>
      <c r="F14" s="15">
        <v>17</v>
      </c>
      <c r="G14" s="16"/>
      <c r="H14" s="17">
        <v>0.79</v>
      </c>
      <c r="I14" s="17">
        <f>Table138131415[[#This Row],[LHC]]*Table138131415[[#This Row],[Cars WTD (EDIT)]]</f>
        <v>0</v>
      </c>
      <c r="J14" s="17" cm="1">
        <f t="array" ref="J14">_xlfn.IFS(Table138131415[[#This Row],[Allowed Hours]]=0,0,Table138131415[[#This Row],[Allowed Hours]]&lt;25.3,25.3,Table138131415[[#This Row],[Allowed Hours]]&gt;25.3,Table138131415[[#This Row],[Allowed Hours]])</f>
        <v>0</v>
      </c>
      <c r="K14" s="18"/>
      <c r="L14" s="19">
        <f>K14-Table138131415[[#This Row],[Adj Allowed Hrs]]</f>
        <v>0</v>
      </c>
    </row>
    <row r="15" spans="2:12">
      <c r="E15" s="14" t="s">
        <v>8</v>
      </c>
      <c r="F15" s="15">
        <v>22</v>
      </c>
      <c r="G15" s="16"/>
      <c r="H15" s="17">
        <v>0.79</v>
      </c>
      <c r="I15" s="17">
        <f>Table138131415[[#This Row],[LHC]]*Table138131415[[#This Row],[Cars WTD (EDIT)]]</f>
        <v>0</v>
      </c>
      <c r="J15" s="17" cm="1">
        <f t="array" ref="J15">_xlfn.IFS(Table138131415[[#This Row],[Allowed Hours]]=0,0,Table138131415[[#This Row],[Allowed Hours]]&lt;25.3,25.3,Table138131415[[#This Row],[Allowed Hours]]&gt;25.3,Table138131415[[#This Row],[Allowed Hours]])</f>
        <v>0</v>
      </c>
      <c r="K15" s="18"/>
      <c r="L15" s="19">
        <f>K15-Table138131415[[#This Row],[Adj Allowed Hrs]]</f>
        <v>0</v>
      </c>
    </row>
    <row r="16" spans="2:12">
      <c r="E16" s="14" t="s">
        <v>8</v>
      </c>
      <c r="F16" s="15">
        <v>641</v>
      </c>
      <c r="G16" s="16"/>
      <c r="H16" s="17">
        <v>0.79</v>
      </c>
      <c r="I16" s="17">
        <f>Table138131415[[#This Row],[LHC]]*Table138131415[[#This Row],[Cars WTD (EDIT)]]</f>
        <v>0</v>
      </c>
      <c r="J16" s="17" cm="1">
        <f t="array" ref="J16">_xlfn.IFS(Table138131415[[#This Row],[Allowed Hours]]=0,0,Table138131415[[#This Row],[Allowed Hours]]&lt;25.3,25.3,Table138131415[[#This Row],[Allowed Hours]]&gt;25.3,Table138131415[[#This Row],[Allowed Hours]])</f>
        <v>0</v>
      </c>
      <c r="K16" s="18"/>
      <c r="L16" s="19">
        <f>K16-Table138131415[[#This Row],[Adj Allowed Hrs]]</f>
        <v>0</v>
      </c>
    </row>
    <row r="17" spans="5:12">
      <c r="E17" s="14" t="s">
        <v>8</v>
      </c>
      <c r="F17" s="15">
        <v>717</v>
      </c>
      <c r="G17" s="16"/>
      <c r="H17" s="17">
        <v>0.79</v>
      </c>
      <c r="I17" s="17">
        <f>Table138131415[[#This Row],[LHC]]*Table138131415[[#This Row],[Cars WTD (EDIT)]]</f>
        <v>0</v>
      </c>
      <c r="J17" s="17" cm="1">
        <f t="array" ref="J17">_xlfn.IFS(Table138131415[[#This Row],[Allowed Hours]]=0,0,Table138131415[[#This Row],[Allowed Hours]]&lt;25.3,25.3,Table138131415[[#This Row],[Allowed Hours]]&gt;25.3,Table138131415[[#This Row],[Allowed Hours]])</f>
        <v>0</v>
      </c>
      <c r="K17" s="18"/>
      <c r="L17" s="19">
        <f>K17-Table138131415[[#This Row],[Adj Allowed Hrs]]</f>
        <v>0</v>
      </c>
    </row>
    <row r="18" spans="5:12">
      <c r="E18" s="14" t="s">
        <v>8</v>
      </c>
      <c r="F18" s="15">
        <v>843</v>
      </c>
      <c r="G18" s="16"/>
      <c r="H18" s="17">
        <v>0.79</v>
      </c>
      <c r="I18" s="17">
        <f>Table138131415[[#This Row],[LHC]]*Table138131415[[#This Row],[Cars WTD (EDIT)]]</f>
        <v>0</v>
      </c>
      <c r="J18" s="17" cm="1">
        <f t="array" ref="J18">_xlfn.IFS(Table138131415[[#This Row],[Allowed Hours]]=0,0,Table138131415[[#This Row],[Allowed Hours]]&lt;25.3,25.3,Table138131415[[#This Row],[Allowed Hours]]&gt;25.3,Table138131415[[#This Row],[Allowed Hours]])</f>
        <v>0</v>
      </c>
      <c r="K18" s="18"/>
      <c r="L18" s="19">
        <f>K18-Table138131415[[#This Row],[Adj Allowed Hrs]]</f>
        <v>0</v>
      </c>
    </row>
    <row r="19" spans="5:12">
      <c r="E19" s="14" t="s">
        <v>8</v>
      </c>
      <c r="F19" s="15">
        <v>881</v>
      </c>
      <c r="G19" s="16"/>
      <c r="H19" s="17">
        <v>0.79</v>
      </c>
      <c r="I19" s="17">
        <f>Table138131415[[#This Row],[LHC]]*Table138131415[[#This Row],[Cars WTD (EDIT)]]</f>
        <v>0</v>
      </c>
      <c r="J19" s="17" cm="1">
        <f t="array" ref="J19">_xlfn.IFS(Table138131415[[#This Row],[Allowed Hours]]=0,0,Table138131415[[#This Row],[Allowed Hours]]&lt;25.3,25.3,Table138131415[[#This Row],[Allowed Hours]]&gt;25.3,Table138131415[[#This Row],[Allowed Hours]])</f>
        <v>0</v>
      </c>
      <c r="K19" s="18"/>
      <c r="L19" s="19">
        <f>K19-Table138131415[[#This Row],[Adj Allowed Hrs]]</f>
        <v>0</v>
      </c>
    </row>
    <row r="20" spans="5:12">
      <c r="E20" s="14" t="s">
        <v>8</v>
      </c>
      <c r="F20" s="15">
        <v>953</v>
      </c>
      <c r="G20" s="16"/>
      <c r="H20" s="17">
        <v>0.79</v>
      </c>
      <c r="I20" s="17">
        <f>Table138131415[[#This Row],[LHC]]*Table138131415[[#This Row],[Cars WTD (EDIT)]]</f>
        <v>0</v>
      </c>
      <c r="J20" s="17" cm="1">
        <f t="array" ref="J20">_xlfn.IFS(Table138131415[[#This Row],[Allowed Hours]]=0,0,Table138131415[[#This Row],[Allowed Hours]]&lt;25.3,25.3,Table138131415[[#This Row],[Allowed Hours]]&gt;25.3,Table138131415[[#This Row],[Allowed Hours]])</f>
        <v>0</v>
      </c>
      <c r="K20" s="18"/>
      <c r="L20" s="19">
        <f>K20-Table138131415[[#This Row],[Adj Allowed Hrs]]</f>
        <v>0</v>
      </c>
    </row>
    <row r="21" spans="5:12">
      <c r="E21" s="14" t="s">
        <v>8</v>
      </c>
      <c r="F21" s="15">
        <v>3040</v>
      </c>
      <c r="G21" s="16"/>
      <c r="H21" s="17">
        <v>0.79</v>
      </c>
      <c r="I21" s="17">
        <f>Table138131415[[#This Row],[LHC]]*Table138131415[[#This Row],[Cars WTD (EDIT)]]</f>
        <v>0</v>
      </c>
      <c r="J21" s="17" cm="1">
        <f t="array" ref="J21">_xlfn.IFS(Table138131415[[#This Row],[Allowed Hours]]=0,0,Table138131415[[#This Row],[Allowed Hours]]&lt;25.3,25.3,Table138131415[[#This Row],[Allowed Hours]]&gt;25.3,Table138131415[[#This Row],[Allowed Hours]])</f>
        <v>0</v>
      </c>
      <c r="K21" s="18"/>
      <c r="L21" s="19">
        <f>K21-Table138131415[[#This Row],[Adj Allowed Hrs]]</f>
        <v>0</v>
      </c>
    </row>
    <row r="22" spans="5:12">
      <c r="E22" s="14" t="s">
        <v>10</v>
      </c>
      <c r="F22" s="15">
        <v>18</v>
      </c>
      <c r="G22" s="16"/>
      <c r="H22" s="17">
        <v>0.79</v>
      </c>
      <c r="I22" s="17">
        <f>Table138131415[[#This Row],[LHC]]*Table138131415[[#This Row],[Cars WTD (EDIT)]]</f>
        <v>0</v>
      </c>
      <c r="J22" s="17" cm="1">
        <f t="array" ref="J22">_xlfn.IFS(Table138131415[[#This Row],[Allowed Hours]]=0,0,Table138131415[[#This Row],[Allowed Hours]]&lt;25.3,25.3,Table138131415[[#This Row],[Allowed Hours]]&gt;25.3,Table138131415[[#This Row],[Allowed Hours]])</f>
        <v>0</v>
      </c>
      <c r="K22" s="18"/>
      <c r="L22" s="19">
        <f>K22-Table138131415[[#This Row],[Adj Allowed Hrs]]</f>
        <v>0</v>
      </c>
    </row>
    <row r="23" spans="5:12">
      <c r="E23" s="14" t="s">
        <v>10</v>
      </c>
      <c r="F23" s="15">
        <v>19</v>
      </c>
      <c r="G23" s="16"/>
      <c r="H23" s="17">
        <v>0.79</v>
      </c>
      <c r="I23" s="17">
        <f>Table138131415[[#This Row],[LHC]]*Table138131415[[#This Row],[Cars WTD (EDIT)]]</f>
        <v>0</v>
      </c>
      <c r="J23" s="17" cm="1">
        <f t="array" ref="J23">_xlfn.IFS(Table138131415[[#This Row],[Allowed Hours]]=0,0,Table138131415[[#This Row],[Allowed Hours]]&lt;25.3,25.3,Table138131415[[#This Row],[Allowed Hours]]&gt;25.3,Table138131415[[#This Row],[Allowed Hours]])</f>
        <v>0</v>
      </c>
      <c r="K23" s="18"/>
      <c r="L23" s="19">
        <f>K23-Table138131415[[#This Row],[Adj Allowed Hrs]]</f>
        <v>0</v>
      </c>
    </row>
    <row r="24" spans="5:12">
      <c r="E24" s="14" t="s">
        <v>10</v>
      </c>
      <c r="F24" s="15">
        <v>282</v>
      </c>
      <c r="G24" s="16"/>
      <c r="H24" s="17">
        <v>0.79</v>
      </c>
      <c r="I24" s="17">
        <f>Table138131415[[#This Row],[LHC]]*Table138131415[[#This Row],[Cars WTD (EDIT)]]</f>
        <v>0</v>
      </c>
      <c r="J24" s="17" cm="1">
        <f t="array" ref="J24">_xlfn.IFS(Table138131415[[#This Row],[Allowed Hours]]=0,0,Table138131415[[#This Row],[Allowed Hours]]&lt;25.3,25.3,Table138131415[[#This Row],[Allowed Hours]]&gt;25.3,Table138131415[[#This Row],[Allowed Hours]])</f>
        <v>0</v>
      </c>
      <c r="K24" s="18"/>
      <c r="L24" s="19">
        <f>K24-Table138131415[[#This Row],[Adj Allowed Hrs]]</f>
        <v>0</v>
      </c>
    </row>
    <row r="25" spans="5:12">
      <c r="E25" s="14" t="s">
        <v>10</v>
      </c>
      <c r="F25" s="15">
        <v>447</v>
      </c>
      <c r="G25" s="16"/>
      <c r="H25" s="17">
        <v>0.79</v>
      </c>
      <c r="I25" s="17">
        <f>Table138131415[[#This Row],[LHC]]*Table138131415[[#This Row],[Cars WTD (EDIT)]]</f>
        <v>0</v>
      </c>
      <c r="J25" s="17" cm="1">
        <f t="array" ref="J25">_xlfn.IFS(Table138131415[[#This Row],[Allowed Hours]]=0,0,Table138131415[[#This Row],[Allowed Hours]]&lt;25.3,25.3,Table138131415[[#This Row],[Allowed Hours]]&gt;25.3,Table138131415[[#This Row],[Allowed Hours]])</f>
        <v>0</v>
      </c>
      <c r="K25" s="18"/>
      <c r="L25" s="19">
        <f>K25-Table138131415[[#This Row],[Adj Allowed Hrs]]</f>
        <v>0</v>
      </c>
    </row>
    <row r="26" spans="5:12">
      <c r="E26" s="14" t="s">
        <v>10</v>
      </c>
      <c r="F26" s="15">
        <v>448</v>
      </c>
      <c r="G26" s="16"/>
      <c r="H26" s="17">
        <v>0.79</v>
      </c>
      <c r="I26" s="17">
        <f>Table138131415[[#This Row],[LHC]]*Table138131415[[#This Row],[Cars WTD (EDIT)]]</f>
        <v>0</v>
      </c>
      <c r="J26" s="17" cm="1">
        <f t="array" ref="J26">_xlfn.IFS(Table138131415[[#This Row],[Allowed Hours]]=0,0,Table138131415[[#This Row],[Allowed Hours]]&lt;25.3,25.3,Table138131415[[#This Row],[Allowed Hours]]&gt;25.3,Table138131415[[#This Row],[Allowed Hours]])</f>
        <v>0</v>
      </c>
      <c r="K26" s="18"/>
      <c r="L26" s="19">
        <f>K26-Table138131415[[#This Row],[Adj Allowed Hrs]]</f>
        <v>0</v>
      </c>
    </row>
    <row r="27" spans="5:12">
      <c r="E27" s="14" t="s">
        <v>10</v>
      </c>
      <c r="F27" s="15">
        <v>531</v>
      </c>
      <c r="G27" s="16"/>
      <c r="H27" s="17">
        <v>0.79</v>
      </c>
      <c r="I27" s="17">
        <f>Table138131415[[#This Row],[LHC]]*Table138131415[[#This Row],[Cars WTD (EDIT)]]</f>
        <v>0</v>
      </c>
      <c r="J27" s="17" cm="1">
        <f t="array" ref="J27">_xlfn.IFS(Table138131415[[#This Row],[Allowed Hours]]=0,0,Table138131415[[#This Row],[Allowed Hours]]&lt;25.3,25.3,Table138131415[[#This Row],[Allowed Hours]]&gt;25.3,Table138131415[[#This Row],[Allowed Hours]])</f>
        <v>0</v>
      </c>
      <c r="K27" s="18"/>
      <c r="L27" s="19">
        <f>K27-Table138131415[[#This Row],[Adj Allowed Hrs]]</f>
        <v>0</v>
      </c>
    </row>
    <row r="28" spans="5:12">
      <c r="E28" s="14" t="s">
        <v>10</v>
      </c>
      <c r="F28" s="15">
        <v>832</v>
      </c>
      <c r="G28" s="16"/>
      <c r="H28" s="17">
        <v>0.79</v>
      </c>
      <c r="I28" s="17">
        <f>Table138131415[[#This Row],[LHC]]*Table138131415[[#This Row],[Cars WTD (EDIT)]]</f>
        <v>0</v>
      </c>
      <c r="J28" s="17" cm="1">
        <f t="array" ref="J28">_xlfn.IFS(Table138131415[[#This Row],[Allowed Hours]]=0,0,Table138131415[[#This Row],[Allowed Hours]]&lt;25.3,25.3,Table138131415[[#This Row],[Allowed Hours]]&gt;25.3,Table138131415[[#This Row],[Allowed Hours]])</f>
        <v>0</v>
      </c>
      <c r="K28" s="18"/>
      <c r="L28" s="19">
        <f>K28-Table138131415[[#This Row],[Adj Allowed Hrs]]</f>
        <v>0</v>
      </c>
    </row>
    <row r="29" spans="5:12">
      <c r="E29" s="14" t="s">
        <v>12</v>
      </c>
      <c r="F29" s="15">
        <v>3</v>
      </c>
      <c r="G29" s="16"/>
      <c r="H29" s="17">
        <v>0.79</v>
      </c>
      <c r="I29" s="17">
        <f>Table138131415[[#This Row],[LHC]]*Table138131415[[#This Row],[Cars WTD (EDIT)]]</f>
        <v>0</v>
      </c>
      <c r="J29" s="17" cm="1">
        <f t="array" ref="J29">_xlfn.IFS(Table138131415[[#This Row],[Allowed Hours]]=0,0,Table138131415[[#This Row],[Allowed Hours]]&lt;25.3,25.3,Table138131415[[#This Row],[Allowed Hours]]&gt;25.3,Table138131415[[#This Row],[Allowed Hours]])</f>
        <v>0</v>
      </c>
      <c r="K29" s="18"/>
      <c r="L29" s="19">
        <f>K29-Table138131415[[#This Row],[Adj Allowed Hrs]]</f>
        <v>0</v>
      </c>
    </row>
    <row r="30" spans="5:12">
      <c r="E30" s="14" t="s">
        <v>12</v>
      </c>
      <c r="F30" s="15">
        <v>5</v>
      </c>
      <c r="G30" s="16"/>
      <c r="H30" s="17">
        <v>0.79</v>
      </c>
      <c r="I30" s="17">
        <f>Table138131415[[#This Row],[LHC]]*Table138131415[[#This Row],[Cars WTD (EDIT)]]</f>
        <v>0</v>
      </c>
      <c r="J30" s="17" cm="1">
        <f t="array" ref="J30">_xlfn.IFS(Table138131415[[#This Row],[Allowed Hours]]=0,0,Table138131415[[#This Row],[Allowed Hours]]&lt;25.3,25.3,Table138131415[[#This Row],[Allowed Hours]]&gt;25.3,Table138131415[[#This Row],[Allowed Hours]])</f>
        <v>0</v>
      </c>
      <c r="K30" s="18"/>
      <c r="L30" s="19">
        <f>K30-Table138131415[[#This Row],[Adj Allowed Hrs]]</f>
        <v>0</v>
      </c>
    </row>
    <row r="31" spans="5:12">
      <c r="E31" s="14" t="s">
        <v>12</v>
      </c>
      <c r="F31" s="15">
        <v>11</v>
      </c>
      <c r="G31" s="16"/>
      <c r="H31" s="17">
        <v>0.79</v>
      </c>
      <c r="I31" s="17">
        <f>Table138131415[[#This Row],[LHC]]*Table138131415[[#This Row],[Cars WTD (EDIT)]]</f>
        <v>0</v>
      </c>
      <c r="J31" s="17" cm="1">
        <f t="array" ref="J31">_xlfn.IFS(Table138131415[[#This Row],[Allowed Hours]]=0,0,Table138131415[[#This Row],[Allowed Hours]]&lt;25.3,25.3,Table138131415[[#This Row],[Allowed Hours]]&gt;25.3,Table138131415[[#This Row],[Allowed Hours]])</f>
        <v>0</v>
      </c>
      <c r="K31" s="18"/>
      <c r="L31" s="19">
        <f>K31-Table138131415[[#This Row],[Adj Allowed Hrs]]</f>
        <v>0</v>
      </c>
    </row>
    <row r="32" spans="5:12">
      <c r="E32" s="14" t="s">
        <v>12</v>
      </c>
      <c r="F32" s="15">
        <v>14</v>
      </c>
      <c r="G32" s="16"/>
      <c r="H32" s="17">
        <v>0.79</v>
      </c>
      <c r="I32" s="17">
        <f>Table138131415[[#This Row],[LHC]]*Table138131415[[#This Row],[Cars WTD (EDIT)]]</f>
        <v>0</v>
      </c>
      <c r="J32" s="17" cm="1">
        <f t="array" ref="J32">_xlfn.IFS(Table138131415[[#This Row],[Allowed Hours]]=0,0,Table138131415[[#This Row],[Allowed Hours]]&lt;25.3,25.3,Table138131415[[#This Row],[Allowed Hours]]&gt;25.3,Table138131415[[#This Row],[Allowed Hours]])</f>
        <v>0</v>
      </c>
      <c r="K32" s="18"/>
      <c r="L32" s="19">
        <f>K32-Table138131415[[#This Row],[Adj Allowed Hrs]]</f>
        <v>0</v>
      </c>
    </row>
    <row r="33" spans="5:12">
      <c r="E33" s="14" t="s">
        <v>12</v>
      </c>
      <c r="F33" s="15">
        <v>20</v>
      </c>
      <c r="G33" s="16"/>
      <c r="H33" s="17">
        <v>0.79</v>
      </c>
      <c r="I33" s="17">
        <f>Table138131415[[#This Row],[LHC]]*Table138131415[[#This Row],[Cars WTD (EDIT)]]</f>
        <v>0</v>
      </c>
      <c r="J33" s="17" cm="1">
        <f t="array" ref="J33">_xlfn.IFS(Table138131415[[#This Row],[Allowed Hours]]=0,0,Table138131415[[#This Row],[Allowed Hours]]&lt;25.3,25.3,Table138131415[[#This Row],[Allowed Hours]]&gt;25.3,Table138131415[[#This Row],[Allowed Hours]])</f>
        <v>0</v>
      </c>
      <c r="K33" s="18"/>
      <c r="L33" s="19">
        <f>K33-Table138131415[[#This Row],[Adj Allowed Hrs]]</f>
        <v>0</v>
      </c>
    </row>
    <row r="34" spans="5:12">
      <c r="E34" s="14" t="s">
        <v>12</v>
      </c>
      <c r="F34" s="15">
        <v>21</v>
      </c>
      <c r="G34" s="16"/>
      <c r="H34" s="17">
        <v>0.79</v>
      </c>
      <c r="I34" s="17">
        <f>Table138131415[[#This Row],[LHC]]*Table138131415[[#This Row],[Cars WTD (EDIT)]]</f>
        <v>0</v>
      </c>
      <c r="J34" s="17" cm="1">
        <f t="array" ref="J34">_xlfn.IFS(Table138131415[[#This Row],[Allowed Hours]]=0,0,Table138131415[[#This Row],[Allowed Hours]]&lt;25.3,25.3,Table138131415[[#This Row],[Allowed Hours]]&gt;25.3,Table138131415[[#This Row],[Allowed Hours]])</f>
        <v>0</v>
      </c>
      <c r="K34" s="18"/>
      <c r="L34" s="19">
        <f>K34-Table138131415[[#This Row],[Adj Allowed Hrs]]</f>
        <v>0</v>
      </c>
    </row>
    <row r="35" spans="5:12">
      <c r="E35" s="14" t="s">
        <v>12</v>
      </c>
      <c r="F35" s="15">
        <v>23</v>
      </c>
      <c r="G35" s="16"/>
      <c r="H35" s="17">
        <v>0.79</v>
      </c>
      <c r="I35" s="17">
        <f>Table138131415[[#This Row],[LHC]]*Table138131415[[#This Row],[Cars WTD (EDIT)]]</f>
        <v>0</v>
      </c>
      <c r="J35" s="17" cm="1">
        <f t="array" ref="J35">_xlfn.IFS(Table138131415[[#This Row],[Allowed Hours]]=0,0,Table138131415[[#This Row],[Allowed Hours]]&lt;25.3,25.3,Table138131415[[#This Row],[Allowed Hours]]&gt;25.3,Table138131415[[#This Row],[Allowed Hours]])</f>
        <v>0</v>
      </c>
      <c r="K35" s="18"/>
      <c r="L35" s="19">
        <f>K35-Table138131415[[#This Row],[Adj Allowed Hrs]]</f>
        <v>0</v>
      </c>
    </row>
    <row r="36" spans="5:12">
      <c r="E36" s="14" t="s">
        <v>12</v>
      </c>
      <c r="F36" s="15">
        <v>24</v>
      </c>
      <c r="G36" s="16"/>
      <c r="H36" s="17">
        <v>0.79</v>
      </c>
      <c r="I36" s="17">
        <f>Table138131415[[#This Row],[LHC]]*Table138131415[[#This Row],[Cars WTD (EDIT)]]</f>
        <v>0</v>
      </c>
      <c r="J36" s="17" cm="1">
        <f t="array" ref="J36">_xlfn.IFS(Table138131415[[#This Row],[Allowed Hours]]=0,0,Table138131415[[#This Row],[Allowed Hours]]&lt;25.3,25.3,Table138131415[[#This Row],[Allowed Hours]]&gt;25.3,Table138131415[[#This Row],[Allowed Hours]])</f>
        <v>0</v>
      </c>
      <c r="K36" s="18"/>
      <c r="L36" s="19">
        <f>K36-Table138131415[[#This Row],[Adj Allowed Hrs]]</f>
        <v>0</v>
      </c>
    </row>
    <row r="37" spans="5:12">
      <c r="E37" s="14" t="s">
        <v>12</v>
      </c>
      <c r="F37" s="15">
        <v>26</v>
      </c>
      <c r="G37" s="16"/>
      <c r="H37" s="17">
        <v>0.79</v>
      </c>
      <c r="I37" s="17">
        <f>Table138131415[[#This Row],[LHC]]*Table138131415[[#This Row],[Cars WTD (EDIT)]]</f>
        <v>0</v>
      </c>
      <c r="J37" s="17" cm="1">
        <f t="array" ref="J37">_xlfn.IFS(Table138131415[[#This Row],[Allowed Hours]]=0,0,Table138131415[[#This Row],[Allowed Hours]]&lt;25.3,25.3,Table138131415[[#This Row],[Allowed Hours]]&gt;25.3,Table138131415[[#This Row],[Allowed Hours]])</f>
        <v>0</v>
      </c>
      <c r="K37" s="18"/>
      <c r="L37" s="19">
        <f>K37-Table138131415[[#This Row],[Adj Allowed Hrs]]</f>
        <v>0</v>
      </c>
    </row>
    <row r="38" spans="5:12">
      <c r="E38" s="14" t="s">
        <v>14</v>
      </c>
      <c r="F38" s="15">
        <v>29</v>
      </c>
      <c r="G38" s="16"/>
      <c r="H38" s="17">
        <v>0.79</v>
      </c>
      <c r="I38" s="17">
        <f>Table138131415[[#This Row],[LHC]]*Table138131415[[#This Row],[Cars WTD (EDIT)]]</f>
        <v>0</v>
      </c>
      <c r="J38" s="17" cm="1">
        <f t="array" ref="J38">_xlfn.IFS(Table138131415[[#This Row],[Allowed Hours]]=0,0,Table138131415[[#This Row],[Allowed Hours]]&lt;25.3,25.3,Table138131415[[#This Row],[Allowed Hours]]&gt;25.3,Table138131415[[#This Row],[Allowed Hours]])</f>
        <v>0</v>
      </c>
      <c r="K38" s="18"/>
      <c r="L38" s="19">
        <f>K38-Table138131415[[#This Row],[Adj Allowed Hrs]]</f>
        <v>0</v>
      </c>
    </row>
    <row r="39" spans="5:12">
      <c r="E39" s="14" t="s">
        <v>14</v>
      </c>
      <c r="F39" s="15">
        <v>40</v>
      </c>
      <c r="G39" s="16"/>
      <c r="H39" s="17">
        <v>0.79</v>
      </c>
      <c r="I39" s="17">
        <f>Table138131415[[#This Row],[LHC]]*Table138131415[[#This Row],[Cars WTD (EDIT)]]</f>
        <v>0</v>
      </c>
      <c r="J39" s="17" cm="1">
        <f t="array" ref="J39">_xlfn.IFS(Table138131415[[#This Row],[Allowed Hours]]=0,0,Table138131415[[#This Row],[Allowed Hours]]&lt;25.3,25.3,Table138131415[[#This Row],[Allowed Hours]]&gt;25.3,Table138131415[[#This Row],[Allowed Hours]])</f>
        <v>0</v>
      </c>
      <c r="K39" s="18"/>
      <c r="L39" s="19">
        <f>K39-Table138131415[[#This Row],[Adj Allowed Hrs]]</f>
        <v>0</v>
      </c>
    </row>
    <row r="40" spans="5:12">
      <c r="E40" s="14" t="s">
        <v>14</v>
      </c>
      <c r="F40" s="15">
        <v>280</v>
      </c>
      <c r="G40" s="16"/>
      <c r="H40" s="17">
        <v>0.79</v>
      </c>
      <c r="I40" s="17">
        <f>Table138131415[[#This Row],[LHC]]*Table138131415[[#This Row],[Cars WTD (EDIT)]]</f>
        <v>0</v>
      </c>
      <c r="J40" s="17" cm="1">
        <f t="array" ref="J40">_xlfn.IFS(Table138131415[[#This Row],[Allowed Hours]]=0,0,Table138131415[[#This Row],[Allowed Hours]]&lt;25.3,25.3,Table138131415[[#This Row],[Allowed Hours]]&gt;25.3,Table138131415[[#This Row],[Allowed Hours]])</f>
        <v>0</v>
      </c>
      <c r="K40" s="18"/>
      <c r="L40" s="19">
        <f>K40-Table138131415[[#This Row],[Adj Allowed Hrs]]</f>
        <v>0</v>
      </c>
    </row>
    <row r="41" spans="5:12">
      <c r="E41" s="14" t="s">
        <v>14</v>
      </c>
      <c r="F41" s="15">
        <v>599</v>
      </c>
      <c r="G41" s="16"/>
      <c r="H41" s="17">
        <v>0.79</v>
      </c>
      <c r="I41" s="17">
        <f>Table138131415[[#This Row],[LHC]]*Table138131415[[#This Row],[Cars WTD (EDIT)]]</f>
        <v>0</v>
      </c>
      <c r="J41" s="17" cm="1">
        <f t="array" ref="J41">_xlfn.IFS(Table138131415[[#This Row],[Allowed Hours]]=0,0,Table138131415[[#This Row],[Allowed Hours]]&lt;25.3,25.3,Table138131415[[#This Row],[Allowed Hours]]&gt;25.3,Table138131415[[#This Row],[Allowed Hours]])</f>
        <v>0</v>
      </c>
      <c r="K41" s="18"/>
      <c r="L41" s="19">
        <f>K41-Table138131415[[#This Row],[Adj Allowed Hrs]]</f>
        <v>0</v>
      </c>
    </row>
    <row r="42" spans="5:12">
      <c r="E42" s="14" t="s">
        <v>14</v>
      </c>
      <c r="F42" s="15">
        <v>720</v>
      </c>
      <c r="G42" s="16"/>
      <c r="H42" s="17">
        <v>0.79</v>
      </c>
      <c r="I42" s="17">
        <f>Table138131415[[#This Row],[LHC]]*Table138131415[[#This Row],[Cars WTD (EDIT)]]</f>
        <v>0</v>
      </c>
      <c r="J42" s="17" cm="1">
        <f t="array" ref="J42">_xlfn.IFS(Table138131415[[#This Row],[Allowed Hours]]=0,0,Table138131415[[#This Row],[Allowed Hours]]&lt;25.3,25.3,Table138131415[[#This Row],[Allowed Hours]]&gt;25.3,Table138131415[[#This Row],[Allowed Hours]])</f>
        <v>0</v>
      </c>
      <c r="K42" s="18"/>
      <c r="L42" s="19">
        <f>K42-Table138131415[[#This Row],[Adj Allowed Hrs]]</f>
        <v>0</v>
      </c>
    </row>
    <row r="43" spans="5:12">
      <c r="E43" s="14" t="s">
        <v>14</v>
      </c>
      <c r="F43" s="15">
        <v>728</v>
      </c>
      <c r="G43" s="16"/>
      <c r="H43" s="17">
        <v>0.79</v>
      </c>
      <c r="I43" s="17">
        <f>Table138131415[[#This Row],[LHC]]*Table138131415[[#This Row],[Cars WTD (EDIT)]]</f>
        <v>0</v>
      </c>
      <c r="J43" s="17" cm="1">
        <f t="array" ref="J43">_xlfn.IFS(Table138131415[[#This Row],[Allowed Hours]]=0,0,Table138131415[[#This Row],[Allowed Hours]]&lt;25.3,25.3,Table138131415[[#This Row],[Allowed Hours]]&gt;25.3,Table138131415[[#This Row],[Allowed Hours]])</f>
        <v>0</v>
      </c>
      <c r="K43" s="18"/>
      <c r="L43" s="19">
        <f>K43-Table138131415[[#This Row],[Adj Allowed Hrs]]</f>
        <v>0</v>
      </c>
    </row>
    <row r="44" spans="5:12">
      <c r="E44" s="14" t="s">
        <v>14</v>
      </c>
      <c r="F44" s="15">
        <v>830</v>
      </c>
      <c r="G44" s="16"/>
      <c r="H44" s="17">
        <v>0.79</v>
      </c>
      <c r="I44" s="17">
        <f>Table138131415[[#This Row],[LHC]]*Table138131415[[#This Row],[Cars WTD (EDIT)]]</f>
        <v>0</v>
      </c>
      <c r="J44" s="17" cm="1">
        <f t="array" ref="J44">_xlfn.IFS(Table138131415[[#This Row],[Allowed Hours]]=0,0,Table138131415[[#This Row],[Allowed Hours]]&lt;25.3,25.3,Table138131415[[#This Row],[Allowed Hours]]&gt;25.3,Table138131415[[#This Row],[Allowed Hours]])</f>
        <v>0</v>
      </c>
      <c r="K44" s="18"/>
      <c r="L44" s="19">
        <f>K44-Table138131415[[#This Row],[Adj Allowed Hrs]]</f>
        <v>0</v>
      </c>
    </row>
    <row r="45" spans="5:12">
      <c r="E45" s="14" t="s">
        <v>14</v>
      </c>
      <c r="F45" s="15">
        <v>975</v>
      </c>
      <c r="G45" s="16"/>
      <c r="H45" s="17">
        <v>0.79</v>
      </c>
      <c r="I45" s="17">
        <f>Table138131415[[#This Row],[LHC]]*Table138131415[[#This Row],[Cars WTD (EDIT)]]</f>
        <v>0</v>
      </c>
      <c r="J45" s="17" cm="1">
        <f t="array" ref="J45">_xlfn.IFS(Table138131415[[#This Row],[Allowed Hours]]=0,0,Table138131415[[#This Row],[Allowed Hours]]&lt;25.3,25.3,Table138131415[[#This Row],[Allowed Hours]]&gt;25.3,Table138131415[[#This Row],[Allowed Hours]])</f>
        <v>0</v>
      </c>
      <c r="K45" s="18"/>
      <c r="L45" s="19">
        <f>K45-Table138131415[[#This Row],[Adj Allowed Hrs]]</f>
        <v>0</v>
      </c>
    </row>
    <row r="46" spans="5:12">
      <c r="E46" s="14" t="s">
        <v>16</v>
      </c>
      <c r="F46" s="15">
        <v>46</v>
      </c>
      <c r="G46" s="16"/>
      <c r="H46" s="17">
        <v>0.79</v>
      </c>
      <c r="I46" s="17">
        <f>Table138131415[[#This Row],[LHC]]*Table138131415[[#This Row],[Cars WTD (EDIT)]]</f>
        <v>0</v>
      </c>
      <c r="J46" s="17" cm="1">
        <f t="array" ref="J46">_xlfn.IFS(Table138131415[[#This Row],[Allowed Hours]]=0,0,Table138131415[[#This Row],[Allowed Hours]]&lt;25.3,25.3,Table138131415[[#This Row],[Allowed Hours]]&gt;25.3,Table138131415[[#This Row],[Allowed Hours]])</f>
        <v>0</v>
      </c>
      <c r="K46" s="18"/>
      <c r="L46" s="19">
        <f>K46-Table138131415[[#This Row],[Adj Allowed Hrs]]</f>
        <v>0</v>
      </c>
    </row>
    <row r="47" spans="5:12">
      <c r="E47" s="14" t="s">
        <v>16</v>
      </c>
      <c r="F47" s="15">
        <v>283</v>
      </c>
      <c r="G47" s="16"/>
      <c r="H47" s="17">
        <v>0.79</v>
      </c>
      <c r="I47" s="17">
        <f>Table138131415[[#This Row],[LHC]]*Table138131415[[#This Row],[Cars WTD (EDIT)]]</f>
        <v>0</v>
      </c>
      <c r="J47" s="17" cm="1">
        <f t="array" ref="J47">_xlfn.IFS(Table138131415[[#This Row],[Allowed Hours]]=0,0,Table138131415[[#This Row],[Allowed Hours]]&lt;25.3,25.3,Table138131415[[#This Row],[Allowed Hours]]&gt;25.3,Table138131415[[#This Row],[Allowed Hours]])</f>
        <v>0</v>
      </c>
      <c r="K47" s="18"/>
      <c r="L47" s="19">
        <f>K47-Table138131415[[#This Row],[Adj Allowed Hrs]]</f>
        <v>0</v>
      </c>
    </row>
    <row r="48" spans="5:12">
      <c r="E48" s="14" t="s">
        <v>16</v>
      </c>
      <c r="F48" s="15">
        <v>847</v>
      </c>
      <c r="G48" s="16"/>
      <c r="H48" s="17">
        <v>0.79</v>
      </c>
      <c r="I48" s="17">
        <f>Table138131415[[#This Row],[LHC]]*Table138131415[[#This Row],[Cars WTD (EDIT)]]</f>
        <v>0</v>
      </c>
      <c r="J48" s="17" cm="1">
        <f t="array" ref="J48">_xlfn.IFS(Table138131415[[#This Row],[Allowed Hours]]=0,0,Table138131415[[#This Row],[Allowed Hours]]&lt;25.3,25.3,Table138131415[[#This Row],[Allowed Hours]]&gt;25.3,Table138131415[[#This Row],[Allowed Hours]])</f>
        <v>0</v>
      </c>
      <c r="K48" s="18"/>
      <c r="L48" s="19">
        <f>K48-Table138131415[[#This Row],[Adj Allowed Hrs]]</f>
        <v>0</v>
      </c>
    </row>
    <row r="49" spans="5:12">
      <c r="E49" s="14" t="s">
        <v>16</v>
      </c>
      <c r="F49" s="15">
        <v>865</v>
      </c>
      <c r="G49" s="16"/>
      <c r="H49" s="17">
        <v>0.79</v>
      </c>
      <c r="I49" s="17">
        <f>Table138131415[[#This Row],[LHC]]*Table138131415[[#This Row],[Cars WTD (EDIT)]]</f>
        <v>0</v>
      </c>
      <c r="J49" s="17" cm="1">
        <f t="array" ref="J49">_xlfn.IFS(Table138131415[[#This Row],[Allowed Hours]]=0,0,Table138131415[[#This Row],[Allowed Hours]]&lt;25.3,25.3,Table138131415[[#This Row],[Allowed Hours]]&gt;25.3,Table138131415[[#This Row],[Allowed Hours]])</f>
        <v>0</v>
      </c>
      <c r="K49" s="18"/>
      <c r="L49" s="19">
        <f>K49-Table138131415[[#This Row],[Adj Allowed Hrs]]</f>
        <v>0</v>
      </c>
    </row>
    <row r="50" spans="5:12">
      <c r="E50" s="14" t="s">
        <v>16</v>
      </c>
      <c r="F50" s="15">
        <v>919</v>
      </c>
      <c r="G50" s="16"/>
      <c r="H50" s="17">
        <v>0.79</v>
      </c>
      <c r="I50" s="17">
        <f>Table138131415[[#This Row],[LHC]]*Table138131415[[#This Row],[Cars WTD (EDIT)]]</f>
        <v>0</v>
      </c>
      <c r="J50" s="17" cm="1">
        <f t="array" ref="J50">_xlfn.IFS(Table138131415[[#This Row],[Allowed Hours]]=0,0,Table138131415[[#This Row],[Allowed Hours]]&lt;25.3,25.3,Table138131415[[#This Row],[Allowed Hours]]&gt;25.3,Table138131415[[#This Row],[Allowed Hours]])</f>
        <v>0</v>
      </c>
      <c r="K50" s="18"/>
      <c r="L50" s="19">
        <f>K50-Table138131415[[#This Row],[Adj Allowed Hrs]]</f>
        <v>0</v>
      </c>
    </row>
    <row r="51" spans="5:12">
      <c r="E51" s="14" t="s">
        <v>16</v>
      </c>
      <c r="F51" s="15">
        <v>954</v>
      </c>
      <c r="G51" s="16"/>
      <c r="H51" s="17">
        <v>0.79</v>
      </c>
      <c r="I51" s="17">
        <f>Table138131415[[#This Row],[LHC]]*Table138131415[[#This Row],[Cars WTD (EDIT)]]</f>
        <v>0</v>
      </c>
      <c r="J51" s="17" cm="1">
        <f t="array" ref="J51">_xlfn.IFS(Table138131415[[#This Row],[Allowed Hours]]=0,0,Table138131415[[#This Row],[Allowed Hours]]&lt;25.3,25.3,Table138131415[[#This Row],[Allowed Hours]]&gt;25.3,Table138131415[[#This Row],[Allowed Hours]])</f>
        <v>0</v>
      </c>
      <c r="K51" s="18"/>
      <c r="L51" s="19">
        <f>K51-Table138131415[[#This Row],[Adj Allowed Hrs]]</f>
        <v>0</v>
      </c>
    </row>
    <row r="52" spans="5:12">
      <c r="E52" s="14" t="s">
        <v>16</v>
      </c>
      <c r="F52" s="15">
        <v>3017</v>
      </c>
      <c r="G52" s="16"/>
      <c r="H52" s="17">
        <v>0.79</v>
      </c>
      <c r="I52" s="17">
        <f>Table138131415[[#This Row],[LHC]]*Table138131415[[#This Row],[Cars WTD (EDIT)]]</f>
        <v>0</v>
      </c>
      <c r="J52" s="17" cm="1">
        <f t="array" ref="J52">_xlfn.IFS(Table138131415[[#This Row],[Allowed Hours]]=0,0,Table138131415[[#This Row],[Allowed Hours]]&lt;25.3,25.3,Table138131415[[#This Row],[Allowed Hours]]&gt;25.3,Table138131415[[#This Row],[Allowed Hours]])</f>
        <v>0</v>
      </c>
      <c r="K52" s="18"/>
      <c r="L52" s="19">
        <f>K52-Table138131415[[#This Row],[Adj Allowed Hrs]]</f>
        <v>0</v>
      </c>
    </row>
    <row r="53" spans="5:12">
      <c r="E53" s="14" t="s">
        <v>26</v>
      </c>
      <c r="F53" s="15">
        <v>1</v>
      </c>
      <c r="G53" s="16"/>
      <c r="H53" s="17">
        <v>0.79</v>
      </c>
      <c r="I53" s="17">
        <f>Table138131415[[#This Row],[LHC]]*Table138131415[[#This Row],[Cars WTD (EDIT)]]</f>
        <v>0</v>
      </c>
      <c r="J53" s="17" cm="1">
        <f t="array" ref="J53">_xlfn.IFS(Table138131415[[#This Row],[Allowed Hours]]=0,0,Table138131415[[#This Row],[Allowed Hours]]&lt;25.3,25.3,Table138131415[[#This Row],[Allowed Hours]]&gt;25.3,Table138131415[[#This Row],[Allowed Hours]])</f>
        <v>0</v>
      </c>
      <c r="K53" s="18"/>
      <c r="L53" s="19">
        <f>K53-Table138131415[[#This Row],[Adj Allowed Hrs]]</f>
        <v>0</v>
      </c>
    </row>
    <row r="54" spans="5:12">
      <c r="E54" s="14" t="s">
        <v>26</v>
      </c>
      <c r="F54" s="15">
        <v>2</v>
      </c>
      <c r="G54" s="16"/>
      <c r="H54" s="17">
        <v>0.79</v>
      </c>
      <c r="I54" s="17">
        <f>Table138131415[[#This Row],[LHC]]*Table138131415[[#This Row],[Cars WTD (EDIT)]]</f>
        <v>0</v>
      </c>
      <c r="J54" s="17" cm="1">
        <f t="array" ref="J54">_xlfn.IFS(Table138131415[[#This Row],[Allowed Hours]]=0,0,Table138131415[[#This Row],[Allowed Hours]]&lt;25.3,25.3,Table138131415[[#This Row],[Allowed Hours]]&gt;25.3,Table138131415[[#This Row],[Allowed Hours]])</f>
        <v>0</v>
      </c>
      <c r="K54" s="18"/>
      <c r="L54" s="19">
        <f>K54-Table138131415[[#This Row],[Adj Allowed Hrs]]</f>
        <v>0</v>
      </c>
    </row>
    <row r="55" spans="5:12">
      <c r="E55" s="14" t="s">
        <v>26</v>
      </c>
      <c r="F55" s="15">
        <v>4</v>
      </c>
      <c r="G55" s="16"/>
      <c r="H55" s="17">
        <v>0.79</v>
      </c>
      <c r="I55" s="17">
        <f>Table138131415[[#This Row],[LHC]]*Table138131415[[#This Row],[Cars WTD (EDIT)]]</f>
        <v>0</v>
      </c>
      <c r="J55" s="17" cm="1">
        <f t="array" ref="J55">_xlfn.IFS(Table138131415[[#This Row],[Allowed Hours]]=0,0,Table138131415[[#This Row],[Allowed Hours]]&lt;25.3,25.3,Table138131415[[#This Row],[Allowed Hours]]&gt;25.3,Table138131415[[#This Row],[Allowed Hours]])</f>
        <v>0</v>
      </c>
      <c r="K55" s="18"/>
      <c r="L55" s="19">
        <f>K55-Table138131415[[#This Row],[Adj Allowed Hrs]]</f>
        <v>0</v>
      </c>
    </row>
    <row r="56" spans="5:12">
      <c r="E56" s="14" t="s">
        <v>26</v>
      </c>
      <c r="F56" s="15">
        <v>6</v>
      </c>
      <c r="G56" s="16"/>
      <c r="H56" s="17">
        <v>0.79</v>
      </c>
      <c r="I56" s="17">
        <f>Table138131415[[#This Row],[LHC]]*Table138131415[[#This Row],[Cars WTD (EDIT)]]</f>
        <v>0</v>
      </c>
      <c r="J56" s="17" cm="1">
        <f t="array" ref="J56">_xlfn.IFS(Table138131415[[#This Row],[Allowed Hours]]=0,0,Table138131415[[#This Row],[Allowed Hours]]&lt;25.3,25.3,Table138131415[[#This Row],[Allowed Hours]]&gt;25.3,Table138131415[[#This Row],[Allowed Hours]])</f>
        <v>0</v>
      </c>
      <c r="K56" s="18"/>
      <c r="L56" s="19">
        <f>K56-Table138131415[[#This Row],[Adj Allowed Hrs]]</f>
        <v>0</v>
      </c>
    </row>
    <row r="57" spans="5:12">
      <c r="E57" s="14" t="s">
        <v>26</v>
      </c>
      <c r="F57" s="15">
        <v>15</v>
      </c>
      <c r="G57" s="16"/>
      <c r="H57" s="17">
        <v>0.79</v>
      </c>
      <c r="I57" s="17">
        <f>Table138131415[[#This Row],[LHC]]*Table138131415[[#This Row],[Cars WTD (EDIT)]]</f>
        <v>0</v>
      </c>
      <c r="J57" s="17" cm="1">
        <f t="array" ref="J57">_xlfn.IFS(Table138131415[[#This Row],[Allowed Hours]]=0,0,Table138131415[[#This Row],[Allowed Hours]]&lt;25.3,25.3,Table138131415[[#This Row],[Allowed Hours]]&gt;25.3,Table138131415[[#This Row],[Allowed Hours]])</f>
        <v>0</v>
      </c>
      <c r="K57" s="18"/>
      <c r="L57" s="19">
        <f>K57-Table138131415[[#This Row],[Adj Allowed Hrs]]</f>
        <v>0</v>
      </c>
    </row>
    <row r="58" spans="5:12">
      <c r="E58" s="14" t="s">
        <v>26</v>
      </c>
      <c r="F58" s="15">
        <v>28</v>
      </c>
      <c r="G58" s="16"/>
      <c r="H58" s="17">
        <v>0.79</v>
      </c>
      <c r="I58" s="17">
        <f>Table138131415[[#This Row],[LHC]]*Table138131415[[#This Row],[Cars WTD (EDIT)]]</f>
        <v>0</v>
      </c>
      <c r="J58" s="17" cm="1">
        <f t="array" ref="J58">_xlfn.IFS(Table138131415[[#This Row],[Allowed Hours]]=0,0,Table138131415[[#This Row],[Allowed Hours]]&lt;25.3,25.3,Table138131415[[#This Row],[Allowed Hours]]&gt;25.3,Table138131415[[#This Row],[Allowed Hours]])</f>
        <v>0</v>
      </c>
      <c r="K58" s="18"/>
      <c r="L58" s="19">
        <f>K58-Table138131415[[#This Row],[Adj Allowed Hrs]]</f>
        <v>0</v>
      </c>
    </row>
    <row r="59" spans="5:12">
      <c r="E59" s="14" t="s">
        <v>26</v>
      </c>
      <c r="F59" s="15">
        <v>32</v>
      </c>
      <c r="G59" s="16"/>
      <c r="H59" s="17">
        <v>0.79</v>
      </c>
      <c r="I59" s="17">
        <f>Table138131415[[#This Row],[LHC]]*Table138131415[[#This Row],[Cars WTD (EDIT)]]</f>
        <v>0</v>
      </c>
      <c r="J59" s="17" cm="1">
        <f t="array" ref="J59">_xlfn.IFS(Table138131415[[#This Row],[Allowed Hours]]=0,0,Table138131415[[#This Row],[Allowed Hours]]&lt;25.3,25.3,Table138131415[[#This Row],[Allowed Hours]]&gt;25.3,Table138131415[[#This Row],[Allowed Hours]])</f>
        <v>0</v>
      </c>
      <c r="K59" s="18"/>
      <c r="L59" s="19">
        <f>K59-Table138131415[[#This Row],[Adj Allowed Hrs]]</f>
        <v>0</v>
      </c>
    </row>
    <row r="60" spans="5:12">
      <c r="E60" s="14" t="s">
        <v>26</v>
      </c>
      <c r="F60" s="15">
        <v>606</v>
      </c>
      <c r="G60" s="16"/>
      <c r="H60" s="17">
        <v>0.79</v>
      </c>
      <c r="I60" s="17">
        <f>Table138131415[[#This Row],[LHC]]*Table138131415[[#This Row],[Cars WTD (EDIT)]]</f>
        <v>0</v>
      </c>
      <c r="J60" s="17" cm="1">
        <f t="array" ref="J60">_xlfn.IFS(Table138131415[[#This Row],[Allowed Hours]]=0,0,Table138131415[[#This Row],[Allowed Hours]]&lt;25.3,25.3,Table138131415[[#This Row],[Allowed Hours]]&gt;25.3,Table138131415[[#This Row],[Allowed Hours]])</f>
        <v>0</v>
      </c>
      <c r="K60" s="18"/>
      <c r="L60" s="19">
        <f>K60-Table138131415[[#This Row],[Adj Allowed Hrs]]</f>
        <v>0</v>
      </c>
    </row>
    <row r="61" spans="5:12">
      <c r="E61" s="14" t="s">
        <v>26</v>
      </c>
      <c r="F61" s="15">
        <v>999</v>
      </c>
      <c r="G61" s="16"/>
      <c r="H61" s="17">
        <v>0.79</v>
      </c>
      <c r="I61" s="17">
        <f>Table138131415[[#This Row],[LHC]]*Table138131415[[#This Row],[Cars WTD (EDIT)]]</f>
        <v>0</v>
      </c>
      <c r="J61" s="17" cm="1">
        <f t="array" ref="J61">_xlfn.IFS(Table138131415[[#This Row],[Allowed Hours]]=0,0,Table138131415[[#This Row],[Allowed Hours]]&lt;25.3,25.3,Table138131415[[#This Row],[Allowed Hours]]&gt;25.3,Table138131415[[#This Row],[Allowed Hours]])</f>
        <v>0</v>
      </c>
      <c r="K61" s="18"/>
      <c r="L61" s="19">
        <f>K61-Table138131415[[#This Row],[Adj Allowed Hrs]]</f>
        <v>0</v>
      </c>
    </row>
    <row r="62" spans="5:12">
      <c r="E62" s="14" t="s">
        <v>27</v>
      </c>
      <c r="F62" s="15">
        <v>8</v>
      </c>
      <c r="G62" s="16"/>
      <c r="H62" s="17">
        <v>0.79</v>
      </c>
      <c r="I62" s="17">
        <f>Table138131415[[#This Row],[LHC]]*Table138131415[[#This Row],[Cars WTD (EDIT)]]</f>
        <v>0</v>
      </c>
      <c r="J62" s="17" cm="1">
        <f t="array" ref="J62">_xlfn.IFS(Table138131415[[#This Row],[Allowed Hours]]=0,0,Table138131415[[#This Row],[Allowed Hours]]&lt;25.3,25.3,Table138131415[[#This Row],[Allowed Hours]]&gt;25.3,Table138131415[[#This Row],[Allowed Hours]])</f>
        <v>0</v>
      </c>
      <c r="K62" s="18"/>
      <c r="L62" s="19">
        <f>K62-Table138131415[[#This Row],[Adj Allowed Hrs]]</f>
        <v>0</v>
      </c>
    </row>
    <row r="63" spans="5:12">
      <c r="E63" s="14" t="s">
        <v>27</v>
      </c>
      <c r="F63" s="15">
        <v>10</v>
      </c>
      <c r="G63" s="16"/>
      <c r="H63" s="17">
        <v>0.79</v>
      </c>
      <c r="I63" s="17">
        <f>Table138131415[[#This Row],[LHC]]*Table138131415[[#This Row],[Cars WTD (EDIT)]]</f>
        <v>0</v>
      </c>
      <c r="J63" s="17" cm="1">
        <f t="array" ref="J63">_xlfn.IFS(Table138131415[[#This Row],[Allowed Hours]]=0,0,Table138131415[[#This Row],[Allowed Hours]]&lt;25.3,25.3,Table138131415[[#This Row],[Allowed Hours]]&gt;25.3,Table138131415[[#This Row],[Allowed Hours]])</f>
        <v>0</v>
      </c>
      <c r="K63" s="18"/>
      <c r="L63" s="19">
        <f>K63-Table138131415[[#This Row],[Adj Allowed Hrs]]</f>
        <v>0</v>
      </c>
    </row>
    <row r="64" spans="5:12">
      <c r="E64" s="14" t="s">
        <v>27</v>
      </c>
      <c r="F64" s="15">
        <v>12</v>
      </c>
      <c r="G64" s="16"/>
      <c r="H64" s="17">
        <v>0.79</v>
      </c>
      <c r="I64" s="17">
        <f>Table138131415[[#This Row],[LHC]]*Table138131415[[#This Row],[Cars WTD (EDIT)]]</f>
        <v>0</v>
      </c>
      <c r="J64" s="17" cm="1">
        <f t="array" ref="J64">_xlfn.IFS(Table138131415[[#This Row],[Allowed Hours]]=0,0,Table138131415[[#This Row],[Allowed Hours]]&lt;25.3,25.3,Table138131415[[#This Row],[Allowed Hours]]&gt;25.3,Table138131415[[#This Row],[Allowed Hours]])</f>
        <v>0</v>
      </c>
      <c r="K64" s="18"/>
      <c r="L64" s="19">
        <f>K64-Table138131415[[#This Row],[Adj Allowed Hrs]]</f>
        <v>0</v>
      </c>
    </row>
    <row r="65" spans="5:12">
      <c r="E65" s="14" t="s">
        <v>27</v>
      </c>
      <c r="F65" s="15">
        <v>13</v>
      </c>
      <c r="G65" s="16"/>
      <c r="H65" s="17">
        <v>0.79</v>
      </c>
      <c r="I65" s="17">
        <f>Table138131415[[#This Row],[LHC]]*Table138131415[[#This Row],[Cars WTD (EDIT)]]</f>
        <v>0</v>
      </c>
      <c r="J65" s="17" cm="1">
        <f t="array" ref="J65">_xlfn.IFS(Table138131415[[#This Row],[Allowed Hours]]=0,0,Table138131415[[#This Row],[Allowed Hours]]&lt;25.3,25.3,Table138131415[[#This Row],[Allowed Hours]]&gt;25.3,Table138131415[[#This Row],[Allowed Hours]])</f>
        <v>0</v>
      </c>
      <c r="K65" s="18"/>
      <c r="L65" s="19">
        <f>K65-Table138131415[[#This Row],[Adj Allowed Hrs]]</f>
        <v>0</v>
      </c>
    </row>
    <row r="66" spans="5:12">
      <c r="E66" s="14" t="s">
        <v>27</v>
      </c>
      <c r="F66" s="15">
        <v>31</v>
      </c>
      <c r="G66" s="16"/>
      <c r="H66" s="17">
        <v>0.79</v>
      </c>
      <c r="I66" s="17">
        <f>Table138131415[[#This Row],[LHC]]*Table138131415[[#This Row],[Cars WTD (EDIT)]]</f>
        <v>0</v>
      </c>
      <c r="J66" s="17" cm="1">
        <f t="array" ref="J66">_xlfn.IFS(Table138131415[[#This Row],[Allowed Hours]]=0,0,Table138131415[[#This Row],[Allowed Hours]]&lt;25.3,25.3,Table138131415[[#This Row],[Allowed Hours]]&gt;25.3,Table138131415[[#This Row],[Allowed Hours]])</f>
        <v>0</v>
      </c>
      <c r="K66" s="18"/>
      <c r="L66" s="19">
        <f>K66-Table138131415[[#This Row],[Adj Allowed Hrs]]</f>
        <v>0</v>
      </c>
    </row>
    <row r="67" spans="5:12">
      <c r="E67" s="14" t="s">
        <v>27</v>
      </c>
      <c r="F67" s="15">
        <v>92</v>
      </c>
      <c r="G67" s="16"/>
      <c r="H67" s="17">
        <v>0.79</v>
      </c>
      <c r="I67" s="17">
        <f>Table138131415[[#This Row],[LHC]]*Table138131415[[#This Row],[Cars WTD (EDIT)]]</f>
        <v>0</v>
      </c>
      <c r="J67" s="17" cm="1">
        <f t="array" ref="J67">_xlfn.IFS(Table138131415[[#This Row],[Allowed Hours]]=0,0,Table138131415[[#This Row],[Allowed Hours]]&lt;25.3,25.3,Table138131415[[#This Row],[Allowed Hours]]&gt;25.3,Table138131415[[#This Row],[Allowed Hours]])</f>
        <v>0</v>
      </c>
      <c r="K67" s="18"/>
      <c r="L67" s="19">
        <f>K67-Table138131415[[#This Row],[Adj Allowed Hrs]]</f>
        <v>0</v>
      </c>
    </row>
    <row r="68" spans="5:12">
      <c r="E68" s="14" t="s">
        <v>27</v>
      </c>
      <c r="F68" s="15">
        <v>116</v>
      </c>
      <c r="G68" s="16"/>
      <c r="H68" s="17">
        <v>0.79</v>
      </c>
      <c r="I68" s="17">
        <f>Table138131415[[#This Row],[LHC]]*Table138131415[[#This Row],[Cars WTD (EDIT)]]</f>
        <v>0</v>
      </c>
      <c r="J68" s="17" cm="1">
        <f t="array" ref="J68">_xlfn.IFS(Table138131415[[#This Row],[Allowed Hours]]=0,0,Table138131415[[#This Row],[Allowed Hours]]&lt;25.3,25.3,Table138131415[[#This Row],[Allowed Hours]]&gt;25.3,Table138131415[[#This Row],[Allowed Hours]])</f>
        <v>0</v>
      </c>
      <c r="K68" s="18"/>
      <c r="L68" s="19">
        <f>K68-Table138131415[[#This Row],[Adj Allowed Hrs]]</f>
        <v>0</v>
      </c>
    </row>
    <row r="69" spans="5:12">
      <c r="E69" s="20" t="s">
        <v>27</v>
      </c>
      <c r="F69" s="21">
        <v>870</v>
      </c>
      <c r="G69" s="22"/>
      <c r="H69" s="23">
        <v>0.79</v>
      </c>
      <c r="I69" s="17">
        <f>Table138131415[[#This Row],[LHC]]*Table138131415[[#This Row],[Cars WTD (EDIT)]]</f>
        <v>0</v>
      </c>
      <c r="J69" s="23" cm="1">
        <f t="array" ref="J69">_xlfn.IFS(Table138131415[[#This Row],[Allowed Hours]]=0,0,Table138131415[[#This Row],[Allowed Hours]]&lt;25.3,25.3,Table138131415[[#This Row],[Allowed Hours]]&gt;25.3,Table138131415[[#This Row],[Allowed Hours]])</f>
        <v>0</v>
      </c>
      <c r="K69" s="24"/>
      <c r="L69" s="25">
        <f>K69-Table138131415[[#This Row],[Adj Allowed Hrs]]</f>
        <v>0</v>
      </c>
    </row>
    <row r="70" spans="5:12">
      <c r="E70" s="20" t="s">
        <v>27</v>
      </c>
      <c r="F70" s="21">
        <v>3004</v>
      </c>
      <c r="G70" s="22"/>
      <c r="H70" s="23">
        <v>0.79</v>
      </c>
      <c r="I70" s="23">
        <f>Table138131415[[#This Row],[LHC]]*Table138131415[[#This Row],[Cars WTD (EDIT)]]</f>
        <v>0</v>
      </c>
      <c r="J70" s="23" cm="1">
        <f t="array" ref="J70">_xlfn.IFS(Table138131415[[#This Row],[Allowed Hours]]=0,0,Table138131415[[#This Row],[Allowed Hours]]&lt;25.3,25.3,Table138131415[[#This Row],[Allowed Hours]]&gt;25.3,Table138131415[[#This Row],[Allowed Hours]])</f>
        <v>0</v>
      </c>
      <c r="K70" s="24"/>
      <c r="L70" s="25">
        <f>K70-Table138131415[[#This Row],[Adj Allowed Hrs]]</f>
        <v>0</v>
      </c>
    </row>
  </sheetData>
  <sheetProtection sheet="1" objects="1" scenarios="1" selectLockedCells="1" sort="0" autoFilter="0" pivotTables="0"/>
  <protectedRanges>
    <protectedRange sqref="K14:K70" name="Range1"/>
  </protectedRanges>
  <mergeCells count="1">
    <mergeCell ref="B2:C2"/>
  </mergeCells>
  <conditionalFormatting sqref="I14:J70">
    <cfRule type="cellIs" dxfId="29" priority="6" operator="lessThan">
      <formula>25.3</formula>
    </cfRule>
  </conditionalFormatting>
  <conditionalFormatting sqref="L14:L70">
    <cfRule type="cellIs" dxfId="28" priority="9" operator="greaterThan">
      <formula>0</formula>
    </cfRule>
    <cfRule type="cellIs" dxfId="27" priority="10" operator="lessThan">
      <formula>0</formula>
    </cfRule>
  </conditionalFormatting>
  <conditionalFormatting sqref="J3:J10">
    <cfRule type="cellIs" dxfId="26" priority="2" operator="greaterThan">
      <formula>0</formula>
    </cfRule>
    <cfRule type="cellIs" dxfId="25" priority="3" operator="lessThan">
      <formula>0</formula>
    </cfRule>
  </conditionalFormatting>
  <conditionalFormatting sqref="I70:J70">
    <cfRule type="cellIs" dxfId="24" priority="1" operator="lessThan">
      <formula>25.3</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A5E0-98FE-401A-8134-63E6E22302B2}">
  <dimension ref="B2:S70"/>
  <sheetViews>
    <sheetView tabSelected="1" workbookViewId="0">
      <selection activeCell="N28" sqref="N28"/>
    </sheetView>
  </sheetViews>
  <sheetFormatPr defaultRowHeight="12.75"/>
  <cols>
    <col min="1" max="1" width="2.5703125" customWidth="1"/>
    <col min="2" max="2" width="18.140625" customWidth="1"/>
    <col min="3" max="9" width="13.7109375" customWidth="1"/>
    <col min="10" max="10" width="15.42578125" customWidth="1"/>
    <col min="11" max="11" width="15.140625" customWidth="1"/>
    <col min="12" max="12" width="14.7109375" customWidth="1"/>
    <col min="13" max="13" width="18" customWidth="1"/>
    <col min="14" max="14" width="17.42578125" customWidth="1"/>
    <col min="15" max="15" width="9.7109375" customWidth="1"/>
    <col min="16" max="16" width="17" bestFit="1" customWidth="1"/>
    <col min="17" max="17" width="10.42578125" customWidth="1"/>
    <col min="18" max="18" width="23.7109375" bestFit="1" customWidth="1"/>
    <col min="19" max="19" width="10.7109375" bestFit="1" customWidth="1"/>
    <col min="20" max="20" width="13.7109375" bestFit="1" customWidth="1"/>
    <col min="21" max="21" width="11.28515625" bestFit="1" customWidth="1"/>
  </cols>
  <sheetData>
    <row r="2" spans="2:19">
      <c r="B2" s="33"/>
      <c r="C2" s="33" t="s">
        <v>7</v>
      </c>
      <c r="D2" s="33" t="s">
        <v>9</v>
      </c>
      <c r="E2" s="33" t="s">
        <v>11</v>
      </c>
      <c r="F2" s="33" t="s">
        <v>13</v>
      </c>
      <c r="G2" s="33" t="s">
        <v>15</v>
      </c>
      <c r="H2" s="33" t="s">
        <v>17</v>
      </c>
      <c r="I2" s="33" t="s">
        <v>19</v>
      </c>
      <c r="J2" s="33" t="s">
        <v>28</v>
      </c>
      <c r="K2" s="33" t="s">
        <v>29</v>
      </c>
      <c r="L2" s="33" t="s">
        <v>30</v>
      </c>
      <c r="M2" s="39" t="s">
        <v>31</v>
      </c>
      <c r="O2" s="33" t="s">
        <v>32</v>
      </c>
      <c r="P2" s="33" t="s">
        <v>33</v>
      </c>
      <c r="Q2" s="33" t="s">
        <v>34</v>
      </c>
      <c r="R2" s="34" t="s">
        <v>35</v>
      </c>
    </row>
    <row r="3" spans="2:19">
      <c r="B3" s="33" t="s">
        <v>8</v>
      </c>
      <c r="C3" s="40">
        <f>Sunday!J3</f>
        <v>-16.2</v>
      </c>
      <c r="D3" s="40">
        <f>Monday!J3</f>
        <v>-11.090000000000003</v>
      </c>
      <c r="E3" s="40">
        <f>Tuesday!J3</f>
        <v>10.899999999999993</v>
      </c>
      <c r="F3" s="40">
        <f>Wednesday!J3</f>
        <v>28.859999999999992</v>
      </c>
      <c r="G3" s="40">
        <f>Thursday!J3</f>
        <v>-23.150000000000009</v>
      </c>
      <c r="H3" s="40">
        <f>Friday!J3</f>
        <v>0</v>
      </c>
      <c r="I3" s="40">
        <f>Saturday!J3</f>
        <v>0</v>
      </c>
      <c r="J3" s="40">
        <f>SUM(C3:I3)</f>
        <v>-10.680000000000025</v>
      </c>
      <c r="K3" s="40">
        <f>SUM(Sunday!I3+Monday!I3+Tuesday!I3+Wednesday!I3+Thursday!I3+Friday!I3+Saturday!I3)</f>
        <v>837.72</v>
      </c>
      <c r="L3" s="40">
        <f>SUM(M14:M21)</f>
        <v>1204</v>
      </c>
      <c r="M3" s="40">
        <f>K3-L3</f>
        <v>-366.28</v>
      </c>
      <c r="O3" s="35">
        <v>0</v>
      </c>
      <c r="P3" s="36">
        <v>0</v>
      </c>
      <c r="Q3" s="37">
        <f>(O3*10)+(P3*50)</f>
        <v>0</v>
      </c>
      <c r="R3" s="38">
        <f>M3-Q3</f>
        <v>-366.28</v>
      </c>
    </row>
    <row r="4" spans="2:19">
      <c r="B4" s="33" t="s">
        <v>10</v>
      </c>
      <c r="C4" s="40">
        <f>Sunday!J4</f>
        <v>-23.840000000000003</v>
      </c>
      <c r="D4" s="40">
        <f>Monday!J4</f>
        <v>6.629999999999999</v>
      </c>
      <c r="E4" s="40">
        <f>Tuesday!J4</f>
        <v>33.11999999999999</v>
      </c>
      <c r="F4" s="40">
        <f>Wednesday!J4</f>
        <v>43.92</v>
      </c>
      <c r="G4" s="40">
        <f>Thursday!J4</f>
        <v>11.439999999999998</v>
      </c>
      <c r="H4" s="40">
        <f>Friday!J4</f>
        <v>29.7</v>
      </c>
      <c r="I4" s="40">
        <f>Saturday!J4</f>
        <v>0</v>
      </c>
      <c r="J4" s="40">
        <f t="shared" ref="J4:J9" si="0">SUM(C4:I4)</f>
        <v>100.96999999999998</v>
      </c>
      <c r="K4" s="40">
        <f>SUM(Sunday!I4+Monday!I4+Tuesday!I4+Wednesday!I4+Thursday!I4+Friday!I4+Saturday!I4)</f>
        <v>1147.6999999999998</v>
      </c>
      <c r="L4" s="40">
        <f>SUM(M22:M28)</f>
        <v>1204</v>
      </c>
      <c r="M4" s="40">
        <f t="shared" ref="M4:M9" si="1">K4-L4</f>
        <v>-56.300000000000182</v>
      </c>
      <c r="O4" s="35">
        <v>5</v>
      </c>
      <c r="P4" s="36">
        <v>1</v>
      </c>
      <c r="Q4" s="37">
        <f t="shared" ref="Q4:Q10" si="2">(O4*10)+(P4*50)</f>
        <v>100</v>
      </c>
      <c r="R4" s="38">
        <f t="shared" ref="R4:R10" si="3">M4-Q4</f>
        <v>-156.30000000000018</v>
      </c>
    </row>
    <row r="5" spans="2:19">
      <c r="B5" s="33" t="s">
        <v>12</v>
      </c>
      <c r="C5" s="40">
        <f>Sunday!J5</f>
        <v>-2.5300000000000011</v>
      </c>
      <c r="D5" s="40">
        <f>Monday!J5</f>
        <v>-3.7000000000000064</v>
      </c>
      <c r="E5" s="40">
        <f>Tuesday!J5</f>
        <v>-20.43000000000001</v>
      </c>
      <c r="F5" s="40">
        <f>Wednesday!J5</f>
        <v>-1.5500000000000114</v>
      </c>
      <c r="G5" s="40">
        <f>Thursday!J5</f>
        <v>1.6899999999999871</v>
      </c>
      <c r="H5" s="40">
        <f>Friday!J5</f>
        <v>-12.390000000000008</v>
      </c>
      <c r="I5" s="40">
        <f>Saturday!J5</f>
        <v>0</v>
      </c>
      <c r="J5" s="40">
        <f t="shared" si="0"/>
        <v>-38.910000000000053</v>
      </c>
      <c r="K5" s="40">
        <f>SUM(Sunday!I5+Monday!I5+Tuesday!I5+Wednesday!I5+Thursday!I5+Friday!I5+Saturday!I5)</f>
        <v>1566</v>
      </c>
      <c r="L5" s="40">
        <f>SUM(M29:M37)</f>
        <v>1731.7199999999998</v>
      </c>
      <c r="M5" s="40">
        <f t="shared" si="1"/>
        <v>-165.7199999999998</v>
      </c>
      <c r="O5" s="35">
        <v>2</v>
      </c>
      <c r="P5" s="36">
        <v>0</v>
      </c>
      <c r="Q5" s="37">
        <f t="shared" si="2"/>
        <v>20</v>
      </c>
      <c r="R5" s="38">
        <f t="shared" si="3"/>
        <v>-185.7199999999998</v>
      </c>
    </row>
    <row r="6" spans="2:19">
      <c r="B6" s="33" t="s">
        <v>14</v>
      </c>
      <c r="C6" s="40">
        <f>Sunday!J6</f>
        <v>-24.96</v>
      </c>
      <c r="D6" s="40">
        <f>Monday!J6</f>
        <v>1.5799999999999983</v>
      </c>
      <c r="E6" s="40">
        <f>Tuesday!J6</f>
        <v>-11.970000000000008</v>
      </c>
      <c r="F6" s="40">
        <f>Wednesday!J6</f>
        <v>14.619999999999994</v>
      </c>
      <c r="G6" s="40">
        <f>Thursday!J6</f>
        <v>-18.140000000000008</v>
      </c>
      <c r="H6" s="40">
        <f>Friday!J6</f>
        <v>-44.93</v>
      </c>
      <c r="I6" s="40">
        <f>Saturday!J6</f>
        <v>0</v>
      </c>
      <c r="J6" s="40">
        <f t="shared" ref="J6" si="4">SUM(C6:I6)</f>
        <v>-83.800000000000011</v>
      </c>
      <c r="K6" s="40">
        <f>SUM(Sunday!I6+Monday!I6+Tuesday!I6+Wednesday!I6+Thursday!I6+Friday!I6+Saturday!I6)</f>
        <v>1159.93</v>
      </c>
      <c r="L6" s="40">
        <f>SUM(M38:M45)</f>
        <v>1418.0900000000001</v>
      </c>
      <c r="M6" s="40">
        <f t="shared" si="1"/>
        <v>-258.16000000000008</v>
      </c>
      <c r="O6" s="35">
        <v>0</v>
      </c>
      <c r="P6" s="36">
        <v>0</v>
      </c>
      <c r="Q6" s="37">
        <f t="shared" si="2"/>
        <v>0</v>
      </c>
      <c r="R6" s="38">
        <f t="shared" ref="R6" si="5">M6-Q6</f>
        <v>-258.16000000000008</v>
      </c>
    </row>
    <row r="7" spans="2:19">
      <c r="B7" s="33" t="s">
        <v>16</v>
      </c>
      <c r="C7" s="40">
        <f>Sunday!J7</f>
        <v>-26.49</v>
      </c>
      <c r="D7" s="40">
        <f>Monday!J7</f>
        <v>2.2999999999999972</v>
      </c>
      <c r="E7" s="40">
        <f>Tuesday!J7</f>
        <v>-1.5500000000000043</v>
      </c>
      <c r="F7" s="40">
        <f>Wednesday!J7</f>
        <v>-6.0900000000000034</v>
      </c>
      <c r="G7" s="40">
        <f>Thursday!J7</f>
        <v>-21.430000000000007</v>
      </c>
      <c r="H7" s="40">
        <f>Friday!J7</f>
        <v>0</v>
      </c>
      <c r="I7" s="40">
        <f>Saturday!J7</f>
        <v>0</v>
      </c>
      <c r="J7" s="40">
        <f t="shared" ref="J7" si="6">SUM(C7:I7)</f>
        <v>-53.260000000000019</v>
      </c>
      <c r="K7" s="40">
        <f>SUM(Sunday!I7+Monday!I7+Tuesday!I7+Wednesday!I7+Thursday!I7+Friday!I7+Saturday!I7)</f>
        <v>818.72</v>
      </c>
      <c r="L7" s="40">
        <f>SUM(M46:M52)</f>
        <v>1204</v>
      </c>
      <c r="M7" s="40">
        <f t="shared" si="1"/>
        <v>-385.28</v>
      </c>
      <c r="O7" s="35">
        <v>0</v>
      </c>
      <c r="P7" s="36">
        <v>0</v>
      </c>
      <c r="Q7" s="37">
        <f t="shared" si="2"/>
        <v>0</v>
      </c>
      <c r="R7" s="38">
        <f t="shared" si="3"/>
        <v>-385.28</v>
      </c>
    </row>
    <row r="8" spans="2:19">
      <c r="B8" s="33" t="s">
        <v>26</v>
      </c>
      <c r="C8" s="40">
        <f>Sunday!J8</f>
        <v>-6.540000000000008</v>
      </c>
      <c r="D8" s="40">
        <f>Monday!J8</f>
        <v>9.2299999999999791</v>
      </c>
      <c r="E8" s="40">
        <f>Tuesday!J8</f>
        <v>19.940000000000008</v>
      </c>
      <c r="F8" s="40">
        <f>Wednesday!J8</f>
        <v>25.139999999999986</v>
      </c>
      <c r="G8" s="40">
        <f>Thursday!J8</f>
        <v>20.779999999999994</v>
      </c>
      <c r="H8" s="40">
        <f>Friday!J8</f>
        <v>-12.830000000000023</v>
      </c>
      <c r="I8" s="40">
        <f>Saturday!J8</f>
        <v>0</v>
      </c>
      <c r="J8" s="40">
        <f t="shared" si="0"/>
        <v>55.719999999999928</v>
      </c>
      <c r="K8" s="40">
        <f>SUM(Sunday!I8+Monday!I8+Tuesday!I8+Wednesday!I8+Thursday!I8+Friday!I8+Saturday!I8)</f>
        <v>1794.92</v>
      </c>
      <c r="L8" s="40">
        <f>SUM(M53:M61)</f>
        <v>1776.05</v>
      </c>
      <c r="M8" s="40">
        <f t="shared" si="1"/>
        <v>18.870000000000118</v>
      </c>
      <c r="O8" s="35">
        <v>7</v>
      </c>
      <c r="P8" s="36">
        <v>1</v>
      </c>
      <c r="Q8" s="37">
        <f t="shared" si="2"/>
        <v>120</v>
      </c>
      <c r="R8" s="38">
        <f t="shared" si="3"/>
        <v>-101.12999999999988</v>
      </c>
    </row>
    <row r="9" spans="2:19">
      <c r="B9" s="33" t="s">
        <v>27</v>
      </c>
      <c r="C9" s="40">
        <f>Sunday!J9</f>
        <v>8.2199999999999918</v>
      </c>
      <c r="D9" s="40">
        <f>Monday!J9</f>
        <v>17.989999999999977</v>
      </c>
      <c r="E9" s="40">
        <f>Tuesday!J9</f>
        <v>6.9099999999999895</v>
      </c>
      <c r="F9" s="40">
        <f>Wednesday!J9</f>
        <v>28.529999999999976</v>
      </c>
      <c r="G9" s="40">
        <f>Thursday!J9</f>
        <v>34.72</v>
      </c>
      <c r="H9" s="40">
        <f>Friday!J9</f>
        <v>0</v>
      </c>
      <c r="I9" s="40">
        <f>Saturday!J9</f>
        <v>0</v>
      </c>
      <c r="J9" s="40">
        <f t="shared" si="0"/>
        <v>96.369999999999933</v>
      </c>
      <c r="K9" s="40">
        <f>SUM(Sunday!I9+Monday!I9+Tuesday!I9+Wednesday!I9+Thursday!I9+Friday!I9+Saturday!I9)</f>
        <v>1410.3599999999997</v>
      </c>
      <c r="L9" s="40">
        <f>SUM(M62:M70)</f>
        <v>1581.4</v>
      </c>
      <c r="M9" s="40">
        <f t="shared" si="1"/>
        <v>-171.04000000000042</v>
      </c>
      <c r="O9" s="35">
        <v>4</v>
      </c>
      <c r="P9" s="36">
        <v>1</v>
      </c>
      <c r="Q9" s="37">
        <f t="shared" si="2"/>
        <v>90</v>
      </c>
      <c r="R9" s="38">
        <f t="shared" si="3"/>
        <v>-261.04000000000042</v>
      </c>
    </row>
    <row r="10" spans="2:19">
      <c r="B10" s="33" t="s">
        <v>36</v>
      </c>
      <c r="C10" s="40">
        <f>SUM(C3:C9)</f>
        <v>-92.34</v>
      </c>
      <c r="D10" s="40">
        <f t="shared" ref="D10:J10" si="7">SUM(D3:D9)</f>
        <v>22.939999999999941</v>
      </c>
      <c r="E10" s="40">
        <f t="shared" si="7"/>
        <v>36.919999999999959</v>
      </c>
      <c r="F10" s="40">
        <f t="shared" si="7"/>
        <v>133.42999999999995</v>
      </c>
      <c r="G10" s="40">
        <f t="shared" si="7"/>
        <v>5.909999999999954</v>
      </c>
      <c r="H10" s="40">
        <f t="shared" si="7"/>
        <v>-40.450000000000031</v>
      </c>
      <c r="I10" s="40">
        <f t="shared" si="7"/>
        <v>0</v>
      </c>
      <c r="J10" s="40">
        <f t="shared" si="7"/>
        <v>66.409999999999741</v>
      </c>
      <c r="K10" s="40">
        <f>Sunday!H10+Monday!H10+Tuesday!H10+Wednesday!H10+Thursday!H10+Friday!H10+Saturday!H10</f>
        <v>6970.17</v>
      </c>
      <c r="L10" s="40">
        <f>SUM(L3:L9)</f>
        <v>10119.259999999998</v>
      </c>
      <c r="M10" s="40">
        <f>SUM(M3:M9)</f>
        <v>-1383.9100000000003</v>
      </c>
      <c r="O10" s="35">
        <f>SUM(O3:O9)</f>
        <v>18</v>
      </c>
      <c r="P10" s="35">
        <f>SUM(P3:P9)</f>
        <v>3</v>
      </c>
      <c r="Q10" s="37">
        <f t="shared" si="2"/>
        <v>330</v>
      </c>
      <c r="R10" s="38">
        <f t="shared" si="3"/>
        <v>-1713.9100000000003</v>
      </c>
    </row>
    <row r="13" spans="2:19">
      <c r="B13" s="26" t="s">
        <v>1</v>
      </c>
      <c r="C13" s="26" t="s">
        <v>22</v>
      </c>
      <c r="D13" s="33" t="s">
        <v>7</v>
      </c>
      <c r="E13" s="33" t="s">
        <v>9</v>
      </c>
      <c r="F13" s="33" t="s">
        <v>11</v>
      </c>
      <c r="G13" s="33" t="s">
        <v>13</v>
      </c>
      <c r="H13" s="33" t="s">
        <v>15</v>
      </c>
      <c r="I13" s="33" t="s">
        <v>17</v>
      </c>
      <c r="J13" s="33" t="s">
        <v>19</v>
      </c>
      <c r="K13" s="34" t="s">
        <v>29</v>
      </c>
      <c r="L13" s="41" t="s">
        <v>37</v>
      </c>
      <c r="M13" s="41" t="s">
        <v>30</v>
      </c>
      <c r="N13" s="41" t="s">
        <v>38</v>
      </c>
      <c r="P13" s="26" t="s">
        <v>1</v>
      </c>
      <c r="Q13" s="26" t="s">
        <v>22</v>
      </c>
      <c r="R13" s="26" t="s">
        <v>39</v>
      </c>
      <c r="S13" s="26" t="s">
        <v>40</v>
      </c>
    </row>
    <row r="14" spans="2:19">
      <c r="B14" s="27" t="s">
        <v>8</v>
      </c>
      <c r="C14" s="29">
        <v>17</v>
      </c>
      <c r="D14" s="40">
        <f>Sunday!K15</f>
        <v>16.98</v>
      </c>
      <c r="E14" s="40">
        <f>Monday!K14</f>
        <v>16.75</v>
      </c>
      <c r="F14" s="40">
        <f>Tuesday!K14</f>
        <v>24.3</v>
      </c>
      <c r="G14" s="40">
        <f>Wednesday!K14</f>
        <v>19.88</v>
      </c>
      <c r="H14" s="40">
        <f>Thursday!K14</f>
        <v>22.13</v>
      </c>
      <c r="I14" s="40">
        <f>Friday!K14</f>
        <v>0</v>
      </c>
      <c r="J14" s="40">
        <f>Saturday!K14</f>
        <v>0</v>
      </c>
      <c r="K14" s="40">
        <f>SUM(D14:J14)</f>
        <v>100.03999999999999</v>
      </c>
      <c r="L14" s="40">
        <f>Sunday!I15+Monday!I14+Tuesday!I14+Wednesday!I14+Thursday!I14+Friday!I14+Saturday!I14</f>
        <v>71.89</v>
      </c>
      <c r="M14" s="40" cm="1">
        <f t="array" ref="M14">_xlfn.IFS(L14=0,0,L14&lt;172,172,L14&gt;172,L14)</f>
        <v>172</v>
      </c>
      <c r="N14" s="40">
        <f>K14-M14</f>
        <v>-71.960000000000008</v>
      </c>
      <c r="P14" s="27" t="s">
        <v>8</v>
      </c>
      <c r="Q14" s="29">
        <v>17</v>
      </c>
      <c r="R14" s="29">
        <f>Sunday!L15+Table13[[#This Row],[Hours Variance]]+Table138[[#This Row],[Hours Variance]]+Table13813[[#This Row],[Hours Variance]]+Table1381314[[#This Row],[Hours Variance]]+Table13813141516[[#This Row],[Hours Variance]]+Table138131415[[#This Row],[Hours Variance]]</f>
        <v>-21.160000000000004</v>
      </c>
      <c r="S14" s="31">
        <f>R14/L14</f>
        <v>-0.29433857281958553</v>
      </c>
    </row>
    <row r="15" spans="2:19">
      <c r="B15" s="28" t="s">
        <v>8</v>
      </c>
      <c r="C15" s="30">
        <v>22</v>
      </c>
      <c r="D15" s="37">
        <f>Sunday!K16</f>
        <v>22.79</v>
      </c>
      <c r="E15" s="37">
        <f>Monday!K15</f>
        <v>19.89</v>
      </c>
      <c r="F15" s="37">
        <f>Tuesday!K15</f>
        <v>43.37</v>
      </c>
      <c r="G15" s="37">
        <f>Wednesday!K15</f>
        <v>29.3</v>
      </c>
      <c r="H15" s="37">
        <f>Thursday!K15</f>
        <v>26.76</v>
      </c>
      <c r="I15" s="37">
        <f>Friday!K15</f>
        <v>0</v>
      </c>
      <c r="J15" s="37">
        <f>Saturday!K15</f>
        <v>0</v>
      </c>
      <c r="K15" s="37">
        <f t="shared" ref="K15:K69" si="8">SUM(D15:J15)</f>
        <v>142.10999999999999</v>
      </c>
      <c r="L15" s="37">
        <f>Sunday!I16+Monday!I15+Tuesday!I15+Wednesday!I15+Thursday!I15+Friday!I15+Saturday!I15</f>
        <v>96.38</v>
      </c>
      <c r="M15" s="37" cm="1">
        <f t="array" ref="M15">_xlfn.IFS(L15=0,0,L15&lt;172,172,L15&gt;172,L15)</f>
        <v>172</v>
      </c>
      <c r="N15" s="40">
        <f t="shared" ref="N15:N70" si="9">K15-M15</f>
        <v>-29.890000000000015</v>
      </c>
      <c r="P15" s="28" t="s">
        <v>8</v>
      </c>
      <c r="Q15" s="30">
        <v>22</v>
      </c>
      <c r="R15" s="29">
        <f>Sunday!L16+Table13[[#This Row],[Hours Variance]]+Table138[[#This Row],[Hours Variance]]+Table13813[[#This Row],[Hours Variance]]+Table1381314[[#This Row],[Hours Variance]]+Table13813141516[[#This Row],[Hours Variance]]+Table138131415[[#This Row],[Hours Variance]]</f>
        <v>20.909999999999997</v>
      </c>
      <c r="S15" s="32">
        <f>R15/L15</f>
        <v>0.21695372483917824</v>
      </c>
    </row>
    <row r="16" spans="2:19">
      <c r="B16" s="27" t="s">
        <v>8</v>
      </c>
      <c r="C16" s="29">
        <v>641</v>
      </c>
      <c r="D16" s="40">
        <f>Sunday!K17</f>
        <v>16.75</v>
      </c>
      <c r="E16" s="40">
        <f>Monday!K16</f>
        <v>25.41</v>
      </c>
      <c r="F16" s="40">
        <f>Tuesday!K16</f>
        <v>25.14</v>
      </c>
      <c r="G16" s="40">
        <f>Wednesday!K16</f>
        <v>37.17</v>
      </c>
      <c r="H16" s="40">
        <f>Thursday!K16</f>
        <v>23.42</v>
      </c>
      <c r="I16" s="40">
        <f>Friday!K16</f>
        <v>0</v>
      </c>
      <c r="J16" s="40">
        <f>Saturday!K16</f>
        <v>0</v>
      </c>
      <c r="K16" s="40">
        <f t="shared" si="8"/>
        <v>127.89</v>
      </c>
      <c r="L16" s="40">
        <f>Sunday!I17+Monday!I16+Tuesday!I16+Wednesday!I16+Thursday!I16+Friday!I16+Saturday!I16</f>
        <v>87.69</v>
      </c>
      <c r="M16" s="40" cm="1">
        <f t="array" ref="M16">_xlfn.IFS(L16=0,0,L16&lt;172,172,L16&gt;172,L16)</f>
        <v>172</v>
      </c>
      <c r="N16" s="40">
        <f t="shared" si="9"/>
        <v>-44.11</v>
      </c>
      <c r="P16" s="27" t="s">
        <v>8</v>
      </c>
      <c r="Q16" s="29">
        <v>641</v>
      </c>
      <c r="R16" s="29">
        <f>Sunday!L17+Table13[[#This Row],[Hours Variance]]+Table138[[#This Row],[Hours Variance]]+Table13813[[#This Row],[Hours Variance]]+Table1381314[[#This Row],[Hours Variance]]+Table13813141516[[#This Row],[Hours Variance]]+Table138131415[[#This Row],[Hours Variance]]</f>
        <v>6.6900000000000013</v>
      </c>
      <c r="S16" s="31">
        <f>R16/L16</f>
        <v>7.6291481354772511E-2</v>
      </c>
    </row>
    <row r="17" spans="2:19">
      <c r="B17" s="28" t="s">
        <v>8</v>
      </c>
      <c r="C17" s="30">
        <v>717</v>
      </c>
      <c r="D17" s="37">
        <f>Sunday!K18</f>
        <v>22.96</v>
      </c>
      <c r="E17" s="37">
        <f>Monday!K17</f>
        <v>23.39</v>
      </c>
      <c r="F17" s="37">
        <f>Tuesday!K17</f>
        <v>25.84</v>
      </c>
      <c r="G17" s="37">
        <f>Wednesday!K17</f>
        <v>34.869999999999997</v>
      </c>
      <c r="H17" s="37">
        <f>Thursday!K17</f>
        <v>24.29</v>
      </c>
      <c r="I17" s="37">
        <f>Friday!K17</f>
        <v>0</v>
      </c>
      <c r="J17" s="37">
        <f>Saturday!K17</f>
        <v>0</v>
      </c>
      <c r="K17" s="37">
        <f t="shared" si="8"/>
        <v>131.35</v>
      </c>
      <c r="L17" s="37">
        <f>Sunday!I18+Monday!I17+Tuesday!I17+Wednesday!I17+Thursday!I17+Friday!I17+Saturday!I17</f>
        <v>83.74</v>
      </c>
      <c r="M17" s="37" cm="1">
        <f t="array" ref="M17">_xlfn.IFS(L17=0,0,L17&lt;172,172,L17&gt;172,L17)</f>
        <v>172</v>
      </c>
      <c r="N17" s="40">
        <f t="shared" si="9"/>
        <v>-40.650000000000006</v>
      </c>
      <c r="P17" s="28" t="s">
        <v>8</v>
      </c>
      <c r="Q17" s="30">
        <v>717</v>
      </c>
      <c r="R17" s="29">
        <f>Sunday!L18+Table13[[#This Row],[Hours Variance]]+Table138[[#This Row],[Hours Variance]]+Table13813[[#This Row],[Hours Variance]]+Table1381314[[#This Row],[Hours Variance]]+Table13813141516[[#This Row],[Hours Variance]]+Table138131415[[#This Row],[Hours Variance]]</f>
        <v>10.149999999999995</v>
      </c>
      <c r="S17" s="32">
        <f>R17/L17</f>
        <v>0.12120850250776206</v>
      </c>
    </row>
    <row r="18" spans="2:19">
      <c r="B18" s="27" t="s">
        <v>8</v>
      </c>
      <c r="C18" s="29">
        <v>843</v>
      </c>
      <c r="D18" s="40">
        <f>Sunday!K19</f>
        <v>15.43</v>
      </c>
      <c r="E18" s="40">
        <f>Monday!K18</f>
        <v>22.13</v>
      </c>
      <c r="F18" s="40">
        <f>Tuesday!K18</f>
        <v>15.65</v>
      </c>
      <c r="G18" s="40">
        <f>Wednesday!K18</f>
        <v>23.99</v>
      </c>
      <c r="H18" s="40">
        <f>Thursday!K18</f>
        <v>1.46</v>
      </c>
      <c r="I18" s="40">
        <f>Friday!K18</f>
        <v>0</v>
      </c>
      <c r="J18" s="40">
        <f>Saturday!K18</f>
        <v>0</v>
      </c>
      <c r="K18" s="40">
        <f t="shared" si="8"/>
        <v>78.66</v>
      </c>
      <c r="L18" s="40">
        <f>Sunday!I19+Monday!I18+Tuesday!I18+Wednesday!I18+Thursday!I18+Friday!I18+Saturday!I18</f>
        <v>14.22</v>
      </c>
      <c r="M18" s="40" cm="1">
        <f t="array" ref="M18">_xlfn.IFS(L18=0,0,L18&lt;172,172,L18&gt;172,L18)</f>
        <v>172</v>
      </c>
      <c r="N18" s="40">
        <f t="shared" si="9"/>
        <v>-93.34</v>
      </c>
      <c r="P18" s="27" t="s">
        <v>8</v>
      </c>
      <c r="Q18" s="29">
        <v>843</v>
      </c>
      <c r="R18" s="29">
        <f>Sunday!L19+Table13[[#This Row],[Hours Variance]]+Table138[[#This Row],[Hours Variance]]+Table13813[[#This Row],[Hours Variance]]+Table1381314[[#This Row],[Hours Variance]]+Table13813141516[[#This Row],[Hours Variance]]+Table138131415[[#This Row],[Hours Variance]]</f>
        <v>-42.540000000000006</v>
      </c>
      <c r="S18" s="31">
        <f>R18/L18</f>
        <v>-2.9915611814345993</v>
      </c>
    </row>
    <row r="19" spans="2:19">
      <c r="B19" s="28" t="s">
        <v>8</v>
      </c>
      <c r="C19" s="30">
        <v>881</v>
      </c>
      <c r="D19" s="37">
        <f>Sunday!K20</f>
        <v>12.92</v>
      </c>
      <c r="E19" s="37">
        <f>Monday!K19</f>
        <v>17.309999999999999</v>
      </c>
      <c r="F19" s="37">
        <f>Tuesday!K19</f>
        <v>19.2</v>
      </c>
      <c r="G19" s="37">
        <f>Wednesday!K19</f>
        <v>33.69</v>
      </c>
      <c r="H19" s="37">
        <f>Thursday!K19</f>
        <v>19.73</v>
      </c>
      <c r="I19" s="37">
        <f>Friday!K19</f>
        <v>0</v>
      </c>
      <c r="J19" s="37">
        <f>Saturday!K19</f>
        <v>0</v>
      </c>
      <c r="K19" s="37">
        <f t="shared" si="8"/>
        <v>102.85</v>
      </c>
      <c r="L19" s="37">
        <f>Sunday!I20+Monday!I19+Tuesday!I19+Wednesday!I19+Thursday!I19+Friday!I19+Saturday!I19</f>
        <v>59.25</v>
      </c>
      <c r="M19" s="37" cm="1">
        <f t="array" ref="M19">_xlfn.IFS(L19=0,0,L19&lt;172,172,L19&gt;172,L19)</f>
        <v>172</v>
      </c>
      <c r="N19" s="40">
        <f t="shared" si="9"/>
        <v>-69.150000000000006</v>
      </c>
      <c r="P19" s="28" t="s">
        <v>8</v>
      </c>
      <c r="Q19" s="30">
        <v>881</v>
      </c>
      <c r="R19" s="29">
        <f>Sunday!L20+Table13[[#This Row],[Hours Variance]]+Table138[[#This Row],[Hours Variance]]+Table13813[[#This Row],[Hours Variance]]+Table1381314[[#This Row],[Hours Variance]]+Table13813141516[[#This Row],[Hours Variance]]+Table138131415[[#This Row],[Hours Variance]]</f>
        <v>-18.350000000000005</v>
      </c>
      <c r="S19" s="32">
        <f>R19/L19</f>
        <v>-0.30970464135021103</v>
      </c>
    </row>
    <row r="20" spans="2:19">
      <c r="B20" s="28" t="s">
        <v>8</v>
      </c>
      <c r="C20" s="30">
        <v>953</v>
      </c>
      <c r="D20" s="37">
        <f>Sunday!K21</f>
        <v>15.97</v>
      </c>
      <c r="E20" s="37">
        <f>Monday!K20</f>
        <v>21.01</v>
      </c>
      <c r="F20" s="37">
        <f>Tuesday!K20</f>
        <v>18.77</v>
      </c>
      <c r="G20" s="37">
        <f>Wednesday!K20</f>
        <v>16.64</v>
      </c>
      <c r="H20" s="37">
        <f>Thursday!K20</f>
        <v>20.71</v>
      </c>
      <c r="I20" s="37">
        <f>Friday!K20</f>
        <v>0</v>
      </c>
      <c r="J20" s="37">
        <f>Saturday!K20</f>
        <v>0</v>
      </c>
      <c r="K20" s="37">
        <f t="shared" si="8"/>
        <v>93.1</v>
      </c>
      <c r="L20" s="37">
        <f>Sunday!I21+Monday!I20+Tuesday!I20+Wednesday!I20+Thursday!I20+Friday!I20+Saturday!I20</f>
        <v>53.72</v>
      </c>
      <c r="M20" s="37" cm="1">
        <f t="array" ref="M20">_xlfn.IFS(L20=0,0,L20&lt;172,172,L20&gt;172,L20)</f>
        <v>172</v>
      </c>
      <c r="N20" s="40">
        <f t="shared" si="9"/>
        <v>-78.900000000000006</v>
      </c>
      <c r="P20" s="28" t="s">
        <v>8</v>
      </c>
      <c r="Q20" s="30">
        <v>953</v>
      </c>
      <c r="R20" s="29">
        <f>Sunday!L21+Table13[[#This Row],[Hours Variance]]+Table138[[#This Row],[Hours Variance]]+Table13813[[#This Row],[Hours Variance]]+Table1381314[[#This Row],[Hours Variance]]+Table13813141516[[#This Row],[Hours Variance]]+Table138131415[[#This Row],[Hours Variance]]</f>
        <v>-28.099999999999998</v>
      </c>
      <c r="S20" s="32">
        <f>R20/L20</f>
        <v>-0.52308265078183169</v>
      </c>
    </row>
    <row r="21" spans="2:19">
      <c r="B21" s="28" t="s">
        <v>8</v>
      </c>
      <c r="C21" s="30">
        <v>3040</v>
      </c>
      <c r="D21" s="37">
        <f>Sunday!K22</f>
        <v>0</v>
      </c>
      <c r="E21" s="37">
        <f>Monday!K21</f>
        <v>20.12</v>
      </c>
      <c r="F21" s="37">
        <f>Tuesday!K21</f>
        <v>15.73</v>
      </c>
      <c r="G21" s="37">
        <f>Wednesday!K21</f>
        <v>10.42</v>
      </c>
      <c r="H21" s="37">
        <f>Thursday!K21</f>
        <v>15.45</v>
      </c>
      <c r="I21" s="37">
        <f>Friday!K21</f>
        <v>0</v>
      </c>
      <c r="J21" s="37">
        <f>Saturday!K21</f>
        <v>0</v>
      </c>
      <c r="K21" s="37">
        <f t="shared" si="8"/>
        <v>61.72</v>
      </c>
      <c r="L21" s="37">
        <f>Sunday!I22+Monday!I21+Tuesday!I21+Wednesday!I21+Thursday!I21+Friday!I21+Saturday!I21</f>
        <v>0</v>
      </c>
      <c r="M21" s="37" cm="1">
        <f t="array" ref="M21">_xlfn.IFS(L21=0,0,L21&lt;172,172,L21&gt;172,L21)</f>
        <v>0</v>
      </c>
      <c r="N21" s="40">
        <f t="shared" si="9"/>
        <v>61.72</v>
      </c>
      <c r="P21" s="28" t="s">
        <v>8</v>
      </c>
      <c r="Q21" s="30">
        <v>3040</v>
      </c>
      <c r="R21" s="29">
        <f>Sunday!L22+Table13[[#This Row],[Hours Variance]]+Table138[[#This Row],[Hours Variance]]+Table13813[[#This Row],[Hours Variance]]+Table1381314[[#This Row],[Hours Variance]]+Table13813141516[[#This Row],[Hours Variance]]+Table138131415[[#This Row],[Hours Variance]]</f>
        <v>61.72</v>
      </c>
      <c r="S21" s="32" t="e">
        <f>R21/L21</f>
        <v>#DIV/0!</v>
      </c>
    </row>
    <row r="22" spans="2:19">
      <c r="B22" s="27" t="s">
        <v>10</v>
      </c>
      <c r="C22" s="29">
        <v>18</v>
      </c>
      <c r="D22" s="40">
        <f>Sunday!K23</f>
        <v>11.34</v>
      </c>
      <c r="E22" s="40">
        <f>Monday!K22</f>
        <v>35.380000000000003</v>
      </c>
      <c r="F22" s="40">
        <f>Tuesday!K22</f>
        <v>36.26</v>
      </c>
      <c r="G22" s="40">
        <f>Wednesday!K22</f>
        <v>37.340000000000003</v>
      </c>
      <c r="H22" s="40">
        <f>Thursday!K22</f>
        <v>24.84</v>
      </c>
      <c r="I22" s="40">
        <f>Friday!K22</f>
        <v>30.93</v>
      </c>
      <c r="J22" s="40">
        <f>Saturday!K22</f>
        <v>0</v>
      </c>
      <c r="K22" s="40">
        <f t="shared" si="8"/>
        <v>176.09</v>
      </c>
      <c r="L22" s="40">
        <f>Sunday!I23+Monday!I22+Tuesday!I22+Wednesday!I22+Thursday!I22+Friday!I22+Saturday!I22</f>
        <v>136.67000000000002</v>
      </c>
      <c r="M22" s="40" cm="1">
        <f t="array" ref="M22">_xlfn.IFS(L22=0,0,L22&lt;172,172,L22&gt;172,L22)</f>
        <v>172</v>
      </c>
      <c r="N22" s="40">
        <f t="shared" si="9"/>
        <v>4.0900000000000034</v>
      </c>
      <c r="P22" s="27" t="s">
        <v>10</v>
      </c>
      <c r="Q22" s="29">
        <v>18</v>
      </c>
      <c r="R22" s="29">
        <f>Sunday!L23+Table13[[#This Row],[Hours Variance]]+Table138[[#This Row],[Hours Variance]]+Table13813[[#This Row],[Hours Variance]]+Table1381314[[#This Row],[Hours Variance]]+Table13813141516[[#This Row],[Hours Variance]]+Table138131415[[#This Row],[Hours Variance]]</f>
        <v>21.75</v>
      </c>
      <c r="S22" s="31">
        <f>R22/L22</f>
        <v>0.15914245994000145</v>
      </c>
    </row>
    <row r="23" spans="2:19">
      <c r="B23" s="28" t="s">
        <v>10</v>
      </c>
      <c r="C23" s="30">
        <v>19</v>
      </c>
      <c r="D23" s="37">
        <f>Sunday!K24</f>
        <v>18.61</v>
      </c>
      <c r="E23" s="37">
        <f>Monday!K23</f>
        <v>41</v>
      </c>
      <c r="F23" s="37">
        <f>Tuesday!K23</f>
        <v>32.01</v>
      </c>
      <c r="G23" s="37">
        <f>Wednesday!K23</f>
        <v>23.98</v>
      </c>
      <c r="H23" s="37">
        <f>Thursday!K23</f>
        <v>33.43</v>
      </c>
      <c r="I23" s="37">
        <f>Friday!K23</f>
        <v>33.07</v>
      </c>
      <c r="J23" s="37">
        <f>Saturday!K23</f>
        <v>0</v>
      </c>
      <c r="K23" s="37">
        <f t="shared" si="8"/>
        <v>182.1</v>
      </c>
      <c r="L23" s="37">
        <f>Sunday!I24+Monday!I23+Tuesday!I23+Wednesday!I23+Thursday!I23+Friday!I23+Saturday!I23</f>
        <v>107.44</v>
      </c>
      <c r="M23" s="37" cm="1">
        <f t="array" ref="M23">_xlfn.IFS(L23=0,0,L23&lt;172,172,L23&gt;172,L23)</f>
        <v>172</v>
      </c>
      <c r="N23" s="40">
        <f t="shared" si="9"/>
        <v>10.099999999999994</v>
      </c>
      <c r="P23" s="28" t="s">
        <v>10</v>
      </c>
      <c r="Q23" s="30">
        <v>19</v>
      </c>
      <c r="R23" s="29">
        <f>Sunday!L24+Table13[[#This Row],[Hours Variance]]+Table138[[#This Row],[Hours Variance]]+Table13813[[#This Row],[Hours Variance]]+Table1381314[[#This Row],[Hours Variance]]+Table13813141516[[#This Row],[Hours Variance]]+Table138131415[[#This Row],[Hours Variance]]</f>
        <v>35.599999999999994</v>
      </c>
      <c r="S23" s="32">
        <f>R23/L23</f>
        <v>0.3313477289650037</v>
      </c>
    </row>
    <row r="24" spans="2:19">
      <c r="B24" s="27" t="s">
        <v>10</v>
      </c>
      <c r="C24" s="29">
        <v>282</v>
      </c>
      <c r="D24" s="40">
        <f>Sunday!K25</f>
        <v>7.56</v>
      </c>
      <c r="E24" s="40">
        <f>Monday!K24</f>
        <v>8.4700000000000006</v>
      </c>
      <c r="F24" s="40">
        <f>Tuesday!K24</f>
        <v>17.86</v>
      </c>
      <c r="G24" s="40">
        <f>Wednesday!K24</f>
        <v>18.57</v>
      </c>
      <c r="H24" s="40">
        <f>Thursday!K24</f>
        <v>10.89</v>
      </c>
      <c r="I24" s="40">
        <f>Friday!K24</f>
        <v>13.3</v>
      </c>
      <c r="J24" s="40">
        <f>Saturday!K24</f>
        <v>0</v>
      </c>
      <c r="K24" s="40">
        <f t="shared" si="8"/>
        <v>76.650000000000006</v>
      </c>
      <c r="L24" s="40">
        <f>Sunday!I25+Monday!I24+Tuesday!I24+Wednesday!I24+Thursday!I24+Friday!I24+Saturday!I24</f>
        <v>41.870000000000005</v>
      </c>
      <c r="M24" s="40" cm="1">
        <f t="array" ref="M24">_xlfn.IFS(L24=0,0,L24&lt;172,172,L24&gt;172,L24)</f>
        <v>172</v>
      </c>
      <c r="N24" s="40">
        <f t="shared" si="9"/>
        <v>-95.35</v>
      </c>
      <c r="P24" s="27" t="s">
        <v>10</v>
      </c>
      <c r="Q24" s="29">
        <v>282</v>
      </c>
      <c r="R24" s="29">
        <f>Sunday!L25+Table13[[#This Row],[Hours Variance]]+Table138[[#This Row],[Hours Variance]]+Table13813[[#This Row],[Hours Variance]]+Table1381314[[#This Row],[Hours Variance]]+Table13813141516[[#This Row],[Hours Variance]]+Table138131415[[#This Row],[Hours Variance]]</f>
        <v>-69.849999999999994</v>
      </c>
      <c r="S24" s="31">
        <f>R24/L24</f>
        <v>-1.6682588965846665</v>
      </c>
    </row>
    <row r="25" spans="2:19">
      <c r="B25" s="28" t="s">
        <v>10</v>
      </c>
      <c r="C25" s="30">
        <v>447</v>
      </c>
      <c r="D25" s="37">
        <f>Sunday!K26</f>
        <v>16.73</v>
      </c>
      <c r="E25" s="37">
        <f>Monday!K25</f>
        <v>29.19</v>
      </c>
      <c r="F25" s="37">
        <f>Tuesday!K25</f>
        <v>32.979999999999997</v>
      </c>
      <c r="G25" s="37">
        <f>Wednesday!K25</f>
        <v>31.71</v>
      </c>
      <c r="H25" s="37">
        <f>Thursday!K25</f>
        <v>32.880000000000003</v>
      </c>
      <c r="I25" s="37">
        <f>Friday!K25</f>
        <v>28.39</v>
      </c>
      <c r="J25" s="37">
        <f>Saturday!K25</f>
        <v>0</v>
      </c>
      <c r="K25" s="37">
        <f t="shared" si="8"/>
        <v>171.88</v>
      </c>
      <c r="L25" s="37">
        <f>Sunday!I26+Monday!I25+Tuesday!I25+Wednesday!I25+Thursday!I25+Friday!I25+Saturday!I25</f>
        <v>95.59</v>
      </c>
      <c r="M25" s="37" cm="1">
        <f t="array" ref="M25">_xlfn.IFS(L25=0,0,L25&lt;172,172,L25&gt;172,L25)</f>
        <v>172</v>
      </c>
      <c r="N25" s="40">
        <f t="shared" si="9"/>
        <v>-0.12000000000000455</v>
      </c>
      <c r="P25" s="28" t="s">
        <v>10</v>
      </c>
      <c r="Q25" s="30">
        <v>447</v>
      </c>
      <c r="R25" s="29">
        <f>Sunday!L26+Table13[[#This Row],[Hours Variance]]+Table138[[#This Row],[Hours Variance]]+Table13813[[#This Row],[Hours Variance]]+Table1381314[[#This Row],[Hours Variance]]+Table13813141516[[#This Row],[Hours Variance]]+Table138131415[[#This Row],[Hours Variance]]</f>
        <v>25.38</v>
      </c>
      <c r="S25" s="32">
        <f>R25/L25</f>
        <v>0.2655089444502563</v>
      </c>
    </row>
    <row r="26" spans="2:19">
      <c r="B26" s="27" t="s">
        <v>10</v>
      </c>
      <c r="C26" s="29">
        <v>448</v>
      </c>
      <c r="D26" s="40">
        <f>Sunday!K27</f>
        <v>24.31</v>
      </c>
      <c r="E26" s="40">
        <f>Monday!K26</f>
        <v>35.44</v>
      </c>
      <c r="F26" s="40">
        <f>Tuesday!K26</f>
        <v>35.82</v>
      </c>
      <c r="G26" s="40">
        <f>Wednesday!K26</f>
        <v>47.07</v>
      </c>
      <c r="H26" s="40">
        <f>Thursday!K26</f>
        <v>35.14</v>
      </c>
      <c r="I26" s="40">
        <f>Friday!K26</f>
        <v>48.79</v>
      </c>
      <c r="J26" s="40">
        <f>Saturday!K26</f>
        <v>0</v>
      </c>
      <c r="K26" s="40">
        <f t="shared" si="8"/>
        <v>226.56999999999996</v>
      </c>
      <c r="L26" s="40">
        <f>Sunday!I27+Monday!I26+Tuesday!I26+Wednesday!I26+Thursday!I26+Friday!I26+Saturday!I26</f>
        <v>135.88</v>
      </c>
      <c r="M26" s="40" cm="1">
        <f t="array" ref="M26">_xlfn.IFS(L26=0,0,L26&lt;172,172,L26&gt;172,L26)</f>
        <v>172</v>
      </c>
      <c r="N26" s="40">
        <f t="shared" si="9"/>
        <v>54.569999999999965</v>
      </c>
      <c r="P26" s="27" t="s">
        <v>10</v>
      </c>
      <c r="Q26" s="29">
        <v>448</v>
      </c>
      <c r="R26" s="29">
        <f>Sunday!L27+Table13[[#This Row],[Hours Variance]]+Table138[[#This Row],[Hours Variance]]+Table13813[[#This Row],[Hours Variance]]+Table1381314[[#This Row],[Hours Variance]]+Table13813141516[[#This Row],[Hours Variance]]+Table138131415[[#This Row],[Hours Variance]]</f>
        <v>66.680000000000007</v>
      </c>
      <c r="S26" s="31">
        <f>R26/L26</f>
        <v>0.49072711215778636</v>
      </c>
    </row>
    <row r="27" spans="2:19">
      <c r="B27" s="28" t="s">
        <v>10</v>
      </c>
      <c r="C27" s="30">
        <v>531</v>
      </c>
      <c r="D27" s="37">
        <f>Sunday!K28</f>
        <v>18.5</v>
      </c>
      <c r="E27" s="37">
        <f>Monday!K27</f>
        <v>30.19</v>
      </c>
      <c r="F27" s="37">
        <f>Tuesday!K27</f>
        <v>33.71</v>
      </c>
      <c r="G27" s="37">
        <f>Wednesday!K27</f>
        <v>36.22</v>
      </c>
      <c r="H27" s="37">
        <f>Thursday!K27</f>
        <v>23.39</v>
      </c>
      <c r="I27" s="37">
        <f>Friday!K27</f>
        <v>24.18</v>
      </c>
      <c r="J27" s="37">
        <f>Saturday!K27</f>
        <v>0</v>
      </c>
      <c r="K27" s="37">
        <f t="shared" si="8"/>
        <v>166.19</v>
      </c>
      <c r="L27" s="37">
        <f>Sunday!I28+Monday!I27+Tuesday!I27+Wednesday!I27+Thursday!I27+Friday!I27+Saturday!I27</f>
        <v>72.680000000000007</v>
      </c>
      <c r="M27" s="37" cm="1">
        <f t="array" ref="M27">_xlfn.IFS(L27=0,0,L27&lt;172,172,L27&gt;172,L27)</f>
        <v>172</v>
      </c>
      <c r="N27" s="40">
        <f t="shared" si="9"/>
        <v>-5.8100000000000023</v>
      </c>
      <c r="P27" s="28" t="s">
        <v>10</v>
      </c>
      <c r="Q27" s="30">
        <v>531</v>
      </c>
      <c r="R27" s="29">
        <f>Sunday!L28+Table13[[#This Row],[Hours Variance]]+Table138[[#This Row],[Hours Variance]]+Table13813[[#This Row],[Hours Variance]]+Table1381314[[#This Row],[Hours Variance]]+Table13813141516[[#This Row],[Hours Variance]]+Table138131415[[#This Row],[Hours Variance]]</f>
        <v>19.689999999999998</v>
      </c>
      <c r="S27" s="32">
        <f>R27/L27</f>
        <v>0.27091359383599334</v>
      </c>
    </row>
    <row r="28" spans="2:19">
      <c r="B28" s="27" t="s">
        <v>10</v>
      </c>
      <c r="C28" s="29">
        <v>832</v>
      </c>
      <c r="D28" s="40">
        <f>Sunday!K29</f>
        <v>19.11</v>
      </c>
      <c r="E28" s="40">
        <f>Monday!K28</f>
        <v>19.03</v>
      </c>
      <c r="F28" s="40">
        <f>Tuesday!K28</f>
        <v>23.14</v>
      </c>
      <c r="G28" s="40">
        <f>Wednesday!K28</f>
        <v>26.13</v>
      </c>
      <c r="H28" s="40">
        <f>Thursday!K28</f>
        <v>27.97</v>
      </c>
      <c r="I28" s="40">
        <f>Friday!K28</f>
        <v>32.840000000000003</v>
      </c>
      <c r="J28" s="40">
        <f>Saturday!K28</f>
        <v>0</v>
      </c>
      <c r="K28" s="40">
        <f t="shared" si="8"/>
        <v>148.22</v>
      </c>
      <c r="L28" s="40">
        <f>Sunday!I29+Monday!I28+Tuesday!I28+Wednesday!I28+Thursday!I28+Friday!I28+Saturday!I28</f>
        <v>102.70000000000002</v>
      </c>
      <c r="M28" s="40" cm="1">
        <f t="array" ref="M28">_xlfn.IFS(L28=0,0,L28&lt;172,172,L28&gt;172,L28)</f>
        <v>172</v>
      </c>
      <c r="N28" s="40">
        <f t="shared" si="9"/>
        <v>-23.78</v>
      </c>
      <c r="P28" s="27" t="s">
        <v>10</v>
      </c>
      <c r="Q28" s="29">
        <v>832</v>
      </c>
      <c r="R28" s="29">
        <f>Sunday!L29+Table13[[#This Row],[Hours Variance]]+Table138[[#This Row],[Hours Variance]]+Table13813[[#This Row],[Hours Variance]]+Table1381314[[#This Row],[Hours Variance]]+Table13813141516[[#This Row],[Hours Variance]]+Table138131415[[#This Row],[Hours Variance]]</f>
        <v>1.7199999999999989</v>
      </c>
      <c r="S28" s="31">
        <f>R28/L28</f>
        <v>1.6747809152872429E-2</v>
      </c>
    </row>
    <row r="29" spans="2:19">
      <c r="B29" s="28" t="s">
        <v>12</v>
      </c>
      <c r="C29" s="30">
        <v>3</v>
      </c>
      <c r="D29" s="37">
        <f>Sunday!K30</f>
        <v>18</v>
      </c>
      <c r="E29" s="37">
        <f>Monday!K29</f>
        <v>26</v>
      </c>
      <c r="F29" s="37">
        <f>Tuesday!K29</f>
        <v>19</v>
      </c>
      <c r="G29" s="37">
        <f>Wednesday!K29</f>
        <v>5</v>
      </c>
      <c r="H29" s="37">
        <f>Thursday!K29</f>
        <v>15</v>
      </c>
      <c r="I29" s="37">
        <f>Friday!K29</f>
        <v>7</v>
      </c>
      <c r="J29" s="37">
        <f>Saturday!K29</f>
        <v>0</v>
      </c>
      <c r="K29" s="37">
        <f t="shared" si="8"/>
        <v>90</v>
      </c>
      <c r="L29" s="37">
        <f>Sunday!I30+Monday!I29+Tuesday!I29+Wednesday!I29+Thursday!I29+Friday!I29+Saturday!I29</f>
        <v>94.009999999999991</v>
      </c>
      <c r="M29" s="37" cm="1">
        <f t="array" ref="M29">_xlfn.IFS(L29=0,0,L29&lt;172,172,L29&gt;172,L29)</f>
        <v>172</v>
      </c>
      <c r="N29" s="40">
        <f t="shared" si="9"/>
        <v>-82</v>
      </c>
      <c r="P29" s="28" t="s">
        <v>12</v>
      </c>
      <c r="Q29" s="30">
        <v>3</v>
      </c>
      <c r="R29" s="29">
        <f>Sunday!L30+Table13[[#This Row],[Hours Variance]]+Table138[[#This Row],[Hours Variance]]+Table13813[[#This Row],[Hours Variance]]+Table1381314[[#This Row],[Hours Variance]]+Table13813141516[[#This Row],[Hours Variance]]+Table138131415[[#This Row],[Hours Variance]]</f>
        <v>-56.5</v>
      </c>
      <c r="S29" s="32">
        <f>R29/L29</f>
        <v>-0.6009998936283375</v>
      </c>
    </row>
    <row r="30" spans="2:19">
      <c r="B30" s="27" t="s">
        <v>12</v>
      </c>
      <c r="C30" s="29">
        <v>5</v>
      </c>
      <c r="D30" s="40">
        <f>Sunday!K31</f>
        <v>28</v>
      </c>
      <c r="E30" s="40">
        <f>Monday!K30</f>
        <v>32</v>
      </c>
      <c r="F30" s="40">
        <f>Tuesday!K30</f>
        <v>34</v>
      </c>
      <c r="G30" s="40">
        <f>Wednesday!K30</f>
        <v>46</v>
      </c>
      <c r="H30" s="40">
        <f>Thursday!K30</f>
        <v>35</v>
      </c>
      <c r="I30" s="40">
        <f>Friday!K30</f>
        <v>30</v>
      </c>
      <c r="J30" s="40">
        <f>Saturday!K30</f>
        <v>0</v>
      </c>
      <c r="K30" s="40">
        <f t="shared" si="8"/>
        <v>205</v>
      </c>
      <c r="L30" s="40">
        <f>Sunday!I31+Monday!I30+Tuesday!I30+Wednesday!I30+Thursday!I30+Friday!I30+Saturday!I30</f>
        <v>150.88999999999999</v>
      </c>
      <c r="M30" s="40" cm="1">
        <f t="array" ref="M30">_xlfn.IFS(L30=0,0,L30&lt;172,172,L30&gt;172,L30)</f>
        <v>172</v>
      </c>
      <c r="N30" s="40">
        <f t="shared" si="9"/>
        <v>33</v>
      </c>
      <c r="P30" s="27" t="s">
        <v>12</v>
      </c>
      <c r="Q30" s="29">
        <v>5</v>
      </c>
      <c r="R30" s="29">
        <f>Sunday!L31+Table13[[#This Row],[Hours Variance]]+Table138[[#This Row],[Hours Variance]]+Table13813[[#This Row],[Hours Variance]]+Table1381314[[#This Row],[Hours Variance]]+Table13813141516[[#This Row],[Hours Variance]]+Table138131415[[#This Row],[Hours Variance]]</f>
        <v>43.550000000000004</v>
      </c>
      <c r="S30" s="31">
        <f>R30/L30</f>
        <v>0.28862084962555512</v>
      </c>
    </row>
    <row r="31" spans="2:19">
      <c r="B31" s="28" t="s">
        <v>12</v>
      </c>
      <c r="C31" s="30">
        <v>11</v>
      </c>
      <c r="D31" s="37">
        <f>Sunday!K32</f>
        <v>17</v>
      </c>
      <c r="E31" s="37">
        <f>Monday!K31</f>
        <v>30</v>
      </c>
      <c r="F31" s="37">
        <f>Tuesday!K31</f>
        <v>27</v>
      </c>
      <c r="G31" s="37">
        <f>Wednesday!K31</f>
        <v>28</v>
      </c>
      <c r="H31" s="37">
        <f>Thursday!K31</f>
        <v>26</v>
      </c>
      <c r="I31" s="37">
        <f>Friday!K31</f>
        <v>28</v>
      </c>
      <c r="J31" s="37">
        <f>Saturday!K31</f>
        <v>0</v>
      </c>
      <c r="K31" s="37">
        <f t="shared" si="8"/>
        <v>156</v>
      </c>
      <c r="L31" s="37">
        <f>Sunday!I32+Monday!I31+Tuesday!I31+Wednesday!I31+Thursday!I31+Friday!I31+Saturday!I31</f>
        <v>84.53</v>
      </c>
      <c r="M31" s="37" cm="1">
        <f t="array" ref="M31">_xlfn.IFS(L31=0,0,L31&lt;172,172,L31&gt;172,L31)</f>
        <v>172</v>
      </c>
      <c r="N31" s="40">
        <f t="shared" si="9"/>
        <v>-16</v>
      </c>
      <c r="P31" s="28" t="s">
        <v>12</v>
      </c>
      <c r="Q31" s="30">
        <v>11</v>
      </c>
      <c r="R31" s="29">
        <f>Sunday!L32+Table13[[#This Row],[Hours Variance]]+Table138[[#This Row],[Hours Variance]]+Table13813[[#This Row],[Hours Variance]]+Table1381314[[#This Row],[Hours Variance]]+Table13813141516[[#This Row],[Hours Variance]]+Table138131415[[#This Row],[Hours Variance]]</f>
        <v>9.4999999999999964</v>
      </c>
      <c r="S31" s="32">
        <f>R31/L31</f>
        <v>0.11238613509996447</v>
      </c>
    </row>
    <row r="32" spans="2:19">
      <c r="B32" s="27" t="s">
        <v>12</v>
      </c>
      <c r="C32" s="29">
        <v>14</v>
      </c>
      <c r="D32" s="40">
        <f>Sunday!K33</f>
        <v>18</v>
      </c>
      <c r="E32" s="40">
        <f>Monday!K32</f>
        <v>25</v>
      </c>
      <c r="F32" s="40">
        <f>Tuesday!K32</f>
        <v>18</v>
      </c>
      <c r="G32" s="40">
        <f>Wednesday!K32</f>
        <v>23</v>
      </c>
      <c r="H32" s="40">
        <f>Thursday!K32</f>
        <v>32</v>
      </c>
      <c r="I32" s="40">
        <f>Friday!K32</f>
        <v>26</v>
      </c>
      <c r="J32" s="40">
        <f>Saturday!K32</f>
        <v>0</v>
      </c>
      <c r="K32" s="40">
        <f t="shared" si="8"/>
        <v>142</v>
      </c>
      <c r="L32" s="40">
        <f>Sunday!I33+Monday!I32+Tuesday!I32+Wednesday!I32+Thursday!I32+Friday!I32+Saturday!I32</f>
        <v>109.02000000000001</v>
      </c>
      <c r="M32" s="40" cm="1">
        <f t="array" ref="M32">_xlfn.IFS(L32=0,0,L32&lt;172,172,L32&gt;172,L32)</f>
        <v>172</v>
      </c>
      <c r="N32" s="40">
        <f t="shared" si="9"/>
        <v>-30</v>
      </c>
      <c r="P32" s="27" t="s">
        <v>12</v>
      </c>
      <c r="Q32" s="29">
        <v>14</v>
      </c>
      <c r="R32" s="29">
        <f>Sunday!L33+Table13[[#This Row],[Hours Variance]]+Table138[[#This Row],[Hours Variance]]+Table13813[[#This Row],[Hours Variance]]+Table1381314[[#This Row],[Hours Variance]]+Table13813141516[[#This Row],[Hours Variance]]+Table138131415[[#This Row],[Hours Variance]]</f>
        <v>-4.5000000000000036</v>
      </c>
      <c r="S32" s="31">
        <f>R32/L32</f>
        <v>-4.1276829939460677E-2</v>
      </c>
    </row>
    <row r="33" spans="2:19">
      <c r="B33" s="28" t="s">
        <v>12</v>
      </c>
      <c r="C33" s="30">
        <v>20</v>
      </c>
      <c r="D33" s="37">
        <f>Sunday!K34</f>
        <v>24</v>
      </c>
      <c r="E33" s="37">
        <f>Monday!K33</f>
        <v>22</v>
      </c>
      <c r="F33" s="37">
        <f>Tuesday!K33</f>
        <v>25</v>
      </c>
      <c r="G33" s="37">
        <f>Wednesday!K33</f>
        <v>41</v>
      </c>
      <c r="H33" s="37">
        <f>Thursday!K33</f>
        <v>25</v>
      </c>
      <c r="I33" s="37">
        <f>Friday!K33</f>
        <v>32</v>
      </c>
      <c r="J33" s="37">
        <f>Saturday!K33</f>
        <v>0</v>
      </c>
      <c r="K33" s="37">
        <f t="shared" si="8"/>
        <v>169</v>
      </c>
      <c r="L33" s="37">
        <f>Sunday!I34+Monday!I33+Tuesday!I33+Wednesday!I33+Thursday!I33+Friday!I33+Saturday!I33</f>
        <v>149.31</v>
      </c>
      <c r="M33" s="37" cm="1">
        <f t="array" ref="M33">_xlfn.IFS(L33=0,0,L33&lt;172,172,L33&gt;172,L33)</f>
        <v>172</v>
      </c>
      <c r="N33" s="40">
        <f t="shared" si="9"/>
        <v>-3</v>
      </c>
      <c r="P33" s="28" t="s">
        <v>12</v>
      </c>
      <c r="Q33" s="30">
        <v>20</v>
      </c>
      <c r="R33" s="29">
        <f>Sunday!L34+Table13[[#This Row],[Hours Variance]]+Table138[[#This Row],[Hours Variance]]+Table13813[[#This Row],[Hours Variance]]+Table1381314[[#This Row],[Hours Variance]]+Table13813141516[[#This Row],[Hours Variance]]+Table138131415[[#This Row],[Hours Variance]]</f>
        <v>9.9199999999999946</v>
      </c>
      <c r="S33" s="32">
        <f>R33/L33</f>
        <v>6.6438952514901839E-2</v>
      </c>
    </row>
    <row r="34" spans="2:19">
      <c r="B34" s="27" t="s">
        <v>12</v>
      </c>
      <c r="C34" s="29">
        <v>21</v>
      </c>
      <c r="D34" s="40">
        <f>Sunday!K35</f>
        <v>20</v>
      </c>
      <c r="E34" s="40">
        <f>Monday!K34</f>
        <v>45</v>
      </c>
      <c r="F34" s="40">
        <f>Tuesday!K34</f>
        <v>51</v>
      </c>
      <c r="G34" s="40">
        <f>Wednesday!K34</f>
        <v>51</v>
      </c>
      <c r="H34" s="40">
        <f>Thursday!K34</f>
        <v>34</v>
      </c>
      <c r="I34" s="40">
        <f>Friday!K34</f>
        <v>59</v>
      </c>
      <c r="J34" s="40">
        <f>Saturday!K34</f>
        <v>0</v>
      </c>
      <c r="K34" s="40">
        <f t="shared" si="8"/>
        <v>260</v>
      </c>
      <c r="L34" s="40">
        <f>Sunday!I35+Monday!I34+Tuesday!I34+Wednesday!I34+Thursday!I34+Friday!I34+Saturday!I34</f>
        <v>278.08</v>
      </c>
      <c r="M34" s="40" cm="1">
        <f t="array" ref="M34">_xlfn.IFS(L34=0,0,L34&lt;172,172,L34&gt;172,L34)</f>
        <v>278.08</v>
      </c>
      <c r="N34" s="40">
        <f t="shared" si="9"/>
        <v>-18.079999999999984</v>
      </c>
      <c r="P34" s="27" t="s">
        <v>12</v>
      </c>
      <c r="Q34" s="29">
        <v>21</v>
      </c>
      <c r="R34" s="29">
        <f>Sunday!L35+Table13[[#This Row],[Hours Variance]]+Table138[[#This Row],[Hours Variance]]+Table13813[[#This Row],[Hours Variance]]+Table1381314[[#This Row],[Hours Variance]]+Table13813141516[[#This Row],[Hours Variance]]+Table138131415[[#This Row],[Hours Variance]]</f>
        <v>-18.080000000000005</v>
      </c>
      <c r="S34" s="31">
        <f>R34/L34</f>
        <v>-6.5017261219792885E-2</v>
      </c>
    </row>
    <row r="35" spans="2:19">
      <c r="B35" s="28" t="s">
        <v>12</v>
      </c>
      <c r="C35" s="30">
        <v>23</v>
      </c>
      <c r="D35" s="37">
        <f>Sunday!K36</f>
        <v>28</v>
      </c>
      <c r="E35" s="37">
        <f>Monday!K35</f>
        <v>27</v>
      </c>
      <c r="F35" s="37">
        <f>Tuesday!K35</f>
        <v>28</v>
      </c>
      <c r="G35" s="37">
        <f>Wednesday!K35</f>
        <v>28</v>
      </c>
      <c r="H35" s="37">
        <f>Thursday!K35</f>
        <v>29</v>
      </c>
      <c r="I35" s="37">
        <f>Friday!K35</f>
        <v>34</v>
      </c>
      <c r="J35" s="37">
        <f>Saturday!K35</f>
        <v>0</v>
      </c>
      <c r="K35" s="37">
        <f t="shared" si="8"/>
        <v>174</v>
      </c>
      <c r="L35" s="37">
        <f>Sunday!I36+Monday!I35+Tuesday!I35+Wednesday!I35+Thursday!I35+Friday!I35+Saturday!I35</f>
        <v>167.48000000000002</v>
      </c>
      <c r="M35" s="37" cm="1">
        <f t="array" ref="M35">_xlfn.IFS(L35=0,0,L35&lt;172,172,L35&gt;172,L35)</f>
        <v>172</v>
      </c>
      <c r="N35" s="40">
        <f t="shared" si="9"/>
        <v>2</v>
      </c>
      <c r="P35" s="28" t="s">
        <v>12</v>
      </c>
      <c r="Q35" s="30">
        <v>23</v>
      </c>
      <c r="R35" s="29">
        <f>Sunday!L36+Table13[[#This Row],[Hours Variance]]+Table138[[#This Row],[Hours Variance]]+Table13813[[#This Row],[Hours Variance]]+Table1381314[[#This Row],[Hours Variance]]+Table13813141516[[#This Row],[Hours Variance]]+Table138131415[[#This Row],[Hours Variance]]</f>
        <v>3.3399999999999928</v>
      </c>
      <c r="S35" s="32">
        <f>R35/L35</f>
        <v>1.994267972295195E-2</v>
      </c>
    </row>
    <row r="36" spans="2:19">
      <c r="B36" s="27" t="s">
        <v>12</v>
      </c>
      <c r="C36" s="29">
        <v>24</v>
      </c>
      <c r="D36" s="40">
        <f>Sunday!K37</f>
        <v>30</v>
      </c>
      <c r="E36" s="40">
        <f>Monday!K36</f>
        <v>36</v>
      </c>
      <c r="F36" s="40">
        <f>Tuesday!K36</f>
        <v>46</v>
      </c>
      <c r="G36" s="40">
        <f>Wednesday!K36</f>
        <v>35</v>
      </c>
      <c r="H36" s="40">
        <f>Thursday!K36</f>
        <v>35</v>
      </c>
      <c r="I36" s="40">
        <f>Friday!K36</f>
        <v>52</v>
      </c>
      <c r="J36" s="40">
        <f>Saturday!K36</f>
        <v>0</v>
      </c>
      <c r="K36" s="40">
        <f t="shared" si="8"/>
        <v>234</v>
      </c>
      <c r="L36" s="40">
        <f>Sunday!I37+Monday!I36+Tuesday!I36+Wednesday!I36+Thursday!I36+Friday!I36+Saturday!I36</f>
        <v>249.64</v>
      </c>
      <c r="M36" s="40" cm="1">
        <f t="array" ref="M36">_xlfn.IFS(L36=0,0,L36&lt;172,172,L36&gt;172,L36)</f>
        <v>249.64</v>
      </c>
      <c r="N36" s="40">
        <f t="shared" si="9"/>
        <v>-15.639999999999986</v>
      </c>
      <c r="P36" s="27" t="s">
        <v>12</v>
      </c>
      <c r="Q36" s="29">
        <v>24</v>
      </c>
      <c r="R36" s="29">
        <f>Sunday!L37+Table13[[#This Row],[Hours Variance]]+Table138[[#This Row],[Hours Variance]]+Table13813[[#This Row],[Hours Variance]]+Table1381314[[#This Row],[Hours Variance]]+Table13813141516[[#This Row],[Hours Variance]]+Table138131415[[#This Row],[Hours Variance]]</f>
        <v>-15.640000000000015</v>
      </c>
      <c r="S36" s="31">
        <f>R36/L36</f>
        <v>-6.2650216311488607E-2</v>
      </c>
    </row>
    <row r="37" spans="2:19">
      <c r="B37" s="28" t="s">
        <v>12</v>
      </c>
      <c r="C37" s="30">
        <v>26</v>
      </c>
      <c r="D37" s="37">
        <f>Sunday!K38</f>
        <v>19</v>
      </c>
      <c r="E37" s="37">
        <f>Monday!K37</f>
        <v>22</v>
      </c>
      <c r="F37" s="37">
        <f>Tuesday!K37</f>
        <v>20</v>
      </c>
      <c r="G37" s="37">
        <f>Wednesday!K37</f>
        <v>22</v>
      </c>
      <c r="H37" s="37">
        <f>Thursday!K37</f>
        <v>26</v>
      </c>
      <c r="I37" s="37">
        <f>Friday!K37</f>
        <v>27</v>
      </c>
      <c r="J37" s="37">
        <f>Saturday!K37</f>
        <v>0</v>
      </c>
      <c r="K37" s="37">
        <f t="shared" si="8"/>
        <v>136</v>
      </c>
      <c r="L37" s="37">
        <f>Sunday!I38+Monday!I37+Tuesday!I37+Wednesday!I37+Thursday!I37+Friday!I37+Saturday!I37</f>
        <v>116.92000000000002</v>
      </c>
      <c r="M37" s="37" cm="1">
        <f t="array" ref="M37">_xlfn.IFS(L37=0,0,L37&lt;172,172,L37&gt;172,L37)</f>
        <v>172</v>
      </c>
      <c r="N37" s="40">
        <f t="shared" si="9"/>
        <v>-36</v>
      </c>
      <c r="P37" s="28" t="s">
        <v>12</v>
      </c>
      <c r="Q37" s="30">
        <v>26</v>
      </c>
      <c r="R37" s="29">
        <f>Sunday!L38+Table13[[#This Row],[Hours Variance]]+Table138[[#This Row],[Hours Variance]]+Table13813[[#This Row],[Hours Variance]]+Table1381314[[#This Row],[Hours Variance]]+Table13813141516[[#This Row],[Hours Variance]]+Table138131415[[#This Row],[Hours Variance]]</f>
        <v>-10.500000000000004</v>
      </c>
      <c r="S37" s="32">
        <f>R37/L37</f>
        <v>-8.9804994868286026E-2</v>
      </c>
    </row>
    <row r="38" spans="2:19">
      <c r="B38" s="27" t="s">
        <v>14</v>
      </c>
      <c r="C38" s="29">
        <v>29</v>
      </c>
      <c r="D38" s="40">
        <f>Sunday!K39</f>
        <v>38.72</v>
      </c>
      <c r="E38" s="40">
        <f>Monday!K38</f>
        <v>46</v>
      </c>
      <c r="F38" s="40">
        <f>Tuesday!K38</f>
        <v>43.36</v>
      </c>
      <c r="G38" s="40">
        <f>Wednesday!K38</f>
        <v>45.79</v>
      </c>
      <c r="H38" s="40">
        <f>Thursday!K38</f>
        <v>37.22</v>
      </c>
      <c r="I38" s="40">
        <f>Friday!K38</f>
        <v>39.76</v>
      </c>
      <c r="J38" s="40">
        <f>Saturday!K38</f>
        <v>0</v>
      </c>
      <c r="K38" s="40">
        <f t="shared" si="8"/>
        <v>250.84999999999997</v>
      </c>
      <c r="L38" s="40">
        <f>Sunday!I39+Monday!I38+Tuesday!I38+Wednesday!I38+Thursday!I38+Friday!I38+Saturday!I38</f>
        <v>214.09</v>
      </c>
      <c r="M38" s="40" cm="1">
        <f t="array" ref="M38">_xlfn.IFS(L38=0,0,L38&lt;172,172,L38&gt;172,L38)</f>
        <v>214.09</v>
      </c>
      <c r="N38" s="40">
        <f t="shared" si="9"/>
        <v>36.759999999999962</v>
      </c>
      <c r="P38" s="27" t="s">
        <v>14</v>
      </c>
      <c r="Q38" s="29">
        <v>29</v>
      </c>
      <c r="R38" s="29">
        <f>Sunday!L39+Table13[[#This Row],[Hours Variance]]+Table138[[#This Row],[Hours Variance]]+Table13813[[#This Row],[Hours Variance]]+Table1381314[[#This Row],[Hours Variance]]+Table13813141516[[#This Row],[Hours Variance]]+Table138131415[[#This Row],[Hours Variance]]</f>
        <v>32.789999999999992</v>
      </c>
      <c r="S38" s="31">
        <f>R38/L38</f>
        <v>0.15315988602923999</v>
      </c>
    </row>
    <row r="39" spans="2:19">
      <c r="B39" s="28" t="s">
        <v>14</v>
      </c>
      <c r="C39" s="30">
        <v>40</v>
      </c>
      <c r="D39" s="37">
        <f>Sunday!K40</f>
        <v>14.97</v>
      </c>
      <c r="E39" s="37">
        <f>Monday!K39</f>
        <v>26.77</v>
      </c>
      <c r="F39" s="37">
        <f>Tuesday!K39</f>
        <v>33.26</v>
      </c>
      <c r="G39" s="37">
        <f>Wednesday!K39</f>
        <v>25.84</v>
      </c>
      <c r="H39" s="37">
        <f>Thursday!K39</f>
        <v>21.83</v>
      </c>
      <c r="I39" s="37">
        <f>Friday!K39</f>
        <v>26.67</v>
      </c>
      <c r="J39" s="37">
        <f>Saturday!K39</f>
        <v>0</v>
      </c>
      <c r="K39" s="37">
        <f t="shared" si="8"/>
        <v>149.34</v>
      </c>
      <c r="L39" s="37">
        <f>Sunday!I40+Monday!I39+Tuesday!I39+Wednesday!I39+Thursday!I39+Friday!I39+Saturday!I39</f>
        <v>149.31</v>
      </c>
      <c r="M39" s="37" cm="1">
        <f t="array" ref="M39">_xlfn.IFS(L39=0,0,L39&lt;172,172,L39&gt;172,L39)</f>
        <v>172</v>
      </c>
      <c r="N39" s="40">
        <f t="shared" si="9"/>
        <v>-22.659999999999997</v>
      </c>
      <c r="P39" s="28" t="s">
        <v>14</v>
      </c>
      <c r="Q39" s="30">
        <v>40</v>
      </c>
      <c r="R39" s="29">
        <f>Sunday!L40+Table13[[#This Row],[Hours Variance]]+Table138[[#This Row],[Hours Variance]]+Table13813[[#This Row],[Hours Variance]]+Table1381314[[#This Row],[Hours Variance]]+Table13813141516[[#This Row],[Hours Variance]]+Table138131415[[#This Row],[Hours Variance]]</f>
        <v>-9.5100000000000069</v>
      </c>
      <c r="S39" s="32">
        <f>R39/L39</f>
        <v>-6.3692987743620699E-2</v>
      </c>
    </row>
    <row r="40" spans="2:19">
      <c r="B40" s="27" t="s">
        <v>14</v>
      </c>
      <c r="C40" s="29">
        <v>280</v>
      </c>
      <c r="D40" s="40">
        <f>Sunday!K41</f>
        <v>16.87</v>
      </c>
      <c r="E40" s="40">
        <f>Monday!K40</f>
        <v>22.97</v>
      </c>
      <c r="F40" s="40">
        <f>Tuesday!K40</f>
        <v>15.51</v>
      </c>
      <c r="G40" s="40">
        <f>Wednesday!K40</f>
        <v>24.25</v>
      </c>
      <c r="H40" s="40">
        <f>Thursday!K40</f>
        <v>20.38</v>
      </c>
      <c r="I40" s="40">
        <f>Friday!K40</f>
        <v>16.52</v>
      </c>
      <c r="J40" s="40">
        <f>Saturday!K40</f>
        <v>0</v>
      </c>
      <c r="K40" s="40">
        <f t="shared" si="8"/>
        <v>116.49999999999999</v>
      </c>
      <c r="L40" s="40">
        <f>Sunday!I41+Monday!I40+Tuesday!I40+Wednesday!I40+Thursday!I40+Friday!I40+Saturday!I40</f>
        <v>101.91</v>
      </c>
      <c r="M40" s="40" cm="1">
        <f t="array" ref="M40">_xlfn.IFS(L40=0,0,L40&lt;172,172,L40&gt;172,L40)</f>
        <v>172</v>
      </c>
      <c r="N40" s="40">
        <f t="shared" si="9"/>
        <v>-55.500000000000014</v>
      </c>
      <c r="P40" s="27" t="s">
        <v>14</v>
      </c>
      <c r="Q40" s="29">
        <v>280</v>
      </c>
      <c r="R40" s="29">
        <f>Sunday!L41+Table13[[#This Row],[Hours Variance]]+Table138[[#This Row],[Hours Variance]]+Table13813[[#This Row],[Hours Variance]]+Table1381314[[#This Row],[Hours Variance]]+Table13813141516[[#This Row],[Hours Variance]]+Table138131415[[#This Row],[Hours Variance]]</f>
        <v>-30.000000000000007</v>
      </c>
      <c r="S40" s="31">
        <f>R40/L40</f>
        <v>-0.29437739181630856</v>
      </c>
    </row>
    <row r="41" spans="2:19">
      <c r="B41" s="28" t="s">
        <v>14</v>
      </c>
      <c r="C41" s="30">
        <v>599</v>
      </c>
      <c r="D41" s="37">
        <f>Sunday!K42</f>
        <v>16.61</v>
      </c>
      <c r="E41" s="37">
        <f>Monday!K41</f>
        <v>22.94</v>
      </c>
      <c r="F41" s="37">
        <f>Tuesday!K41</f>
        <v>21.39</v>
      </c>
      <c r="G41" s="37">
        <f>Wednesday!K41</f>
        <v>27.33</v>
      </c>
      <c r="H41" s="37">
        <f>Thursday!K41</f>
        <v>28.26</v>
      </c>
      <c r="I41" s="37">
        <f>Friday!K41</f>
        <v>23.85</v>
      </c>
      <c r="J41" s="37">
        <f>Saturday!K41</f>
        <v>0</v>
      </c>
      <c r="K41" s="37">
        <f t="shared" si="8"/>
        <v>140.38</v>
      </c>
      <c r="L41" s="37">
        <f>Sunday!I42+Monday!I41+Tuesday!I41+Wednesday!I41+Thursday!I41+Friday!I41+Saturday!I41</f>
        <v>147.72999999999999</v>
      </c>
      <c r="M41" s="37" cm="1">
        <f t="array" ref="M41">_xlfn.IFS(L41=0,0,L41&lt;172,172,L41&gt;172,L41)</f>
        <v>172</v>
      </c>
      <c r="N41" s="40">
        <f t="shared" si="9"/>
        <v>-31.620000000000005</v>
      </c>
      <c r="P41" s="28" t="s">
        <v>14</v>
      </c>
      <c r="Q41" s="30">
        <v>599</v>
      </c>
      <c r="R41" s="29">
        <f>Sunday!L42+Table13[[#This Row],[Hours Variance]]+Table138[[#This Row],[Hours Variance]]+Table13813[[#This Row],[Hours Variance]]+Table1381314[[#This Row],[Hours Variance]]+Table13813141516[[#This Row],[Hours Variance]]+Table138131415[[#This Row],[Hours Variance]]</f>
        <v>-19.239999999999998</v>
      </c>
      <c r="S41" s="32">
        <f>R41/L41</f>
        <v>-0.13023759561361944</v>
      </c>
    </row>
    <row r="42" spans="2:19">
      <c r="B42" s="27" t="s">
        <v>14</v>
      </c>
      <c r="C42" s="29">
        <v>720</v>
      </c>
      <c r="D42" s="40">
        <f>Sunday!K43</f>
        <v>18.260000000000002</v>
      </c>
      <c r="E42" s="40">
        <f>Monday!K42</f>
        <v>22.82</v>
      </c>
      <c r="F42" s="40">
        <f>Tuesday!K42</f>
        <v>18.63</v>
      </c>
      <c r="G42" s="40">
        <f>Wednesday!K42</f>
        <v>27.75</v>
      </c>
      <c r="H42" s="40">
        <f>Thursday!K42</f>
        <v>28.8</v>
      </c>
      <c r="I42" s="40">
        <f>Friday!K42</f>
        <v>28.3</v>
      </c>
      <c r="J42" s="40">
        <f>Saturday!K42</f>
        <v>0</v>
      </c>
      <c r="K42" s="40">
        <f t="shared" si="8"/>
        <v>144.56</v>
      </c>
      <c r="L42" s="40">
        <f>Sunday!I43+Monday!I42+Tuesday!I42+Wednesday!I42+Thursday!I42+Friday!I42+Saturday!I42</f>
        <v>115.34000000000003</v>
      </c>
      <c r="M42" s="40" cm="1">
        <f t="array" ref="M42">_xlfn.IFS(L42=0,0,L42&lt;172,172,L42&gt;172,L42)</f>
        <v>172</v>
      </c>
      <c r="N42" s="40">
        <f t="shared" si="9"/>
        <v>-27.439999999999998</v>
      </c>
      <c r="P42" s="27" t="s">
        <v>14</v>
      </c>
      <c r="Q42" s="29">
        <v>720</v>
      </c>
      <c r="R42" s="29">
        <f>Sunday!L43+Table13[[#This Row],[Hours Variance]]+Table138[[#This Row],[Hours Variance]]+Table13813[[#This Row],[Hours Variance]]+Table1381314[[#This Row],[Hours Variance]]+Table13813141516[[#This Row],[Hours Variance]]+Table138131415[[#This Row],[Hours Variance]]</f>
        <v>-1.9400000000000013</v>
      </c>
      <c r="S42" s="31">
        <f>R42/L42</f>
        <v>-1.6819837003641414E-2</v>
      </c>
    </row>
    <row r="43" spans="2:19">
      <c r="B43" s="28" t="s">
        <v>14</v>
      </c>
      <c r="C43" s="30">
        <v>728</v>
      </c>
      <c r="D43" s="37">
        <f>Sunday!K44</f>
        <v>16.690000000000001</v>
      </c>
      <c r="E43" s="37">
        <f>Monday!K43</f>
        <v>30.25</v>
      </c>
      <c r="F43" s="37">
        <f>Tuesday!K43</f>
        <v>26.27</v>
      </c>
      <c r="G43" s="37">
        <f>Wednesday!K43</f>
        <v>32.31</v>
      </c>
      <c r="H43" s="37">
        <f>Thursday!K43</f>
        <v>20.78</v>
      </c>
      <c r="I43" s="37">
        <f>Friday!K43</f>
        <v>0</v>
      </c>
      <c r="J43" s="37">
        <f>Saturday!K43</f>
        <v>0</v>
      </c>
      <c r="K43" s="37">
        <f t="shared" si="8"/>
        <v>126.3</v>
      </c>
      <c r="L43" s="37">
        <f>Sunday!I44+Monday!I43+Tuesday!I43+Wednesday!I43+Thursday!I43+Friday!I43+Saturday!I43</f>
        <v>75.05</v>
      </c>
      <c r="M43" s="37" cm="1">
        <f t="array" ref="M43">_xlfn.IFS(L43=0,0,L43&lt;172,172,L43&gt;172,L43)</f>
        <v>172</v>
      </c>
      <c r="N43" s="40">
        <f t="shared" si="9"/>
        <v>-45.7</v>
      </c>
      <c r="P43" s="28" t="s">
        <v>14</v>
      </c>
      <c r="Q43" s="30">
        <v>728</v>
      </c>
      <c r="R43" s="29">
        <f>Sunday!L44+Table13[[#This Row],[Hours Variance]]+Table138[[#This Row],[Hours Variance]]+Table13813[[#This Row],[Hours Variance]]+Table1381314[[#This Row],[Hours Variance]]+Table13813141516[[#This Row],[Hours Variance]]+Table138131415[[#This Row],[Hours Variance]]</f>
        <v>-20.2</v>
      </c>
      <c r="S43" s="32">
        <f>R43/L43</f>
        <v>-0.26915389740173218</v>
      </c>
    </row>
    <row r="44" spans="2:19">
      <c r="B44" s="27" t="s">
        <v>14</v>
      </c>
      <c r="C44" s="29">
        <v>830</v>
      </c>
      <c r="D44" s="40">
        <f>Sunday!K45</f>
        <v>25.47</v>
      </c>
      <c r="E44" s="40">
        <f>Monday!K44</f>
        <v>27.94</v>
      </c>
      <c r="F44" s="40">
        <f>Tuesday!K44</f>
        <v>26.5</v>
      </c>
      <c r="G44" s="40">
        <f>Wednesday!K44</f>
        <v>23.4</v>
      </c>
      <c r="H44" s="40">
        <f>Thursday!K44</f>
        <v>0</v>
      </c>
      <c r="I44" s="40">
        <f>Friday!K44</f>
        <v>28.2</v>
      </c>
      <c r="J44" s="40">
        <f>Saturday!K44</f>
        <v>0</v>
      </c>
      <c r="K44" s="40">
        <f t="shared" si="8"/>
        <v>131.51</v>
      </c>
      <c r="L44" s="40">
        <f>Sunday!I45+Monday!I44+Tuesday!I44+Wednesday!I44+Thursday!I44+Friday!I44+Saturday!I44</f>
        <v>86.110000000000014</v>
      </c>
      <c r="M44" s="40" cm="1">
        <f t="array" ref="M44">_xlfn.IFS(L44=0,0,L44&lt;172,172,L44&gt;172,L44)</f>
        <v>172</v>
      </c>
      <c r="N44" s="40">
        <f t="shared" si="9"/>
        <v>-40.490000000000009</v>
      </c>
      <c r="P44" s="27" t="s">
        <v>14</v>
      </c>
      <c r="Q44" s="29">
        <v>830</v>
      </c>
      <c r="R44" s="29">
        <f>Sunday!L45+Table13[[#This Row],[Hours Variance]]+Table138[[#This Row],[Hours Variance]]+Table13813[[#This Row],[Hours Variance]]+Table1381314[[#This Row],[Hours Variance]]+Table13813141516[[#This Row],[Hours Variance]]+Table138131415[[#This Row],[Hours Variance]]</f>
        <v>-14.990000000000006</v>
      </c>
      <c r="S44" s="31">
        <f>R44/L44</f>
        <v>-0.17407966554407156</v>
      </c>
    </row>
    <row r="45" spans="2:19">
      <c r="B45" s="27" t="s">
        <v>14</v>
      </c>
      <c r="C45" s="29">
        <v>975</v>
      </c>
      <c r="D45" s="40">
        <f>Sunday!K46</f>
        <v>16.72</v>
      </c>
      <c r="E45" s="40">
        <f>Monday!K45</f>
        <v>20.84</v>
      </c>
      <c r="F45" s="40">
        <f>Tuesday!K45</f>
        <v>21.29</v>
      </c>
      <c r="G45" s="40">
        <f>Wednesday!K45</f>
        <v>0</v>
      </c>
      <c r="H45" s="40">
        <f>Thursday!K45</f>
        <v>26.99</v>
      </c>
      <c r="I45" s="40">
        <f>Friday!K45</f>
        <v>14.65</v>
      </c>
      <c r="J45" s="40">
        <f>Saturday!K45</f>
        <v>0</v>
      </c>
      <c r="K45" s="40">
        <f t="shared" ref="K45" si="10">SUM(D45:J45)</f>
        <v>100.49000000000001</v>
      </c>
      <c r="L45" s="40">
        <f>Sunday!I46+Monday!I45+Tuesday!I45+Wednesday!I45+Thursday!I45+Friday!I45+Saturday!I45</f>
        <v>48.19</v>
      </c>
      <c r="M45" s="40" cm="1">
        <f t="array" ref="M45">_xlfn.IFS(L45=0,0,L45&lt;172,172,L45&gt;172,L45)</f>
        <v>172</v>
      </c>
      <c r="N45" s="40">
        <f t="shared" ref="N45" si="11">K45-M45</f>
        <v>-71.509999999999991</v>
      </c>
      <c r="P45" s="27" t="s">
        <v>14</v>
      </c>
      <c r="Q45" s="29">
        <v>975</v>
      </c>
      <c r="R45" s="29">
        <f>Sunday!L46+Table13[[#This Row],[Hours Variance]]+Table138[[#This Row],[Hours Variance]]+Table13813[[#This Row],[Hours Variance]]+Table1381314[[#This Row],[Hours Variance]]+Table13813141516[[#This Row],[Hours Variance]]+Table138131415[[#This Row],[Hours Variance]]</f>
        <v>-20.710000000000008</v>
      </c>
      <c r="S45" s="31">
        <f>R45/L45</f>
        <v>-0.42975721103963499</v>
      </c>
    </row>
    <row r="46" spans="2:19">
      <c r="B46" s="28" t="s">
        <v>16</v>
      </c>
      <c r="C46" s="30">
        <v>46</v>
      </c>
      <c r="D46" s="37">
        <f>Sunday!K47</f>
        <v>18.78</v>
      </c>
      <c r="E46" s="37">
        <f>Monday!K46</f>
        <v>27.19</v>
      </c>
      <c r="F46" s="37">
        <f>Tuesday!K46</f>
        <v>28.5</v>
      </c>
      <c r="G46" s="37">
        <f>Wednesday!K46</f>
        <v>27.86</v>
      </c>
      <c r="H46" s="37">
        <f>Thursday!K46</f>
        <v>37.229999999999997</v>
      </c>
      <c r="I46" s="37">
        <f>Friday!K46</f>
        <v>0</v>
      </c>
      <c r="J46" s="37">
        <f>Saturday!K46</f>
        <v>0</v>
      </c>
      <c r="K46" s="37">
        <f t="shared" si="8"/>
        <v>139.56</v>
      </c>
      <c r="L46" s="37">
        <f>Sunday!I47+Monday!I46+Tuesday!I46+Wednesday!I46+Thursday!I46+Friday!I46+Saturday!I46</f>
        <v>129.56</v>
      </c>
      <c r="M46" s="37" cm="1">
        <f t="array" ref="M46">_xlfn.IFS(L46=0,0,L46&lt;172,172,L46&gt;172,L46)</f>
        <v>172</v>
      </c>
      <c r="N46" s="40">
        <f t="shared" si="9"/>
        <v>-32.44</v>
      </c>
      <c r="P46" s="28" t="s">
        <v>16</v>
      </c>
      <c r="Q46" s="30">
        <v>46</v>
      </c>
      <c r="R46" s="29">
        <f>Sunday!L47+Table13[[#This Row],[Hours Variance]]+Table138[[#This Row],[Hours Variance]]+Table13813[[#This Row],[Hours Variance]]+Table1381314[[#This Row],[Hours Variance]]+Table13813141516[[#This Row],[Hours Variance]]+Table138131415[[#This Row],[Hours Variance]]</f>
        <v>1.8499999999999943</v>
      </c>
      <c r="S46" s="32">
        <f>R46/L46</f>
        <v>1.4279098487187359E-2</v>
      </c>
    </row>
    <row r="47" spans="2:19">
      <c r="B47" s="27" t="s">
        <v>16</v>
      </c>
      <c r="C47" s="29">
        <v>283</v>
      </c>
      <c r="D47" s="40">
        <f>Sunday!K48</f>
        <v>16.91</v>
      </c>
      <c r="E47" s="40">
        <f>Monday!K47</f>
        <v>30.34</v>
      </c>
      <c r="F47" s="40">
        <f>Tuesday!K47</f>
        <v>24.2</v>
      </c>
      <c r="G47" s="40">
        <f>Wednesday!K47</f>
        <v>25.07</v>
      </c>
      <c r="H47" s="40">
        <f>Thursday!K47</f>
        <v>27.44</v>
      </c>
      <c r="I47" s="40">
        <f>Friday!K47</f>
        <v>0</v>
      </c>
      <c r="J47" s="40">
        <f>Saturday!K47</f>
        <v>0</v>
      </c>
      <c r="K47" s="40">
        <f t="shared" si="8"/>
        <v>123.96000000000001</v>
      </c>
      <c r="L47" s="40">
        <f>Sunday!I48+Monday!I47+Tuesday!I47+Wednesday!I47+Thursday!I47+Friday!I47+Saturday!I47</f>
        <v>115.33999999999999</v>
      </c>
      <c r="M47" s="40" cm="1">
        <f t="array" ref="M47">_xlfn.IFS(L47=0,0,L47&lt;172,172,L47&gt;172,L47)</f>
        <v>172</v>
      </c>
      <c r="N47" s="40">
        <f t="shared" si="9"/>
        <v>-48.039999999999992</v>
      </c>
      <c r="P47" s="27" t="s">
        <v>16</v>
      </c>
      <c r="Q47" s="29">
        <v>283</v>
      </c>
      <c r="R47" s="29">
        <f>Sunday!L48+Table13[[#This Row],[Hours Variance]]+Table138[[#This Row],[Hours Variance]]+Table13813[[#This Row],[Hours Variance]]+Table1381314[[#This Row],[Hours Variance]]+Table13813141516[[#This Row],[Hours Variance]]+Table138131415[[#This Row],[Hours Variance]]</f>
        <v>-0.38000000000000256</v>
      </c>
      <c r="S47" s="31">
        <f>R47/L47</f>
        <v>-3.2946072481359685E-3</v>
      </c>
    </row>
    <row r="48" spans="2:19">
      <c r="B48" s="28" t="s">
        <v>16</v>
      </c>
      <c r="C48" s="30">
        <v>847</v>
      </c>
      <c r="D48" s="37">
        <f>Sunday!K49</f>
        <v>17.23</v>
      </c>
      <c r="E48" s="37">
        <f>Monday!K48</f>
        <v>33.64</v>
      </c>
      <c r="F48" s="37">
        <f>Tuesday!K48</f>
        <v>27.95</v>
      </c>
      <c r="G48" s="37">
        <f>Wednesday!K48</f>
        <v>27.12</v>
      </c>
      <c r="H48" s="37">
        <f>Thursday!K48</f>
        <v>28.56</v>
      </c>
      <c r="I48" s="37">
        <f>Friday!K48</f>
        <v>0</v>
      </c>
      <c r="J48" s="37">
        <f>Saturday!K48</f>
        <v>0</v>
      </c>
      <c r="K48" s="37">
        <f t="shared" si="8"/>
        <v>134.5</v>
      </c>
      <c r="L48" s="37">
        <f>Sunday!I49+Monday!I48+Tuesday!I48+Wednesday!I48+Thursday!I48+Friday!I48+Saturday!I48</f>
        <v>79.790000000000006</v>
      </c>
      <c r="M48" s="37" cm="1">
        <f t="array" ref="M48">_xlfn.IFS(L48=0,0,L48&lt;172,172,L48&gt;172,L48)</f>
        <v>172</v>
      </c>
      <c r="N48" s="40">
        <f t="shared" si="9"/>
        <v>-37.5</v>
      </c>
      <c r="P48" s="28" t="s">
        <v>16</v>
      </c>
      <c r="Q48" s="30">
        <v>847</v>
      </c>
      <c r="R48" s="29">
        <f>Sunday!L49+Table13[[#This Row],[Hours Variance]]+Table138[[#This Row],[Hours Variance]]+Table13813[[#This Row],[Hours Variance]]+Table1381314[[#This Row],[Hours Variance]]+Table13813141516[[#This Row],[Hours Variance]]+Table138131415[[#This Row],[Hours Variance]]</f>
        <v>13.299999999999997</v>
      </c>
      <c r="S48" s="32">
        <f>R48/L48</f>
        <v>0.16668755483143247</v>
      </c>
    </row>
    <row r="49" spans="2:19">
      <c r="B49" s="27" t="s">
        <v>16</v>
      </c>
      <c r="C49" s="29">
        <v>865</v>
      </c>
      <c r="D49" s="40">
        <f>Sunday!K50</f>
        <v>16.36</v>
      </c>
      <c r="E49" s="40">
        <f>Monday!K49</f>
        <v>21.95</v>
      </c>
      <c r="F49" s="40">
        <f>Tuesday!K49</f>
        <v>23.51</v>
      </c>
      <c r="G49" s="40">
        <f>Wednesday!K49</f>
        <v>21.25</v>
      </c>
      <c r="H49" s="40">
        <f>Thursday!K49</f>
        <v>28.74</v>
      </c>
      <c r="I49" s="40">
        <f>Friday!K49</f>
        <v>0</v>
      </c>
      <c r="J49" s="40">
        <f>Saturday!K49</f>
        <v>0</v>
      </c>
      <c r="K49" s="40">
        <f t="shared" si="8"/>
        <v>111.81</v>
      </c>
      <c r="L49" s="40">
        <f>Sunday!I50+Monday!I49+Tuesday!I49+Wednesday!I49+Thursday!I49+Friday!I49+Saturday!I49</f>
        <v>96.38</v>
      </c>
      <c r="M49" s="40" cm="1">
        <f t="array" ref="M49">_xlfn.IFS(L49=0,0,L49&lt;172,172,L49&gt;172,L49)</f>
        <v>172</v>
      </c>
      <c r="N49" s="40">
        <f t="shared" si="9"/>
        <v>-60.19</v>
      </c>
      <c r="P49" s="27" t="s">
        <v>16</v>
      </c>
      <c r="Q49" s="29">
        <v>865</v>
      </c>
      <c r="R49" s="29">
        <f>Sunday!L50+Table13[[#This Row],[Hours Variance]]+Table138[[#This Row],[Hours Variance]]+Table13813[[#This Row],[Hours Variance]]+Table1381314[[#This Row],[Hours Variance]]+Table13813141516[[#This Row],[Hours Variance]]+Table138131415[[#This Row],[Hours Variance]]</f>
        <v>-9.3900000000000041</v>
      </c>
      <c r="S49" s="31">
        <f>R49/L49</f>
        <v>-9.7426852043992582E-2</v>
      </c>
    </row>
    <row r="50" spans="2:19">
      <c r="B50" s="28" t="s">
        <v>16</v>
      </c>
      <c r="C50" s="30">
        <v>919</v>
      </c>
      <c r="D50" s="37">
        <f>Sunday!K51</f>
        <v>16.88</v>
      </c>
      <c r="E50" s="37">
        <f>Monday!K50</f>
        <v>33.880000000000003</v>
      </c>
      <c r="F50" s="37">
        <f>Tuesday!K50</f>
        <v>32.93</v>
      </c>
      <c r="G50" s="37">
        <f>Wednesday!K50</f>
        <v>36.56</v>
      </c>
      <c r="H50" s="37">
        <f>Thursday!K50</f>
        <v>0</v>
      </c>
      <c r="I50" s="37">
        <f>Friday!K50</f>
        <v>0</v>
      </c>
      <c r="J50" s="37">
        <f>Saturday!K50</f>
        <v>0</v>
      </c>
      <c r="K50" s="37">
        <f t="shared" si="8"/>
        <v>120.25</v>
      </c>
      <c r="L50" s="37">
        <f>Sunday!I51+Monday!I50+Tuesday!I50+Wednesday!I50+Thursday!I50+Friday!I50+Saturday!I50</f>
        <v>97.17</v>
      </c>
      <c r="M50" s="37" cm="1">
        <f t="array" ref="M50">_xlfn.IFS(L50=0,0,L50&lt;172,172,L50&gt;172,L50)</f>
        <v>172</v>
      </c>
      <c r="N50" s="40">
        <f t="shared" si="9"/>
        <v>-51.75</v>
      </c>
      <c r="P50" s="28" t="s">
        <v>16</v>
      </c>
      <c r="Q50" s="30">
        <v>919</v>
      </c>
      <c r="R50" s="29">
        <f>Sunday!L51+Table13[[#This Row],[Hours Variance]]+Table138[[#This Row],[Hours Variance]]+Table13813[[#This Row],[Hours Variance]]+Table1381314[[#This Row],[Hours Variance]]+Table13813141516[[#This Row],[Hours Variance]]+Table138131415[[#This Row],[Hours Variance]]</f>
        <v>-4.879999999999999</v>
      </c>
      <c r="S50" s="32">
        <f>R50/L50</f>
        <v>-5.0221261706287941E-2</v>
      </c>
    </row>
    <row r="51" spans="2:19">
      <c r="B51" s="27" t="s">
        <v>16</v>
      </c>
      <c r="C51" s="29">
        <v>954</v>
      </c>
      <c r="D51" s="40">
        <f>Sunday!K52</f>
        <v>15.12</v>
      </c>
      <c r="E51" s="40">
        <f>Monday!K51</f>
        <v>8.8800000000000008</v>
      </c>
      <c r="F51" s="40">
        <f>Tuesday!K51</f>
        <v>21.85</v>
      </c>
      <c r="G51" s="40">
        <f>Wednesday!K51</f>
        <v>19.5</v>
      </c>
      <c r="H51" s="40">
        <f>Thursday!K51</f>
        <v>18.100000000000001</v>
      </c>
      <c r="I51" s="40">
        <f>Friday!K51</f>
        <v>0</v>
      </c>
      <c r="J51" s="40">
        <f>Saturday!K51</f>
        <v>0</v>
      </c>
      <c r="K51" s="40">
        <f t="shared" si="8"/>
        <v>83.449999999999989</v>
      </c>
      <c r="L51" s="40">
        <f>Sunday!I52+Monday!I51+Tuesday!I51+Wednesday!I51+Thursday!I51+Friday!I51+Saturday!I51</f>
        <v>81.36999999999999</v>
      </c>
      <c r="M51" s="40" cm="1">
        <f t="array" ref="M51">_xlfn.IFS(L51=0,0,L51&lt;172,172,L51&gt;172,L51)</f>
        <v>172</v>
      </c>
      <c r="N51" s="40">
        <f t="shared" si="9"/>
        <v>-88.550000000000011</v>
      </c>
      <c r="P51" s="27" t="s">
        <v>16</v>
      </c>
      <c r="Q51" s="29">
        <v>954</v>
      </c>
      <c r="R51" s="29">
        <f>Sunday!L52+Table13[[#This Row],[Hours Variance]]+Table138[[#This Row],[Hours Variance]]+Table13813[[#This Row],[Hours Variance]]+Table1381314[[#This Row],[Hours Variance]]+Table13813141516[[#This Row],[Hours Variance]]+Table138131415[[#This Row],[Hours Variance]]</f>
        <v>-37.75</v>
      </c>
      <c r="S51" s="31">
        <f>R51/L51</f>
        <v>-0.4639301954037115</v>
      </c>
    </row>
    <row r="52" spans="2:19">
      <c r="B52" s="27" t="s">
        <v>16</v>
      </c>
      <c r="C52" s="29">
        <v>3017</v>
      </c>
      <c r="D52" s="40">
        <f>Sunday!K53</f>
        <v>12.23</v>
      </c>
      <c r="E52" s="40">
        <f>Monday!K52</f>
        <v>32.96</v>
      </c>
      <c r="F52" s="40">
        <f>Tuesday!K52</f>
        <v>19.75</v>
      </c>
      <c r="G52" s="40">
        <f>Wednesday!K52</f>
        <v>20.72</v>
      </c>
      <c r="H52" s="40">
        <f>Thursday!K52</f>
        <v>19.53</v>
      </c>
      <c r="I52" s="40">
        <f>Friday!K52</f>
        <v>0</v>
      </c>
      <c r="J52" s="40">
        <f>Saturday!K52</f>
        <v>0</v>
      </c>
      <c r="K52" s="40">
        <f t="shared" ref="K52" si="12">SUM(D52:J52)</f>
        <v>105.19</v>
      </c>
      <c r="L52" s="40">
        <f>Sunday!I53+Monday!I52+Tuesday!I52+Wednesday!I52+Thursday!I52+Friday!I52+Saturday!I52</f>
        <v>45.820000000000007</v>
      </c>
      <c r="M52" s="40" cm="1">
        <f t="array" ref="M52">_xlfn.IFS(L52=0,0,L52&lt;172,172,L52&gt;172,L52)</f>
        <v>172</v>
      </c>
      <c r="N52" s="40">
        <f t="shared" si="9"/>
        <v>-66.81</v>
      </c>
      <c r="P52" s="27" t="s">
        <v>16</v>
      </c>
      <c r="Q52" s="29">
        <v>3017</v>
      </c>
      <c r="R52" s="29">
        <f>Sunday!L53+Table13[[#This Row],[Hours Variance]]+Table138[[#This Row],[Hours Variance]]+Table13813[[#This Row],[Hours Variance]]+Table1381314[[#This Row],[Hours Variance]]+Table13813141516[[#This Row],[Hours Variance]]+Table138131415[[#This Row],[Hours Variance]]</f>
        <v>-16.010000000000002</v>
      </c>
      <c r="S52" s="31">
        <f>R52/L52</f>
        <v>-0.3494107376691401</v>
      </c>
    </row>
    <row r="53" spans="2:19">
      <c r="B53" s="28" t="s">
        <v>26</v>
      </c>
      <c r="C53" s="30">
        <v>1</v>
      </c>
      <c r="D53" s="37">
        <f>Sunday!K54</f>
        <v>20.36</v>
      </c>
      <c r="E53" s="37">
        <f>Monday!K53</f>
        <v>26.29</v>
      </c>
      <c r="F53" s="37">
        <f>Tuesday!K53</f>
        <v>37.700000000000003</v>
      </c>
      <c r="G53" s="37">
        <f>Wednesday!K53</f>
        <v>40.53</v>
      </c>
      <c r="H53" s="37">
        <f>Thursday!K53</f>
        <v>28.79</v>
      </c>
      <c r="I53" s="37">
        <f>Friday!K53</f>
        <v>22.47</v>
      </c>
      <c r="J53" s="37">
        <f>Saturday!K53</f>
        <v>0</v>
      </c>
      <c r="K53" s="37">
        <f t="shared" si="8"/>
        <v>176.14</v>
      </c>
      <c r="L53" s="37">
        <f>Sunday!I54+Monday!I53+Tuesday!I53+Wednesday!I53+Thursday!I53+Friday!I53+Saturday!I53</f>
        <v>119.29000000000002</v>
      </c>
      <c r="M53" s="37" cm="1">
        <f t="array" ref="M53">_xlfn.IFS(L53=0,0,L53&lt;172,172,L53&gt;172,L53)</f>
        <v>172</v>
      </c>
      <c r="N53" s="40">
        <f t="shared" si="9"/>
        <v>4.1399999999999864</v>
      </c>
      <c r="P53" s="28" t="s">
        <v>26</v>
      </c>
      <c r="Q53" s="30">
        <v>1</v>
      </c>
      <c r="R53" s="29">
        <f>Sunday!L54+Table13[[#This Row],[Hours Variance]]+Table138[[#This Row],[Hours Variance]]+Table13813[[#This Row],[Hours Variance]]+Table1381314[[#This Row],[Hours Variance]]+Table13813141516[[#This Row],[Hours Variance]]+Table138131415[[#This Row],[Hours Variance]]</f>
        <v>28.08</v>
      </c>
      <c r="S53" s="32">
        <f>R53/L53</f>
        <v>0.23539274038058508</v>
      </c>
    </row>
    <row r="54" spans="2:19">
      <c r="B54" s="27" t="s">
        <v>26</v>
      </c>
      <c r="C54" s="29">
        <v>2</v>
      </c>
      <c r="D54" s="40">
        <f>Sunday!K55</f>
        <v>21.84</v>
      </c>
      <c r="E54" s="40">
        <f>Monday!K54</f>
        <v>26.76</v>
      </c>
      <c r="F54" s="40">
        <f>Tuesday!K54</f>
        <v>32.630000000000003</v>
      </c>
      <c r="G54" s="40">
        <f>Wednesday!K54</f>
        <v>28.32</v>
      </c>
      <c r="H54" s="40">
        <f>Thursday!K54</f>
        <v>24.8</v>
      </c>
      <c r="I54" s="40">
        <f>Friday!K54</f>
        <v>24.74</v>
      </c>
      <c r="J54" s="40">
        <f>Saturday!K54</f>
        <v>0</v>
      </c>
      <c r="K54" s="40">
        <f t="shared" si="8"/>
        <v>159.09000000000003</v>
      </c>
      <c r="L54" s="40">
        <f>Sunday!I55+Monday!I54+Tuesday!I54+Wednesday!I54+Thursday!I54+Friday!I54+Saturday!I54</f>
        <v>166.69</v>
      </c>
      <c r="M54" s="40" cm="1">
        <f t="array" ref="M54">_xlfn.IFS(L54=0,0,L54&lt;172,172,L54&gt;172,L54)</f>
        <v>172</v>
      </c>
      <c r="N54" s="40">
        <f t="shared" si="9"/>
        <v>-12.909999999999968</v>
      </c>
      <c r="P54" s="27" t="s">
        <v>26</v>
      </c>
      <c r="Q54" s="29">
        <v>2</v>
      </c>
      <c r="R54" s="29">
        <f>Sunday!L55+Table13[[#This Row],[Hours Variance]]+Table138[[#This Row],[Hours Variance]]+Table13813[[#This Row],[Hours Variance]]+Table1381314[[#This Row],[Hours Variance]]+Table13813141516[[#This Row],[Hours Variance]]+Table138131415[[#This Row],[Hours Variance]]</f>
        <v>-16.560000000000009</v>
      </c>
      <c r="S54" s="31">
        <f>R54/L54</f>
        <v>-9.9346091547183449E-2</v>
      </c>
    </row>
    <row r="55" spans="2:19">
      <c r="B55" s="28" t="s">
        <v>26</v>
      </c>
      <c r="C55" s="30">
        <v>4</v>
      </c>
      <c r="D55" s="37">
        <f>Sunday!K56</f>
        <v>24.62</v>
      </c>
      <c r="E55" s="37">
        <f>Monday!K55</f>
        <v>58.72</v>
      </c>
      <c r="F55" s="37">
        <f>Tuesday!K55</f>
        <v>38.880000000000003</v>
      </c>
      <c r="G55" s="37">
        <f>Wednesday!K55</f>
        <v>61.47</v>
      </c>
      <c r="H55" s="37">
        <f>Thursday!K55</f>
        <v>44.12</v>
      </c>
      <c r="I55" s="37">
        <f>Friday!K55</f>
        <v>55.79</v>
      </c>
      <c r="J55" s="37">
        <f>Saturday!K55</f>
        <v>0</v>
      </c>
      <c r="K55" s="37">
        <f t="shared" si="8"/>
        <v>283.60000000000002</v>
      </c>
      <c r="L55" s="37">
        <f>Sunday!I56+Monday!I55+Tuesday!I55+Wednesday!I55+Thursday!I55+Friday!I55+Saturday!I55</f>
        <v>245.69</v>
      </c>
      <c r="M55" s="37" cm="1">
        <f t="array" ref="M55">_xlfn.IFS(L55=0,0,L55&lt;172,172,L55&gt;172,L55)</f>
        <v>245.69</v>
      </c>
      <c r="N55" s="40">
        <f t="shared" si="9"/>
        <v>37.910000000000025</v>
      </c>
      <c r="P55" s="28" t="s">
        <v>26</v>
      </c>
      <c r="Q55" s="30">
        <v>4</v>
      </c>
      <c r="R55" s="29">
        <f>Sunday!L56+Table13[[#This Row],[Hours Variance]]+Table138[[#This Row],[Hours Variance]]+Table13813[[#This Row],[Hours Variance]]+Table1381314[[#This Row],[Hours Variance]]+Table13813141516[[#This Row],[Hours Variance]]+Table138131415[[#This Row],[Hours Variance]]</f>
        <v>37.909999999999982</v>
      </c>
      <c r="S55" s="32">
        <f>R55/L55</f>
        <v>0.15430013431560088</v>
      </c>
    </row>
    <row r="56" spans="2:19">
      <c r="B56" s="27" t="s">
        <v>26</v>
      </c>
      <c r="C56" s="29">
        <v>6</v>
      </c>
      <c r="D56" s="40">
        <f>Sunday!K57</f>
        <v>25.57</v>
      </c>
      <c r="E56" s="40">
        <f>Monday!K56</f>
        <v>33.4</v>
      </c>
      <c r="F56" s="40">
        <f>Tuesday!K56</f>
        <v>27.62</v>
      </c>
      <c r="G56" s="40">
        <f>Wednesday!K56</f>
        <v>18.649999999999999</v>
      </c>
      <c r="H56" s="40">
        <f>Thursday!K56</f>
        <v>31.73</v>
      </c>
      <c r="I56" s="40">
        <f>Friday!K56</f>
        <v>33.840000000000003</v>
      </c>
      <c r="J56" s="40">
        <f>Saturday!K56</f>
        <v>0</v>
      </c>
      <c r="K56" s="40">
        <f t="shared" si="8"/>
        <v>170.81</v>
      </c>
      <c r="L56" s="40">
        <f>Sunday!I57+Monday!I56+Tuesday!I56+Wednesday!I56+Thursday!I56+Friday!I56+Saturday!I56</f>
        <v>200.66</v>
      </c>
      <c r="M56" s="40" cm="1">
        <f t="array" ref="M56">_xlfn.IFS(L56=0,0,L56&lt;172,172,L56&gt;172,L56)</f>
        <v>200.66</v>
      </c>
      <c r="N56" s="40">
        <f t="shared" si="9"/>
        <v>-29.849999999999994</v>
      </c>
      <c r="P56" s="27" t="s">
        <v>26</v>
      </c>
      <c r="Q56" s="29">
        <v>6</v>
      </c>
      <c r="R56" s="29">
        <f>Sunday!L57+Table13[[#This Row],[Hours Variance]]+Table138[[#This Row],[Hours Variance]]+Table13813[[#This Row],[Hours Variance]]+Table1381314[[#This Row],[Hours Variance]]+Table13813141516[[#This Row],[Hours Variance]]+Table138131415[[#This Row],[Hours Variance]]</f>
        <v>-29.850000000000009</v>
      </c>
      <c r="S56" s="31">
        <f>R56/L56</f>
        <v>-0.14875909498654444</v>
      </c>
    </row>
    <row r="57" spans="2:19">
      <c r="B57" s="28" t="s">
        <v>26</v>
      </c>
      <c r="C57" s="30">
        <v>15</v>
      </c>
      <c r="D57" s="37">
        <f>Sunday!K58</f>
        <v>23.16</v>
      </c>
      <c r="E57" s="37">
        <f>Monday!K57</f>
        <v>49.06</v>
      </c>
      <c r="F57" s="37">
        <f>Tuesday!K57</f>
        <v>37.1</v>
      </c>
      <c r="G57" s="37">
        <f>Wednesday!K57</f>
        <v>27.51</v>
      </c>
      <c r="H57" s="37">
        <f>Thursday!K57</f>
        <v>35.85</v>
      </c>
      <c r="I57" s="37">
        <f>Friday!K57</f>
        <v>54</v>
      </c>
      <c r="J57" s="37">
        <f>Saturday!K57</f>
        <v>0</v>
      </c>
      <c r="K57" s="37">
        <f t="shared" si="8"/>
        <v>226.67999999999998</v>
      </c>
      <c r="L57" s="37">
        <f>Sunday!I58+Monday!I57+Tuesday!I57+Wednesday!I57+Thursday!I57+Friday!I57+Saturday!I57</f>
        <v>232.26000000000002</v>
      </c>
      <c r="M57" s="37" cm="1">
        <f t="array" ref="M57">_xlfn.IFS(L57=0,0,L57&lt;172,172,L57&gt;172,L57)</f>
        <v>232.26000000000002</v>
      </c>
      <c r="N57" s="40">
        <f t="shared" si="9"/>
        <v>-5.5800000000000409</v>
      </c>
      <c r="P57" s="28" t="s">
        <v>26</v>
      </c>
      <c r="Q57" s="30">
        <v>15</v>
      </c>
      <c r="R57" s="29">
        <f>Sunday!L58+Table13[[#This Row],[Hours Variance]]+Table138[[#This Row],[Hours Variance]]+Table13813[[#This Row],[Hours Variance]]+Table1381314[[#This Row],[Hours Variance]]+Table13813141516[[#This Row],[Hours Variance]]+Table138131415[[#This Row],[Hours Variance]]</f>
        <v>-5.5800000000000054</v>
      </c>
      <c r="S57" s="32">
        <f>R57/L57</f>
        <v>-2.4024799793335078E-2</v>
      </c>
    </row>
    <row r="58" spans="2:19">
      <c r="B58" s="27" t="s">
        <v>26</v>
      </c>
      <c r="C58" s="29">
        <v>28</v>
      </c>
      <c r="D58" s="40">
        <f>Sunday!K59</f>
        <v>33.11</v>
      </c>
      <c r="E58" s="40">
        <f>Monday!K58</f>
        <v>48</v>
      </c>
      <c r="F58" s="40">
        <f>Tuesday!K58</f>
        <v>45.6</v>
      </c>
      <c r="G58" s="40">
        <f>Wednesday!K58</f>
        <v>37.090000000000003</v>
      </c>
      <c r="H58" s="40">
        <f>Thursday!K58</f>
        <v>32.96</v>
      </c>
      <c r="I58" s="40">
        <f>Friday!K58</f>
        <v>39.590000000000003</v>
      </c>
      <c r="J58" s="40">
        <f>Saturday!K58</f>
        <v>0</v>
      </c>
      <c r="K58" s="40">
        <f t="shared" si="8"/>
        <v>236.35000000000002</v>
      </c>
      <c r="L58" s="40">
        <f>Sunday!I59+Monday!I58+Tuesday!I58+Wednesday!I58+Thursday!I58+Friday!I58+Saturday!I58</f>
        <v>216.46</v>
      </c>
      <c r="M58" s="40" cm="1">
        <f t="array" ref="M58">_xlfn.IFS(L58=0,0,L58&lt;172,172,L58&gt;172,L58)</f>
        <v>216.46</v>
      </c>
      <c r="N58" s="40">
        <f t="shared" si="9"/>
        <v>19.890000000000015</v>
      </c>
      <c r="P58" s="27" t="s">
        <v>26</v>
      </c>
      <c r="Q58" s="29">
        <v>28</v>
      </c>
      <c r="R58" s="29">
        <f>Sunday!L59+Table13[[#This Row],[Hours Variance]]+Table138[[#This Row],[Hours Variance]]+Table13813[[#This Row],[Hours Variance]]+Table1381314[[#This Row],[Hours Variance]]+Table13813141516[[#This Row],[Hours Variance]]+Table138131415[[#This Row],[Hours Variance]]</f>
        <v>19.890000000000004</v>
      </c>
      <c r="S58" s="31">
        <f>R58/L58</f>
        <v>9.1887646678370155E-2</v>
      </c>
    </row>
    <row r="59" spans="2:19">
      <c r="B59" s="28" t="s">
        <v>26</v>
      </c>
      <c r="C59" s="30">
        <v>32</v>
      </c>
      <c r="D59" s="37">
        <f>Sunday!K60</f>
        <v>9.85</v>
      </c>
      <c r="E59" s="37">
        <f>Monday!K59</f>
        <v>25.9</v>
      </c>
      <c r="F59" s="37">
        <f>Tuesday!K59</f>
        <v>32.42</v>
      </c>
      <c r="G59" s="37">
        <f>Wednesday!K59</f>
        <v>29.71</v>
      </c>
      <c r="H59" s="37">
        <f>Thursday!K59</f>
        <v>27.44</v>
      </c>
      <c r="I59" s="37">
        <f>Friday!K59</f>
        <v>25.73</v>
      </c>
      <c r="J59" s="37">
        <f>Saturday!K59</f>
        <v>0</v>
      </c>
      <c r="K59" s="37">
        <f t="shared" si="8"/>
        <v>151.04999999999998</v>
      </c>
      <c r="L59" s="37">
        <f>Sunday!I60+Monday!I59+Tuesday!I59+Wednesday!I59+Thursday!I59+Friday!I59+Saturday!I59</f>
        <v>180.91</v>
      </c>
      <c r="M59" s="37" cm="1">
        <f t="array" ref="M59">_xlfn.IFS(L59=0,0,L59&lt;172,172,L59&gt;172,L59)</f>
        <v>180.91</v>
      </c>
      <c r="N59" s="40">
        <f t="shared" si="9"/>
        <v>-29.860000000000014</v>
      </c>
      <c r="P59" s="28" t="s">
        <v>26</v>
      </c>
      <c r="Q59" s="30">
        <v>32</v>
      </c>
      <c r="R59" s="29">
        <f>Sunday!L60+Table13[[#This Row],[Hours Variance]]+Table138[[#This Row],[Hours Variance]]+Table13813[[#This Row],[Hours Variance]]+Table1381314[[#This Row],[Hours Variance]]+Table13813141516[[#This Row],[Hours Variance]]+Table138131415[[#This Row],[Hours Variance]]</f>
        <v>-35.660000000000011</v>
      </c>
      <c r="S59" s="32">
        <f>R59/L59</f>
        <v>-0.19711458736388265</v>
      </c>
    </row>
    <row r="60" spans="2:19">
      <c r="B60" s="27" t="s">
        <v>26</v>
      </c>
      <c r="C60" s="29">
        <v>606</v>
      </c>
      <c r="D60" s="40">
        <f>Sunday!K61</f>
        <v>26.02</v>
      </c>
      <c r="E60" s="40">
        <f>Monday!K60</f>
        <v>34.619999999999997</v>
      </c>
      <c r="F60" s="40">
        <f>Tuesday!K60</f>
        <v>33.35</v>
      </c>
      <c r="G60" s="40">
        <f>Wednesday!K60</f>
        <v>40.869999999999997</v>
      </c>
      <c r="H60" s="40">
        <f>Thursday!K60</f>
        <v>29.59</v>
      </c>
      <c r="I60" s="40">
        <f>Friday!K60</f>
        <v>37.229999999999997</v>
      </c>
      <c r="J60" s="40">
        <f>Saturday!K60</f>
        <v>0</v>
      </c>
      <c r="K60" s="40">
        <f t="shared" si="8"/>
        <v>201.68</v>
      </c>
      <c r="L60" s="40">
        <f>Sunday!I61+Monday!I60+Tuesday!I60+Wednesday!I60+Thursday!I60+Friday!I60+Saturday!I60</f>
        <v>184.07</v>
      </c>
      <c r="M60" s="40" cm="1">
        <f t="array" ref="M60">_xlfn.IFS(L60=0,0,L60&lt;172,172,L60&gt;172,L60)</f>
        <v>184.07</v>
      </c>
      <c r="N60" s="40">
        <f t="shared" si="9"/>
        <v>17.610000000000014</v>
      </c>
      <c r="P60" s="27" t="s">
        <v>26</v>
      </c>
      <c r="Q60" s="29">
        <v>606</v>
      </c>
      <c r="R60" s="29">
        <f>Sunday!L61+Table13[[#This Row],[Hours Variance]]+Table138[[#This Row],[Hours Variance]]+Table13813[[#This Row],[Hours Variance]]+Table1381314[[#This Row],[Hours Variance]]+Table13813141516[[#This Row],[Hours Variance]]+Table138131415[[#This Row],[Hours Variance]]</f>
        <v>17.609999999999989</v>
      </c>
      <c r="S60" s="31">
        <f>R60/L60</f>
        <v>9.5670125495735267E-2</v>
      </c>
    </row>
    <row r="61" spans="2:19">
      <c r="B61" s="27" t="s">
        <v>26</v>
      </c>
      <c r="C61" s="29">
        <v>999</v>
      </c>
      <c r="D61" s="40">
        <f>Sunday!K62</f>
        <v>24.02</v>
      </c>
      <c r="E61" s="40">
        <f>Monday!K61</f>
        <v>37.53</v>
      </c>
      <c r="F61" s="40">
        <f>Tuesday!K61</f>
        <v>31.7</v>
      </c>
      <c r="G61" s="40">
        <f>Wednesday!K61</f>
        <v>38.840000000000003</v>
      </c>
      <c r="H61" s="40">
        <f>Thursday!K61</f>
        <v>31.02</v>
      </c>
      <c r="I61" s="40">
        <f>Friday!K61</f>
        <v>26.41</v>
      </c>
      <c r="J61" s="40">
        <f>Saturday!K61</f>
        <v>0</v>
      </c>
      <c r="K61" s="40">
        <f t="shared" ref="K61" si="13">SUM(D61:J61)</f>
        <v>189.52</v>
      </c>
      <c r="L61" s="40">
        <f>Sunday!I62+Monday!I61+Tuesday!I61+Wednesday!I61+Thursday!I61+Friday!I61+Saturday!I61</f>
        <v>124.82000000000001</v>
      </c>
      <c r="M61" s="40" cm="1">
        <f t="array" ref="M61">_xlfn.IFS(L61=0,0,L61&lt;172,172,L61&gt;172,L61)</f>
        <v>172</v>
      </c>
      <c r="N61" s="40">
        <f t="shared" si="9"/>
        <v>17.52000000000001</v>
      </c>
      <c r="P61" s="27" t="s">
        <v>26</v>
      </c>
      <c r="Q61" s="29">
        <v>999</v>
      </c>
      <c r="R61" s="29">
        <f>Sunday!L62+Table13[[#This Row],[Hours Variance]]+Table138[[#This Row],[Hours Variance]]+Table13813[[#This Row],[Hours Variance]]+Table1381314[[#This Row],[Hours Variance]]+Table13813141516[[#This Row],[Hours Variance]]+Table138131415[[#This Row],[Hours Variance]]</f>
        <v>39.879999999999995</v>
      </c>
      <c r="S61" s="31">
        <f>R61/L61</f>
        <v>0.31950008011536607</v>
      </c>
    </row>
    <row r="62" spans="2:19">
      <c r="B62" s="28" t="s">
        <v>27</v>
      </c>
      <c r="C62" s="30">
        <v>8</v>
      </c>
      <c r="D62" s="37">
        <f>Sunday!K63</f>
        <v>19.920000000000002</v>
      </c>
      <c r="E62" s="37">
        <f>Monday!K62</f>
        <v>34.770000000000003</v>
      </c>
      <c r="F62" s="37">
        <f>Tuesday!K62</f>
        <v>33.86</v>
      </c>
      <c r="G62" s="37">
        <f>Wednesday!K62</f>
        <v>37.43</v>
      </c>
      <c r="H62" s="37">
        <f>Thursday!K62</f>
        <v>34.97</v>
      </c>
      <c r="I62" s="37">
        <f>Friday!K62</f>
        <v>0</v>
      </c>
      <c r="J62" s="37">
        <f>Saturday!K62</f>
        <v>0</v>
      </c>
      <c r="K62" s="37">
        <f t="shared" si="8"/>
        <v>160.95000000000002</v>
      </c>
      <c r="L62" s="37">
        <f>Sunday!I63+Monday!I62+Tuesday!I62+Wednesday!I62+Thursday!I62+Friday!I62+Saturday!I62</f>
        <v>155.63000000000002</v>
      </c>
      <c r="M62" s="37" cm="1">
        <f t="array" ref="M62">_xlfn.IFS(L62=0,0,L62&lt;172,172,L62&gt;172,L62)</f>
        <v>172</v>
      </c>
      <c r="N62" s="40">
        <f t="shared" si="9"/>
        <v>-11.049999999999983</v>
      </c>
      <c r="P62" s="28" t="s">
        <v>27</v>
      </c>
      <c r="Q62" s="30">
        <v>8</v>
      </c>
      <c r="R62" s="29">
        <f>Sunday!L63+Table13[[#This Row],[Hours Variance]]+Table138[[#This Row],[Hours Variance]]+Table13813[[#This Row],[Hours Variance]]+Table1381314[[#This Row],[Hours Variance]]+Table13813141516[[#This Row],[Hours Variance]]+Table138131415[[#This Row],[Hours Variance]]</f>
        <v>4.2599999999999945</v>
      </c>
      <c r="S62" s="32">
        <f>R62/L62</f>
        <v>2.7372614534472747E-2</v>
      </c>
    </row>
    <row r="63" spans="2:19">
      <c r="B63" s="27" t="s">
        <v>27</v>
      </c>
      <c r="C63" s="29">
        <v>10</v>
      </c>
      <c r="D63" s="40">
        <f>Sunday!K64</f>
        <v>25.43</v>
      </c>
      <c r="E63" s="40">
        <f>Monday!K63</f>
        <v>29.96</v>
      </c>
      <c r="F63" s="40">
        <f>Tuesday!K63</f>
        <v>24.59</v>
      </c>
      <c r="G63" s="40">
        <f>Wednesday!K63</f>
        <v>28.56</v>
      </c>
      <c r="H63" s="40">
        <f>Thursday!K63</f>
        <v>30.48</v>
      </c>
      <c r="I63" s="40">
        <f>Friday!K63</f>
        <v>0</v>
      </c>
      <c r="J63" s="40">
        <f>Saturday!K63</f>
        <v>0</v>
      </c>
      <c r="K63" s="40">
        <f t="shared" si="8"/>
        <v>139.02000000000001</v>
      </c>
      <c r="L63" s="40">
        <f>Sunday!I64+Monday!I63+Tuesday!I63+Wednesday!I63+Thursday!I63+Friday!I63+Saturday!I63</f>
        <v>133.51</v>
      </c>
      <c r="M63" s="40" cm="1">
        <f t="array" ref="M63">_xlfn.IFS(L63=0,0,L63&lt;172,172,L63&gt;172,L63)</f>
        <v>172</v>
      </c>
      <c r="N63" s="40">
        <f t="shared" si="9"/>
        <v>-32.97999999999999</v>
      </c>
      <c r="P63" s="27" t="s">
        <v>27</v>
      </c>
      <c r="Q63" s="29">
        <v>10</v>
      </c>
      <c r="R63" s="29">
        <f>Sunday!L64+Table13[[#This Row],[Hours Variance]]+Table138[[#This Row],[Hours Variance]]+Table13813[[#This Row],[Hours Variance]]+Table1381314[[#This Row],[Hours Variance]]+Table13813141516[[#This Row],[Hours Variance]]+Table138131415[[#This Row],[Hours Variance]]</f>
        <v>0.51999999999999247</v>
      </c>
      <c r="S63" s="31">
        <f>R63/L63</f>
        <v>3.8948393378772563E-3</v>
      </c>
    </row>
    <row r="64" spans="2:19">
      <c r="B64" s="28" t="s">
        <v>27</v>
      </c>
      <c r="C64" s="30">
        <v>12</v>
      </c>
      <c r="D64" s="37">
        <f>Sunday!K65</f>
        <v>24.07</v>
      </c>
      <c r="E64" s="37">
        <f>Monday!K64</f>
        <v>23.38</v>
      </c>
      <c r="F64" s="37">
        <f>Tuesday!K64</f>
        <v>33.68</v>
      </c>
      <c r="G64" s="37">
        <f>Wednesday!K64</f>
        <v>36.06</v>
      </c>
      <c r="H64" s="37">
        <f>Thursday!K64</f>
        <v>30.19</v>
      </c>
      <c r="I64" s="37">
        <f>Friday!K64</f>
        <v>0</v>
      </c>
      <c r="J64" s="37">
        <f>Saturday!K64</f>
        <v>0</v>
      </c>
      <c r="K64" s="37">
        <f t="shared" si="8"/>
        <v>147.38</v>
      </c>
      <c r="L64" s="37">
        <f>Sunday!I65+Monday!I64+Tuesday!I64+Wednesday!I64+Thursday!I64+Friday!I64+Saturday!I64</f>
        <v>101.91</v>
      </c>
      <c r="M64" s="37" cm="1">
        <f t="array" ref="M64">_xlfn.IFS(L64=0,0,L64&lt;172,172,L64&gt;172,L64)</f>
        <v>172</v>
      </c>
      <c r="N64" s="40">
        <f t="shared" si="9"/>
        <v>-24.620000000000005</v>
      </c>
      <c r="P64" s="28" t="s">
        <v>27</v>
      </c>
      <c r="Q64" s="30">
        <v>12</v>
      </c>
      <c r="R64" s="29">
        <f>Sunday!L65+Table13[[#This Row],[Hours Variance]]+Table138[[#This Row],[Hours Variance]]+Table13813[[#This Row],[Hours Variance]]+Table1381314[[#This Row],[Hours Variance]]+Table13813141516[[#This Row],[Hours Variance]]+Table138131415[[#This Row],[Hours Variance]]</f>
        <v>26.18</v>
      </c>
      <c r="S64" s="32">
        <f>R64/L64</f>
        <v>0.25689333725836522</v>
      </c>
    </row>
    <row r="65" spans="2:19">
      <c r="B65" s="27" t="s">
        <v>27</v>
      </c>
      <c r="C65" s="29">
        <v>13</v>
      </c>
      <c r="D65" s="40">
        <f>Sunday!K66</f>
        <v>22.83</v>
      </c>
      <c r="E65" s="40">
        <f>Monday!K65</f>
        <v>37.119999999999997</v>
      </c>
      <c r="F65" s="40">
        <f>Tuesday!K65</f>
        <v>29.07</v>
      </c>
      <c r="G65" s="40">
        <f>Wednesday!K65</f>
        <v>34.9</v>
      </c>
      <c r="H65" s="40">
        <f>Thursday!K65</f>
        <v>32.78</v>
      </c>
      <c r="I65" s="40">
        <f>Friday!K65</f>
        <v>0</v>
      </c>
      <c r="J65" s="40">
        <f>Saturday!K65</f>
        <v>0</v>
      </c>
      <c r="K65" s="40">
        <f t="shared" si="8"/>
        <v>156.69999999999999</v>
      </c>
      <c r="L65" s="40">
        <f>Sunday!I66+Monday!I65+Tuesday!I65+Wednesday!I65+Thursday!I65+Friday!I65+Saturday!I65</f>
        <v>144.57000000000002</v>
      </c>
      <c r="M65" s="40" cm="1">
        <f t="array" ref="M65">_xlfn.IFS(L65=0,0,L65&lt;172,172,L65&gt;172,L65)</f>
        <v>172</v>
      </c>
      <c r="N65" s="40">
        <f t="shared" si="9"/>
        <v>-15.300000000000011</v>
      </c>
      <c r="P65" s="27" t="s">
        <v>27</v>
      </c>
      <c r="Q65" s="29">
        <v>13</v>
      </c>
      <c r="R65" s="29">
        <f>Sunday!L66+Table13[[#This Row],[Hours Variance]]+Table138[[#This Row],[Hours Variance]]+Table13813[[#This Row],[Hours Variance]]+Table1381314[[#This Row],[Hours Variance]]+Table13813141516[[#This Row],[Hours Variance]]+Table138131415[[#This Row],[Hours Variance]]</f>
        <v>12.109999999999985</v>
      </c>
      <c r="S65" s="31">
        <f>R65/L65</f>
        <v>8.3765649858200064E-2</v>
      </c>
    </row>
    <row r="66" spans="2:19">
      <c r="B66" s="28" t="s">
        <v>27</v>
      </c>
      <c r="C66" s="30">
        <v>31</v>
      </c>
      <c r="D66" s="37">
        <f>Sunday!K67</f>
        <v>28.62</v>
      </c>
      <c r="E66" s="37">
        <f>Monday!K66</f>
        <v>52.41</v>
      </c>
      <c r="F66" s="37">
        <f>Tuesday!K66</f>
        <v>46.88</v>
      </c>
      <c r="G66" s="37">
        <f>Wednesday!K66</f>
        <v>41.73</v>
      </c>
      <c r="H66" s="37">
        <f>Thursday!K66</f>
        <v>41.97</v>
      </c>
      <c r="I66" s="37">
        <f>Friday!K66</f>
        <v>0</v>
      </c>
      <c r="J66" s="37">
        <f>Saturday!K66</f>
        <v>0</v>
      </c>
      <c r="K66" s="37">
        <f t="shared" si="8"/>
        <v>211.60999999999999</v>
      </c>
      <c r="L66" s="37">
        <f>Sunday!I67+Monday!I66+Tuesday!I66+Wednesday!I66+Thursday!I66+Friday!I66+Saturday!I66</f>
        <v>150.10000000000002</v>
      </c>
      <c r="M66" s="37" cm="1">
        <f t="array" ref="M66">_xlfn.IFS(L66=0,0,L66&lt;172,172,L66&gt;172,L66)</f>
        <v>172</v>
      </c>
      <c r="N66" s="40">
        <f t="shared" si="9"/>
        <v>39.609999999999985</v>
      </c>
      <c r="P66" s="28" t="s">
        <v>27</v>
      </c>
      <c r="Q66" s="30">
        <v>31</v>
      </c>
      <c r="R66" s="29">
        <f>Sunday!L67+Table13[[#This Row],[Hours Variance]]+Table138[[#This Row],[Hours Variance]]+Table13813[[#This Row],[Hours Variance]]+Table1381314[[#This Row],[Hours Variance]]+Table13813141516[[#This Row],[Hours Variance]]+Table138131415[[#This Row],[Hours Variance]]</f>
        <v>56.499999999999986</v>
      </c>
      <c r="S66" s="32">
        <f>R66/L66</f>
        <v>0.37641572285143221</v>
      </c>
    </row>
    <row r="67" spans="2:19">
      <c r="B67" s="27" t="s">
        <v>27</v>
      </c>
      <c r="C67" s="29">
        <v>92</v>
      </c>
      <c r="D67" s="40">
        <f>Sunday!K68</f>
        <v>28.77</v>
      </c>
      <c r="E67" s="40">
        <f>Monday!K67</f>
        <v>46.12</v>
      </c>
      <c r="F67" s="40">
        <f>Tuesday!K67</f>
        <v>43.89</v>
      </c>
      <c r="G67" s="40">
        <f>Wednesday!K67</f>
        <v>42.86</v>
      </c>
      <c r="H67" s="40">
        <f>Thursday!K67</f>
        <v>32.42</v>
      </c>
      <c r="I67" s="40">
        <f>Friday!K67</f>
        <v>0</v>
      </c>
      <c r="J67" s="40">
        <f>Saturday!K67</f>
        <v>0</v>
      </c>
      <c r="K67" s="40">
        <f t="shared" si="8"/>
        <v>194.06</v>
      </c>
      <c r="L67" s="40">
        <f>Sunday!I68+Monday!I67+Tuesday!I67+Wednesday!I67+Thursday!I67+Friday!I67+Saturday!I67</f>
        <v>205.40000000000003</v>
      </c>
      <c r="M67" s="40" cm="1">
        <f t="array" ref="M67">_xlfn.IFS(L67=0,0,L67&lt;172,172,L67&gt;172,L67)</f>
        <v>205.40000000000003</v>
      </c>
      <c r="N67" s="40">
        <f t="shared" si="9"/>
        <v>-11.340000000000032</v>
      </c>
      <c r="P67" s="27" t="s">
        <v>27</v>
      </c>
      <c r="Q67" s="29">
        <v>92</v>
      </c>
      <c r="R67" s="29">
        <f>Sunday!L68+Table13[[#This Row],[Hours Variance]]+Table138[[#This Row],[Hours Variance]]+Table13813[[#This Row],[Hours Variance]]+Table1381314[[#This Row],[Hours Variance]]+Table13813141516[[#This Row],[Hours Variance]]+Table138131415[[#This Row],[Hours Variance]]</f>
        <v>-11.340000000000021</v>
      </c>
      <c r="S67" s="31">
        <f>R67/L67</f>
        <v>-5.5209347614411E-2</v>
      </c>
    </row>
    <row r="68" spans="2:19">
      <c r="B68" s="28" t="s">
        <v>27</v>
      </c>
      <c r="C68" s="30">
        <v>116</v>
      </c>
      <c r="D68" s="37">
        <f>Sunday!K69</f>
        <v>19.25</v>
      </c>
      <c r="E68" s="37">
        <f>Monday!K68</f>
        <v>38.14</v>
      </c>
      <c r="F68" s="37">
        <f>Tuesday!K68</f>
        <v>32.24</v>
      </c>
      <c r="G68" s="37">
        <f>Wednesday!K68</f>
        <v>41.03</v>
      </c>
      <c r="H68" s="37">
        <f>Thursday!K68</f>
        <v>32.56</v>
      </c>
      <c r="I68" s="37">
        <f>Friday!K68</f>
        <v>0</v>
      </c>
      <c r="J68" s="37">
        <f>Saturday!K68</f>
        <v>0</v>
      </c>
      <c r="K68" s="37">
        <f t="shared" si="8"/>
        <v>163.22</v>
      </c>
      <c r="L68" s="37">
        <f>Sunday!I69+Monday!I68+Tuesday!I68+Wednesday!I68+Thursday!I68+Friday!I68+Saturday!I68</f>
        <v>150.10000000000002</v>
      </c>
      <c r="M68" s="37" cm="1">
        <f t="array" ref="M68">_xlfn.IFS(L68=0,0,L68&lt;172,172,L68&gt;172,L68)</f>
        <v>172</v>
      </c>
      <c r="N68" s="40">
        <f t="shared" si="9"/>
        <v>-8.7800000000000011</v>
      </c>
      <c r="P68" s="28" t="s">
        <v>27</v>
      </c>
      <c r="Q68" s="30">
        <v>116</v>
      </c>
      <c r="R68" s="29">
        <f>Sunday!L69+Table13[[#This Row],[Hours Variance]]+Table138[[#This Row],[Hours Variance]]+Table13813[[#This Row],[Hours Variance]]+Table1381314[[#This Row],[Hours Variance]]+Table13813141516[[#This Row],[Hours Variance]]+Table138131415[[#This Row],[Hours Variance]]</f>
        <v>13.119999999999997</v>
      </c>
      <c r="S68" s="32">
        <f>R68/L68</f>
        <v>8.7408394403730813E-2</v>
      </c>
    </row>
    <row r="69" spans="2:19">
      <c r="B69" s="27" t="s">
        <v>27</v>
      </c>
      <c r="C69" s="29">
        <v>870</v>
      </c>
      <c r="D69" s="40">
        <f>Sunday!K70</f>
        <v>19.8</v>
      </c>
      <c r="E69" s="40">
        <f>Monday!K69</f>
        <v>24.77</v>
      </c>
      <c r="F69" s="40">
        <f>Tuesday!K69</f>
        <v>23.04</v>
      </c>
      <c r="G69" s="40">
        <f>Wednesday!K69</f>
        <v>30.8</v>
      </c>
      <c r="H69" s="40">
        <f>Thursday!K69</f>
        <v>21.28</v>
      </c>
      <c r="I69" s="40">
        <f>Friday!K69</f>
        <v>0</v>
      </c>
      <c r="J69" s="40">
        <f>Saturday!K69</f>
        <v>0</v>
      </c>
      <c r="K69" s="40">
        <f t="shared" si="8"/>
        <v>119.69</v>
      </c>
      <c r="L69" s="40">
        <f>Sunday!I70+Monday!I69+Tuesday!I69+Wednesday!I69+Thursday!I69+Friday!I69+Saturday!I69</f>
        <v>67.94</v>
      </c>
      <c r="M69" s="40" cm="1">
        <f t="array" ref="M69">_xlfn.IFS(L69=0,0,L69&lt;172,172,L69&gt;172,L69)</f>
        <v>172</v>
      </c>
      <c r="N69" s="40">
        <f t="shared" si="9"/>
        <v>-52.31</v>
      </c>
      <c r="P69" s="27" t="s">
        <v>27</v>
      </c>
      <c r="Q69" s="29">
        <v>870</v>
      </c>
      <c r="R69" s="29">
        <f>Sunday!L70+Table13[[#This Row],[Hours Variance]]+Table138[[#This Row],[Hours Variance]]+Table13813[[#This Row],[Hours Variance]]+Table1381314[[#This Row],[Hours Variance]]+Table13813141516[[#This Row],[Hours Variance]]+Table138131415[[#This Row],[Hours Variance]]</f>
        <v>-1.5100000000000016</v>
      </c>
      <c r="S69" s="31">
        <f>R69/L69</f>
        <v>-2.2225493082131315E-2</v>
      </c>
    </row>
    <row r="70" spans="2:19">
      <c r="B70" s="27" t="s">
        <v>27</v>
      </c>
      <c r="C70" s="29">
        <v>3004</v>
      </c>
      <c r="D70" s="40">
        <f>Sunday!K71</f>
        <v>20.11</v>
      </c>
      <c r="E70" s="40">
        <f>Monday!K70</f>
        <v>27.63</v>
      </c>
      <c r="F70" s="40">
        <f>Tuesday!K70</f>
        <v>20.190000000000001</v>
      </c>
      <c r="G70" s="40">
        <f>Wednesday!K70</f>
        <v>28.31</v>
      </c>
      <c r="H70" s="40">
        <f>Thursday!K70</f>
        <v>21.49</v>
      </c>
      <c r="I70" s="40">
        <f>Friday!K70</f>
        <v>0</v>
      </c>
      <c r="J70" s="40">
        <f>Saturday!K70</f>
        <v>0</v>
      </c>
      <c r="K70" s="40">
        <f t="shared" ref="K70" si="14">SUM(D70:J70)</f>
        <v>117.72999999999999</v>
      </c>
      <c r="L70" s="40">
        <f>Sunday!I71+Monday!I70+Tuesday!I70+Wednesday!I70+Thursday!I70+Friday!I70+Saturday!I70</f>
        <v>47.4</v>
      </c>
      <c r="M70" s="40" cm="1">
        <f t="array" ref="M70">_xlfn.IFS(L70=0,0,L70&lt;172,172,L70&gt;172,L70)</f>
        <v>172</v>
      </c>
      <c r="N70" s="40">
        <f t="shared" si="9"/>
        <v>-54.27000000000001</v>
      </c>
      <c r="P70" s="27" t="s">
        <v>27</v>
      </c>
      <c r="Q70" s="29">
        <v>3004</v>
      </c>
      <c r="R70" s="29">
        <f>Sunday!L71+Table13[[#This Row],[Hours Variance]]+Table138[[#This Row],[Hours Variance]]+Table13813[[#This Row],[Hours Variance]]+Table1381314[[#This Row],[Hours Variance]]+Table13813141516[[#This Row],[Hours Variance]]+Table138131415[[#This Row],[Hours Variance]]</f>
        <v>-3.470000000000006</v>
      </c>
      <c r="S70" s="31">
        <f>R70/L70</f>
        <v>-7.3206751054852442E-2</v>
      </c>
    </row>
  </sheetData>
  <sheetProtection sheet="1" objects="1" scenarios="1"/>
  <protectedRanges>
    <protectedRange sqref="O3:P9" name="Range1"/>
  </protectedRanges>
  <autoFilter ref="B2:B69" xr:uid="{8BFEA5E0-98FE-401A-8134-63E6E22302B2}"/>
  <conditionalFormatting sqref="C3:J10">
    <cfRule type="cellIs" dxfId="10" priority="11" operator="greaterThan">
      <formula>0</formula>
    </cfRule>
    <cfRule type="cellIs" dxfId="9" priority="12" operator="lessThanOrEqual">
      <formula>0</formula>
    </cfRule>
  </conditionalFormatting>
  <conditionalFormatting sqref="M3:M9">
    <cfRule type="cellIs" dxfId="8" priority="9" operator="greaterThan">
      <formula>0</formula>
    </cfRule>
    <cfRule type="cellIs" dxfId="7" priority="10" operator="lessThanOrEqual">
      <formula>0</formula>
    </cfRule>
  </conditionalFormatting>
  <conditionalFormatting sqref="N14:N70">
    <cfRule type="cellIs" dxfId="6" priority="7" operator="greaterThan">
      <formula>0</formula>
    </cfRule>
    <cfRule type="cellIs" dxfId="5" priority="8" operator="lessThanOrEqual">
      <formula>0</formula>
    </cfRule>
  </conditionalFormatting>
  <conditionalFormatting sqref="R3:R10">
    <cfRule type="cellIs" dxfId="4" priority="15" operator="lessThanOrEqual">
      <formula>0</formula>
    </cfRule>
    <cfRule type="cellIs" dxfId="3" priority="16" operator="greaterThan">
      <formula>0</formula>
    </cfRule>
  </conditionalFormatting>
  <conditionalFormatting sqref="R14:R70">
    <cfRule type="cellIs" dxfId="2" priority="3" operator="greaterThan">
      <formula>0</formula>
    </cfRule>
  </conditionalFormatting>
  <conditionalFormatting sqref="R14:R70">
    <cfRule type="cellIs" dxfId="1" priority="2" operator="lessThan">
      <formula>0</formula>
    </cfRule>
  </conditionalFormatting>
  <conditionalFormatting sqref="S14:S70">
    <cfRule type="cellIs" dxfId="0" priority="1" operator="greaterThan">
      <formula>0.05</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541c21-14ef-4a2f-89c1-bcd7a9e2dee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489BC15E273FE4EB5DA9106A124D2D0" ma:contentTypeVersion="15" ma:contentTypeDescription="Create a new document." ma:contentTypeScope="" ma:versionID="cdaa0117229aea1d586186a86d377102">
  <xsd:schema xmlns:xsd="http://www.w3.org/2001/XMLSchema" xmlns:xs="http://www.w3.org/2001/XMLSchema" xmlns:p="http://schemas.microsoft.com/office/2006/metadata/properties" xmlns:ns2="ea541c21-14ef-4a2f-89c1-bcd7a9e2deea" xmlns:ns3="d6fe49bd-2a5b-4aa6-84bb-fdc543c2c21f" targetNamespace="http://schemas.microsoft.com/office/2006/metadata/properties" ma:root="true" ma:fieldsID="dbe4473e95c7f78469cfacd32bceb8eb" ns2:_="" ns3:_="">
    <xsd:import namespace="ea541c21-14ef-4a2f-89c1-bcd7a9e2deea"/>
    <xsd:import namespace="d6fe49bd-2a5b-4aa6-84bb-fdc543c2c2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541c21-14ef-4a2f-89c1-bcd7a9e2de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b9fc7b1-ac6c-4cf4-a8dd-2f137b693605"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fe49bd-2a5b-4aa6-84bb-fdc543c2c21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7D64AF-3B37-476D-B60C-C74DF7491696}"/>
</file>

<file path=customXml/itemProps2.xml><?xml version="1.0" encoding="utf-8"?>
<ds:datastoreItem xmlns:ds="http://schemas.openxmlformats.org/officeDocument/2006/customXml" ds:itemID="{4029B80D-9202-42C0-A061-CE605BBDABA9}"/>
</file>

<file path=customXml/itemProps3.xml><?xml version="1.0" encoding="utf-8"?>
<ds:datastoreItem xmlns:ds="http://schemas.openxmlformats.org/officeDocument/2006/customXml" ds:itemID="{67A545AF-8C9B-45EC-A718-29E529349E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Jesse Pfliger</dc:creator>
  <cp:keywords/>
  <dc:description/>
  <cp:lastModifiedBy>Kelly O'Neill</cp:lastModifiedBy>
  <cp:revision/>
  <dcterms:created xsi:type="dcterms:W3CDTF">2024-10-31T02:43:07Z</dcterms:created>
  <dcterms:modified xsi:type="dcterms:W3CDTF">2025-12-06T15:24:22Z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0x0101007489BC15E273FE4EB5DA9106A124D2D0</vt:lpwstr>
  </property>
  <property fmtid="{D5CDD505-2E9C-101B-9397-08002B2CF9AE}" pid="3" name="MediaServiceImageTags">
    <vt:lpwstr/>
  </property>
</Properties>
</file>